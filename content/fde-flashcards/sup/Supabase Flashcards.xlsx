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cards'!$A$2:$BN$30</definedName>
    <definedName name="_xlnm._FilterDatabase" localSheetId="3" hidden="1">'Topic (56-pt) cards'!$A$2:$BB$26</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Supabase – Beginner to Advanced Flashcards</t>
        </is>
      </c>
    </row>
    <row r="2">
      <c r="A2" s="2" t="inlineStr">
        <is>
          <t>Subject: Supabase   ·   Learner: Self learner, English   ·   Cards: 52</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3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35" customHeight="1">
      <c r="A3" s="17" t="inlineStr">
        <is>
          <t>SUP-006</t>
        </is>
      </c>
      <c r="B3" s="17" t="inlineStr">
        <is>
          <t>01 Basics</t>
        </is>
      </c>
      <c r="C3" s="17" t="inlineStr">
        <is>
          <t>Beginner</t>
        </is>
      </c>
      <c r="D3" s="17" t="n">
        <v>6</v>
      </c>
      <c r="E3" s="17" t="inlineStr">
        <is>
          <t>Claude knowledge</t>
        </is>
      </c>
      <c r="F3" s="18" t="inlineStr">
        <is>
          <t>Environment variables for Supabase</t>
        </is>
      </c>
      <c r="G3" s="18" t="inlineStr">
        <is>
          <t>Where should the project URL and keys live so they are not written directly in your source code?</t>
        </is>
      </c>
      <c r="H3" s="17" t="n"/>
      <c r="I3" s="18" t="inlineStr">
        <is>
          <t>Configuration practice</t>
        </is>
      </c>
      <c r="J3" s="18" t="inlineStr">
        <is>
          <t>Very high</t>
        </is>
      </c>
      <c r="K3" s="18" t="n">
        <v>5</v>
      </c>
      <c r="L3" s="18" t="inlineStr">
        <is>
          <t>Keys written in code spread through repositories and logs, so apps read them from environment variables that differ for each environment.</t>
        </is>
      </c>
      <c r="M3" s="18" t="inlineStr">
        <is>
          <t>Prefix variables that must reach the browser as your framework requires, and keep server-only ones unprefixed.</t>
        </is>
      </c>
      <c r="N3" s="17" t="n"/>
      <c r="O3" s="18" t="inlineStr">
        <is>
          <t>Environment variables are labelled drawers outside the code, and the code only asks for the drawer's name.</t>
        </is>
      </c>
      <c r="P3" s="18" t="inlineStr">
        <is>
          <t>A .env file beside the code, with arrows from names in the code to values in the file.</t>
        </is>
      </c>
      <c r="Q3" s="18" t="inlineStr">
        <is>
          <t>The calm of knowing a key is not hidden inside the code by accident.</t>
        </is>
      </c>
      <c r="R3" s="18" t="inlineStr">
        <is>
          <t>Environment variables store the URL and keys outside the code, and the app reads them at run time.</t>
        </is>
      </c>
      <c r="S3" s="17" t="n"/>
      <c r="T3" s="19" t="inlineStr">
        <is>
          <t># .env.local (not committed)
NEXT_PUBLIC_SUPABASE_URL=https://abcd1234.supabase.co
NEXT_PUBLIC_SUPABASE_ANON_KEY=your-client-key
SUPABASE_SERVICE_ROLE_KEY=your-server-only-key
// code
const url = process.env.NEXT_PUBLIC_SUPABASE_URL;</t>
        </is>
      </c>
      <c r="U3" s="19" t="inlineStr">
        <is>
          <t>The app reads the URL from the environment, and the keys never appear in the committed code.</t>
        </is>
      </c>
      <c r="V3" s="18" t="inlineStr">
        <is>
          <t>In Next.js, variables starting with NEXT_PUBLIC_ are sent to the browser, so only the URL and client key should have that prefix. The service role key has no prefix, so it stays on the server. Add the env file to .gitignore, and set the same variables in your hosting provider.</t>
        </is>
      </c>
      <c r="W3" s="18" t="inlineStr">
        <is>
          <t>Put the URL and keys in an env file, ignore that file in git, and read them with process.env. Never prefix the service role key so it stays server-only.</t>
        </is>
      </c>
      <c r="X3" s="18" t="inlineStr">
        <is>
          <t>It is like labelled drawers outside the code, and the code only asks for a drawer's name.</t>
        </is>
      </c>
      <c r="Y3" s="19" t="inlineStr">
        <is>
          <t>process.env.NAME</t>
        </is>
      </c>
      <c r="Z3" s="18" t="inlineStr">
        <is>
          <t>NEXT_PUBLIC_ = sent to the browser | no prefix = server only | .env.local = local file ignored by git</t>
        </is>
      </c>
      <c r="AA3" s="19" t="inlineStr">
        <is>
          <t>const url = process.env.NEXT_PUBLIC_SUPABASE_URL;</t>
        </is>
      </c>
      <c r="AB3" s="19" t="inlineStr">
        <is>
          <t>const key = process.env.NEXT_PUBLIC_SUPABASE_ANON_KEY;</t>
        </is>
      </c>
      <c r="AC3" s="19" t="inlineStr">
        <is>
          <t>const admin = process.env.SUPABASE_SERVICE_ROLE_KEY;</t>
        </is>
      </c>
      <c r="AD3" s="19" t="inlineStr">
        <is>
          <t>Vite uses the VITE_ prefix for variables sent to the browser
Hosting dashboards let you add the same variables for production</t>
        </is>
      </c>
      <c r="AE3" s="18" t="inlineStr">
        <is>
          <t>.gitignore, createClient, deployment settings</t>
        </is>
      </c>
      <c r="AF3" s="18" t="inlineStr">
        <is>
          <t>Project URL and API keys, anon key vs service role key, secrets</t>
        </is>
      </c>
      <c r="AG3" s="18" t="inlineStr">
        <is>
          <t>A secrets manager for larger teams</t>
        </is>
      </c>
      <c r="AH3" s="17" t="n"/>
      <c r="AI3" s="18" t="inlineStr">
        <is>
          <t>Every deployment | Local development | CI settings</t>
        </is>
      </c>
      <c r="AJ3" s="18" t="inlineStr">
        <is>
          <t>A: Should I paste the key into my code for now? | B: No, put it in an env file and read it with process.env.</t>
        </is>
      </c>
      <c r="AK3" s="18" t="inlineStr">
        <is>
          <t>✗ Anything in an env file is hidden from users → ✓ Variables with a public prefix are sent to the browser, so only non-secret values should have it</t>
        </is>
      </c>
      <c r="AL3" s="18" t="inlineStr">
        <is>
          <t>Public prefix vs server-only variable: the prefixed one reaches the browser, the other stays on the server.</t>
        </is>
      </c>
      <c r="AM3" s="18" t="inlineStr">
        <is>
          <t>Do not give the service role key a public prefix.</t>
        </is>
      </c>
      <c r="AN3" s="19" t="inlineStr">
        <is>
          <t>NEXT_PUBLIC_SUPABASE_SERVICE_ROLE_KEY=your-server-only-key</t>
        </is>
      </c>
      <c r="AO3" s="19" t="inlineStr">
        <is>
          <t>SUPABASE_SERVICE_ROLE_KEY=your-server-only-key</t>
        </is>
      </c>
      <c r="AP3" s="18" t="inlineStr">
        <is>
          <t>Public prefix means public to everyone.</t>
        </is>
      </c>
      <c r="AQ3" s="18" t="inlineStr">
        <is>
          <t>Setting the same variable names in the local file and the hosting dashboard.</t>
        </is>
      </c>
      <c r="AR3" s="18" t="inlineStr">
        <is>
          <t>An interviewer may ask: How do you keep Supabase keys out of source code?</t>
        </is>
      </c>
      <c r="AS3" s="18" t="inlineStr">
        <is>
          <t>It is like labelled drawers outside the code.</t>
        </is>
      </c>
      <c r="AT3" s="18" t="inlineStr">
        <is>
          <t>Which variable must not have a public prefix?</t>
        </is>
      </c>
      <c r="AU3" s="18" t="inlineStr">
        <is>
          <t>A) The service role key B) The client key C) The project URL D) The region name</t>
        </is>
      </c>
      <c r="AV3" s="18" t="inlineStr">
        <is>
          <t>A</t>
        </is>
      </c>
      <c r="AW3" s="18" t="inlineStr">
        <is>
          <t>A public prefix sends the value to the browser, which would leak the service role key.</t>
        </is>
      </c>
      <c r="AX3" s="19" t="inlineStr">
        <is>
          <t>Add the env file to ____ so it is not committed → .gitignore</t>
        </is>
      </c>
      <c r="AY3" s="18" t="inlineStr">
        <is>
          <t>Read the Supabase URL from the environment variable NEXT_PUBLIC_SUPABASE_URL.</t>
        </is>
      </c>
      <c r="AZ3" s="19" t="inlineStr">
        <is>
          <t>const url = process.env.NEXT_PUBLIC_SUPABASE_URL;</t>
        </is>
      </c>
      <c r="BA3" s="18" t="inlineStr">
        <is>
          <t>Create an env file for a project and list which variables are public and which are not.</t>
        </is>
      </c>
      <c r="BB3" s="19" t="inlineStr">
        <is>
          <t>What does the NEXT_PUBLIC_ prefix do in Next.js?</t>
        </is>
      </c>
      <c r="BC3" s="19" t="inlineStr">
        <is>
          <t>It makes the variable available in browser code.</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08" customHeight="1">
      <c r="A4" s="17" t="inlineStr">
        <is>
          <t>SUP-010</t>
        </is>
      </c>
      <c r="B4" s="17" t="inlineStr">
        <is>
          <t>02 Database</t>
        </is>
      </c>
      <c r="C4" s="17" t="inlineStr">
        <is>
          <t>Beginner</t>
        </is>
      </c>
      <c r="D4" s="17" t="n">
        <v>10</v>
      </c>
      <c r="E4" s="17" t="inlineStr">
        <is>
          <t>Claude knowledge</t>
        </is>
      </c>
      <c r="F4" s="18" t="inlineStr">
        <is>
          <t>SQL Editor (create table)</t>
        </is>
      </c>
      <c r="G4" s="18" t="inlineStr">
        <is>
          <t>Which dashboard tool lets you run SQL, such as a statement that creates a new table with its columns?</t>
        </is>
      </c>
      <c r="H4" s="17" t="n"/>
      <c r="I4" s="18" t="inlineStr">
        <is>
          <t>Dashboard tool</t>
        </is>
      </c>
      <c r="J4" s="18" t="inlineStr">
        <is>
          <t>Very high</t>
        </is>
      </c>
      <c r="K4" s="18" t="n">
        <v>5</v>
      </c>
      <c r="L4" s="18" t="inlineStr">
        <is>
          <t>Clicking through a form is slow for repeatable work, so the dashboard includes an editor where you can run SQL directly against your database.</t>
        </is>
      </c>
      <c r="M4" s="18" t="inlineStr">
        <is>
          <t>Save useful queries in the SQL Editor, and move important changes into migration files.</t>
        </is>
      </c>
      <c r="N4" s="17" t="n"/>
      <c r="O4" s="18" t="inlineStr">
        <is>
          <t>The SQL Editor is the workshop bench where you speak to the database in its own language.</t>
        </is>
      </c>
      <c r="P4" s="18" t="inlineStr">
        <is>
          <t>A code panel with a query on top and a result grid beneath it.</t>
        </is>
      </c>
      <c r="Q4" s="18" t="inlineStr">
        <is>
          <t>The satisfaction of a table appearing after one statement.</t>
        </is>
      </c>
      <c r="R4" s="18" t="inlineStr">
        <is>
          <t>The SQL Editor runs SQL statements against your project's database, such as create table, insert and select.</t>
        </is>
      </c>
      <c r="S4" s="17" t="n"/>
      <c r="T4" s="19" t="inlineStr">
        <is>
          <t>create table todos (
  id bigint generated always as identity primary key,
  title text not null,
  done boolean default false,
  created_at timestamptz default now()
);</t>
        </is>
      </c>
      <c r="U4" s="19" t="inlineStr">
        <is>
          <t>Success. No rows returned, and the todos table now appears in the Table Editor.</t>
        </is>
      </c>
      <c r="V4" s="18" t="inlineStr">
        <is>
          <t>Each column has a name, a type and optional rules such as primary key, not null and default. Identity columns generate numbers automatically, and now() fills in the current time. After running it, the table is available through the API, though you should enable Row Level Security before using it from a browser.</t>
        </is>
      </c>
      <c r="W4" s="18" t="inlineStr">
        <is>
          <t>Write the create table statement, run it, and the table exists. List each column with its type and any rules.</t>
        </is>
      </c>
      <c r="X4" s="18" t="inlineStr">
        <is>
          <t>It is like a workshop bench where you speak to the database in its own language.</t>
        </is>
      </c>
      <c r="Y4" s="19" t="inlineStr">
        <is>
          <t>create table name (column type rules, ...);</t>
        </is>
      </c>
      <c r="Z4" s="18" t="inlineStr">
        <is>
          <t>create table = make a table | column type = each field | primary key, not null, default = rules</t>
        </is>
      </c>
      <c r="AA4" s="19" t="inlineStr">
        <is>
          <t>create table todos (id bigint generated always as identity primary key, title text not null);</t>
        </is>
      </c>
      <c r="AB4" s="19" t="inlineStr">
        <is>
          <t>create table profiles (id uuid primary key, full_name text);</t>
        </is>
      </c>
      <c r="AC4" s="19" t="inlineStr">
        <is>
          <t>alter table todos add column due_date date;</t>
        </is>
      </c>
      <c r="AD4" s="19" t="inlineStr">
        <is>
          <t>insert into todos (title) values ('Buy milk');   // add a row
select * from todos;   // read rows</t>
        </is>
      </c>
      <c r="AE4" s="18" t="inlineStr">
        <is>
          <t>Table Editor, migrations, RLS, data types</t>
        </is>
      </c>
      <c r="AF4" s="18" t="inlineStr">
        <is>
          <t>tables and columns, data types, migrations</t>
        </is>
      </c>
      <c r="AG4" s="18" t="inlineStr">
        <is>
          <t>The Table Editor with clicks</t>
        </is>
      </c>
      <c r="AH4" s="17" t="n"/>
      <c r="AI4" s="18" t="inlineStr">
        <is>
          <t>Setting up tables | Quick experiments | Learning SQL</t>
        </is>
      </c>
      <c r="AJ4" s="18" t="inlineStr">
        <is>
          <t>A: How do I create the todos table quickly? | B: Open the SQL Editor and run a create table statement.</t>
        </is>
      </c>
      <c r="AK4" s="18" t="inlineStr">
        <is>
          <t>✗ A table made in the SQL Editor is automatically protected by Row Level Security → ✓ Tables created with SQL do not have RLS enabled by default, so you must enable it yourself</t>
        </is>
      </c>
      <c r="AL4" s="18" t="inlineStr">
        <is>
          <t>SQL Editor vs Table Editor: the SQL Editor runs statements, the Table Editor is a spreadsheet-like view of the data.</t>
        </is>
      </c>
      <c r="AM4" s="18" t="inlineStr">
        <is>
          <t>Do not leave a new table without RLS if the browser will access it.</t>
        </is>
      </c>
      <c r="AN4" s="19" t="inlineStr">
        <is>
          <t>create todos (id, title);</t>
        </is>
      </c>
      <c r="AO4" s="19" t="inlineStr">
        <is>
          <t>create table todos (id bigint generated always as identity primary key, title text not null);</t>
        </is>
      </c>
      <c r="AP4" s="18" t="inlineStr">
        <is>
          <t>create table, then name, then columns.</t>
        </is>
      </c>
      <c r="AQ4" s="18" t="inlineStr">
        <is>
          <t>Creating the base tables of a new app in the SQL Editor and saving them as migrations.</t>
        </is>
      </c>
      <c r="AR4" s="18" t="inlineStr">
        <is>
          <t>An interviewer may ask: How would you create a table in Supabase?</t>
        </is>
      </c>
      <c r="AS4" s="18" t="inlineStr">
        <is>
          <t>It is like speaking to the database at a workshop bench.</t>
        </is>
      </c>
      <c r="AT4" s="18" t="inlineStr">
        <is>
          <t>Which statement creates a new table?</t>
        </is>
      </c>
      <c r="AU4" s="18" t="inlineStr">
        <is>
          <t>A) new rows B) create table C) open table D) select table</t>
        </is>
      </c>
      <c r="AV4" s="18" t="inlineStr">
        <is>
          <t>B</t>
        </is>
      </c>
      <c r="AW4" s="18" t="inlineStr">
        <is>
          <t>create table defines a new table.</t>
        </is>
      </c>
      <c r="AX4" s="19" t="inlineStr">
        <is>
          <t>create ____ todos (id bigint primary key); → table</t>
        </is>
      </c>
      <c r="AY4" s="18" t="inlineStr">
        <is>
          <t>Add a due_date column of type date to the todos table.</t>
        </is>
      </c>
      <c r="AZ4" s="19" t="inlineStr">
        <is>
          <t>alter table todos add column due_date date;</t>
        </is>
      </c>
      <c r="BA4" s="18" t="inlineStr">
        <is>
          <t>Create a table for notes with a title and a body.</t>
        </is>
      </c>
      <c r="BB4" s="19" t="inlineStr">
        <is>
          <t>What does default now() do for a created_at column?</t>
        </is>
      </c>
      <c r="BC4" s="19" t="inlineStr">
        <is>
          <t>It fills in the current time when a row is inserted.</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81" customHeight="1">
      <c r="A5" s="17" t="inlineStr">
        <is>
          <t>SUP-011</t>
        </is>
      </c>
      <c r="B5" s="17" t="inlineStr">
        <is>
          <t>02 Database</t>
        </is>
      </c>
      <c r="C5" s="17" t="inlineStr">
        <is>
          <t>Intermediate</t>
        </is>
      </c>
      <c r="D5" s="17" t="n">
        <v>11</v>
      </c>
      <c r="E5" s="17" t="inlineStr">
        <is>
          <t>Claude knowledge</t>
        </is>
      </c>
      <c r="F5" s="18" t="inlineStr">
        <is>
          <t>Joins and relationships in queries</t>
        </is>
      </c>
      <c r="G5" s="18" t="inlineStr">
        <is>
          <t>How do you read related data from two tables in one query, such as each todo with its owner's name?</t>
        </is>
      </c>
      <c r="H5" s="17" t="n"/>
      <c r="I5" s="18" t="inlineStr">
        <is>
          <t>SQL concept</t>
        </is>
      </c>
      <c r="J5" s="18" t="inlineStr">
        <is>
          <t>Very high</t>
        </is>
      </c>
      <c r="K5" s="18" t="n">
        <v>5</v>
      </c>
      <c r="L5" s="18" t="inlineStr">
        <is>
          <t>Related data lives in separate tables to avoid repetition, so queries need a way to bring matching rows together.</t>
        </is>
      </c>
      <c r="M5" s="18" t="inlineStr">
        <is>
          <t>In supabase-js you can pull related rows by naming the related table inside select, if a foreign key links them.</t>
        </is>
      </c>
      <c r="N5" s="17" t="n"/>
      <c r="O5" s="18" t="inlineStr">
        <is>
          <t>A join matches rows from two tables like pairing forms by ID number.</t>
        </is>
      </c>
      <c r="P5" s="18" t="inlineStr">
        <is>
          <t>Two tables with lines joining matching ids and a combined result below.</t>
        </is>
      </c>
      <c r="Q5" s="18" t="inlineStr">
        <is>
          <t>The pleasure of seeing names beside their records.</t>
        </is>
      </c>
      <c r="R5" s="18" t="inlineStr">
        <is>
          <t>A join combines rows from two tables by matching a column, usually a foreign key to a primary key.</t>
        </is>
      </c>
      <c r="S5" s="17" t="n"/>
      <c r="T5" s="19" t="inlineStr">
        <is>
          <t>select todos.title, profiles.full_name
from todos
join profiles on profiles.id = todos.user_id;</t>
        </is>
      </c>
      <c r="U5" s="19" t="inlineStr">
        <is>
          <t>A result with each todo title next to the full name of its owner.</t>
        </is>
      </c>
      <c r="V5" s="18" t="inlineStr">
        <is>
          <t>join returns only rows that match in both tables, and left join keeps all rows from the first table. With a foreign key in place, the Supabase API lets you request related data without writing SQL, by listing the related table in select.</t>
        </is>
      </c>
      <c r="W5" s="18" t="inlineStr">
        <is>
          <t>Tell the database which columns match, and it pairs the rows. Then you can pick columns from both tables.</t>
        </is>
      </c>
      <c r="X5" s="18" t="inlineStr">
        <is>
          <t>It is like pairing forms by their ID numbers.</t>
        </is>
      </c>
      <c r="Y5" s="19" t="inlineStr">
        <is>
          <t>select ... from a join b on a.col = b.col</t>
        </is>
      </c>
      <c r="Z5" s="18" t="inlineStr">
        <is>
          <t>join = combine tables | on = the matching condition | left join = keep all rows from the first table</t>
        </is>
      </c>
      <c r="AA5" s="19" t="inlineStr">
        <is>
          <t>select todos.title, profiles.full_name from todos join profiles on profiles.id = todos.user_id;</t>
        </is>
      </c>
      <c r="AB5" s="19" t="inlineStr">
        <is>
          <t>select * from todos left join profiles on profiles.id = todos.user_id;</t>
        </is>
      </c>
      <c r="AC5" s="19" t="inlineStr">
        <is>
          <t>await supabase.from("todos").select("title, profiles(full_name)");</t>
        </is>
      </c>
      <c r="AD5" s="19" t="inlineStr">
        <is>
          <t>left join   // keep todos without a matching profile
select title, profiles(full_name)   // the supabase-js form of a join</t>
        </is>
      </c>
      <c r="AE5" s="18" t="inlineStr">
        <is>
          <t>foreign keys, select, supabase-js</t>
        </is>
      </c>
      <c r="AF5" s="18" t="inlineStr">
        <is>
          <t>primary and foreign key, REST API, select</t>
        </is>
      </c>
      <c r="AG5" s="18" t="inlineStr">
        <is>
          <t>Two separate queries combined in code</t>
        </is>
      </c>
      <c r="AH5" s="17" t="n"/>
      <c r="AI5" s="18" t="inlineStr">
        <is>
          <t>Lists with owner names | Reports | Detail pages</t>
        </is>
      </c>
      <c r="AJ5" s="18" t="inlineStr">
        <is>
          <t>A: I need each todo with its owner's name. | B: Join todos to profiles on the user id, or select the related table in supabase-js.</t>
        </is>
      </c>
      <c r="AK5" s="18" t="inlineStr">
        <is>
          <t>✗ A join copies the data into a new permanent table → ✓ A join only combines rows in the result of a query and stores nothing new</t>
        </is>
      </c>
      <c r="AL5" s="18" t="inlineStr">
        <is>
          <t>join vs left join: join keeps only matches, left join keeps all rows from the first table.</t>
        </is>
      </c>
      <c r="AM5" s="18" t="inlineStr">
        <is>
          <t>Do not forget the on condition, or you get every combination of rows.</t>
        </is>
      </c>
      <c r="AN5" s="19" t="inlineStr">
        <is>
          <t>select title, full_name from todos join profiles;</t>
        </is>
      </c>
      <c r="AO5" s="19" t="inlineStr">
        <is>
          <t>select todos.title, profiles.full_name from todos join profiles on profiles.id = todos.user_id;</t>
        </is>
      </c>
      <c r="AP5" s="18" t="inlineStr">
        <is>
          <t>A join needs an on condition.</t>
        </is>
      </c>
      <c r="AQ5" s="18" t="inlineStr">
        <is>
          <t>Showing each lesson with its course name in a list.</t>
        </is>
      </c>
      <c r="AR5" s="18" t="inlineStr">
        <is>
          <t>An interviewer may ask: What is the difference between an inner join and a left join?</t>
        </is>
      </c>
      <c r="AS5" s="18" t="inlineStr">
        <is>
          <t>It is like pairing forms by their ID numbers.</t>
        </is>
      </c>
      <c r="AT5" s="18" t="inlineStr">
        <is>
          <t>Which keyword states how the two tables match in a join?</t>
        </is>
      </c>
      <c r="AU5" s="18" t="inlineStr">
        <is>
          <t>A) where only B) group C) limit D) on</t>
        </is>
      </c>
      <c r="AV5" s="18" t="inlineStr">
        <is>
          <t>D</t>
        </is>
      </c>
      <c r="AW5" s="18" t="inlineStr">
        <is>
          <t>The on clause gives the matching condition.</t>
        </is>
      </c>
      <c r="AX5" s="19" t="inlineStr">
        <is>
          <t>select * from todos left ____ profiles on profiles.id = todos.user_id; → join</t>
        </is>
      </c>
      <c r="AY5" s="18" t="inlineStr">
        <is>
          <t>Select todo titles together with the profile full names using supabase-js.</t>
        </is>
      </c>
      <c r="AZ5" s="19" t="inlineStr">
        <is>
          <t>await supabase.from("todos").select("title, profiles(full_name)");</t>
        </is>
      </c>
      <c r="BA5" s="18" t="inlineStr">
        <is>
          <t>Write a query that lists each lesson with its course title.</t>
        </is>
      </c>
      <c r="BB5" s="19" t="inlineStr">
        <is>
          <t>What does a left join keep that a plain join does not?</t>
        </is>
      </c>
      <c r="BC5" s="19" t="inlineStr">
        <is>
          <t>Rows from the first table that have no match in the second.</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94.5" customHeight="1">
      <c r="A6" s="17" t="inlineStr">
        <is>
          <t>SUP-012</t>
        </is>
      </c>
      <c r="B6" s="17" t="inlineStr">
        <is>
          <t>02 Database</t>
        </is>
      </c>
      <c r="C6" s="17" t="inlineStr">
        <is>
          <t>Intermediate</t>
        </is>
      </c>
      <c r="D6" s="17" t="n">
        <v>12</v>
      </c>
      <c r="E6" s="17" t="inlineStr">
        <is>
          <t>Claude knowledge</t>
        </is>
      </c>
      <c r="F6" s="18" t="inlineStr">
        <is>
          <t>Indexes</t>
        </is>
      </c>
      <c r="G6" s="18" t="inlineStr">
        <is>
          <t>Which database structure speeds up lookups on a column so queries do not scan the whole table?</t>
        </is>
      </c>
      <c r="H6" s="17" t="n"/>
      <c r="I6" s="18" t="inlineStr">
        <is>
          <t>SQL concept</t>
        </is>
      </c>
      <c r="J6" s="18" t="inlineStr">
        <is>
          <t>High</t>
        </is>
      </c>
      <c r="K6" s="18" t="n">
        <v>4</v>
      </c>
      <c r="L6" s="18" t="inlineStr">
        <is>
          <t>Scanning every row to find matches gets slow as tables grow, so databases keep a sorted structure that lets them jump straight to the right rows.</t>
        </is>
      </c>
      <c r="M6" s="18" t="inlineStr">
        <is>
          <t>Index the columns you filter or join on often, such as foreign keys and user ids used in policies.</t>
        </is>
      </c>
      <c r="N6" s="17" t="n"/>
      <c r="O6" s="18" t="inlineStr">
        <is>
          <t>An index is the index at the back of a book that lets you jump to a page instead of reading every page.</t>
        </is>
      </c>
      <c r="P6" s="18" t="inlineStr">
        <is>
          <t>A sorted list of values pointing to row locations.</t>
        </is>
      </c>
      <c r="Q6" s="18" t="inlineStr">
        <is>
          <t>The thrill of a slow query becoming instant.</t>
        </is>
      </c>
      <c r="R6" s="18" t="inlineStr">
        <is>
          <t>An index is a data structure on one or more columns that lets Postgres find rows quickly without reading the entire table.</t>
        </is>
      </c>
      <c r="S6" s="17" t="n"/>
      <c r="T6" s="19" t="inlineStr">
        <is>
          <t>create index todos_user_id_idx on todos (user_id);</t>
        </is>
      </c>
      <c r="U6" s="19" t="inlineStr">
        <is>
          <t>Index created, and queries that filter by user_id become much faster on large tables.</t>
        </is>
      </c>
      <c r="V6" s="18" t="inlineStr">
        <is>
          <t>Postgres automatically indexes primary keys and unique constraints, but not foreign key columns. Indexes make reads faster and writes slightly slower, and they take space, so add them where queries need them. Row Level Security policies that check user_id also benefit from an index on that column.</t>
        </is>
      </c>
      <c r="W6" s="18" t="inlineStr">
        <is>
          <t>Add an index on a column you search or join by. Reads get faster, and the cost is a little extra work on writes.</t>
        </is>
      </c>
      <c r="X6" s="18" t="inlineStr">
        <is>
          <t>It is like the index at the back of a book that lets you jump to a page.</t>
        </is>
      </c>
      <c r="Y6" s="19" t="inlineStr">
        <is>
          <t>create index name on table (column);</t>
        </is>
      </c>
      <c r="Z6" s="18" t="inlineStr">
        <is>
          <t>create index = make an index | name = index name | table (column) = what it covers</t>
        </is>
      </c>
      <c r="AA6" s="19" t="inlineStr">
        <is>
          <t>create index todos_user_id_idx on todos (user_id);</t>
        </is>
      </c>
      <c r="AB6" s="19" t="inlineStr">
        <is>
          <t>create index lessons_course_id_idx on lessons (course_id);</t>
        </is>
      </c>
      <c r="AC6" s="19" t="inlineStr">
        <is>
          <t>create unique index profiles_email_idx on profiles (email);</t>
        </is>
      </c>
      <c r="AD6" s="19" t="inlineStr">
        <is>
          <t>create index on todos (user_id, created_at);   // multi-column index
drop index todos_user_id_idx;   // remove one</t>
        </is>
      </c>
      <c r="AE6" s="18" t="inlineStr">
        <is>
          <t>foreign keys, RLS policies, EXPLAIN</t>
        </is>
      </c>
      <c r="AF6" s="18" t="inlineStr">
        <is>
          <t>performance, EXPLAIN, Row Level Security</t>
        </is>
      </c>
      <c r="AG6" s="18" t="inlineStr">
        <is>
          <t>Rewriting the query to need less data</t>
        </is>
      </c>
      <c r="AH6" s="17" t="n"/>
      <c r="AI6" s="18" t="inlineStr">
        <is>
          <t>Large tables | Slow queries | RLS-heavy tables</t>
        </is>
      </c>
      <c r="AJ6" s="18" t="inlineStr">
        <is>
          <t>A: Fetching a user's todos is slow now. | B: Add an index on the user_id column.</t>
        </is>
      </c>
      <c r="AK6" s="18" t="inlineStr">
        <is>
          <t>✗ Postgres automatically indexes every foreign key column → ✓ Primary keys and unique constraints are indexed, but foreign key columns usually need an index you create</t>
        </is>
      </c>
      <c r="AL6" s="18" t="inlineStr">
        <is>
          <t>Primary key vs index: a primary key is a rule that also creates an index, an index alone only speeds up lookups.</t>
        </is>
      </c>
      <c r="AM6" s="18" t="inlineStr">
        <is>
          <t>Do not add indexes to every column.</t>
        </is>
      </c>
      <c r="AN6" s="19" t="inlineStr">
        <is>
          <t>create index on todos;</t>
        </is>
      </c>
      <c r="AO6" s="19" t="inlineStr">
        <is>
          <t>create index todos_user_id_idx on todos (user_id);</t>
        </is>
      </c>
      <c r="AP6" s="18" t="inlineStr">
        <is>
          <t>Index the columns you search by.</t>
        </is>
      </c>
      <c r="AQ6" s="18" t="inlineStr">
        <is>
          <t>Adding an index on user_id so policy checks stay fast on a large table.</t>
        </is>
      </c>
      <c r="AR6" s="18" t="inlineStr">
        <is>
          <t>An interviewer may ask: When is an index useful and when does it hurt?</t>
        </is>
      </c>
      <c r="AS6" s="18" t="inlineStr">
        <is>
          <t>It is like the index at the back of a book.</t>
        </is>
      </c>
      <c r="AT6" s="18" t="inlineStr">
        <is>
          <t>What is the main benefit of an index?</t>
        </is>
      </c>
      <c r="AU6" s="18" t="inlineStr">
        <is>
          <t>A) Faster lookups B) Smaller tables C) Stronger passwords D) More columns</t>
        </is>
      </c>
      <c r="AV6" s="18" t="inlineStr">
        <is>
          <t>A</t>
        </is>
      </c>
      <c r="AW6" s="18" t="inlineStr">
        <is>
          <t>An index lets the database find rows without scanning everything.</t>
        </is>
      </c>
      <c r="AX6" s="19" t="inlineStr">
        <is>
          <t>create ____ todos_user_id_idx on todos (user_id); → index</t>
        </is>
      </c>
      <c r="AY6" s="18" t="inlineStr">
        <is>
          <t>Create an index on the course_id column of lessons.</t>
        </is>
      </c>
      <c r="AZ6" s="19" t="inlineStr">
        <is>
          <t>create index lessons_course_id_idx on lessons (course_id);</t>
        </is>
      </c>
      <c r="BA6" s="18" t="inlineStr">
        <is>
          <t>Choose two columns of your tables that deserve an index and say why.</t>
        </is>
      </c>
      <c r="BB6" s="19" t="inlineStr">
        <is>
          <t>Which columns does Postgres index automatically?</t>
        </is>
      </c>
      <c r="BC6" s="19" t="inlineStr">
        <is>
          <t>Primary keys and columns with unique constraints.</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108" customHeight="1">
      <c r="A7" s="17" t="inlineStr">
        <is>
          <t>SUP-013</t>
        </is>
      </c>
      <c r="B7" s="17" t="inlineStr">
        <is>
          <t>02 Database</t>
        </is>
      </c>
      <c r="C7" s="17" t="inlineStr">
        <is>
          <t>Intermediate</t>
        </is>
      </c>
      <c r="D7" s="17" t="n">
        <v>13</v>
      </c>
      <c r="E7" s="17" t="inlineStr">
        <is>
          <t>Claude knowledge</t>
        </is>
      </c>
      <c r="F7" s="18" t="inlineStr">
        <is>
          <t>Views</t>
        </is>
      </c>
      <c r="G7" s="18" t="inlineStr">
        <is>
          <t>Which database object is a saved query that you can read from like a table?</t>
        </is>
      </c>
      <c r="H7" s="17" t="n"/>
      <c r="I7" s="18" t="inlineStr">
        <is>
          <t>SQL concept</t>
        </is>
      </c>
      <c r="J7" s="18" t="inlineStr">
        <is>
          <t>Medium</t>
        </is>
      </c>
      <c r="K7" s="18" t="n">
        <v>3</v>
      </c>
      <c r="L7" s="18" t="inlineStr">
        <is>
          <t>Complex queries are used again and again, so databases let you save a query under a name and treat the result as a virtual table.</t>
        </is>
      </c>
      <c r="M7" s="18" t="inlineStr">
        <is>
          <t>Create views with security_invoker on, so Row Level Security of the underlying tables still applies to the caller.</t>
        </is>
      </c>
      <c r="N7" s="17" t="n"/>
      <c r="O7" s="18" t="inlineStr">
        <is>
          <t>A view is a window cut into your tables that always shows the latest result of a saved question.</t>
        </is>
      </c>
      <c r="P7" s="18" t="inlineStr">
        <is>
          <t>A table-like frame showing rows that come from a stored query.</t>
        </is>
      </c>
      <c r="Q7" s="18" t="inlineStr">
        <is>
          <t>The convenience of a saved question you can ask again.</t>
        </is>
      </c>
      <c r="R7" s="18" t="inlineStr">
        <is>
          <t>A view is a saved query that behaves like a read-only table and is recalculated whenever you read from it.</t>
        </is>
      </c>
      <c r="S7" s="17" t="n"/>
      <c r="T7" s="19" t="inlineStr">
        <is>
          <t>create view open_todos with (security_invoker = true) as
select id, title, user_id
from todos
where done = false;</t>
        </is>
      </c>
      <c r="U7" s="19" t="inlineStr">
        <is>
          <t>A view called open_todos that lists only the todos that are not done.</t>
        </is>
      </c>
      <c r="V7" s="18" t="inlineStr">
        <is>
          <t>A view stores no data of its own, only the query. By default a Postgres view runs with the permissions of its owner, so it can bypass Row Level Security of the tables it reads from. Setting security_invoker to true, available in recent Postgres versions, makes it run with the caller's permissions so the policies still apply.</t>
        </is>
      </c>
      <c r="W7" s="18" t="inlineStr">
        <is>
          <t>A view is a saved query with a name. Read from it like a table, and make it security invoker so your RLS rules are not skipped.</t>
        </is>
      </c>
      <c r="X7" s="18" t="inlineStr">
        <is>
          <t>It is like a window cut into your tables that always shows the latest result of a saved question.</t>
        </is>
      </c>
      <c r="Y7" s="19" t="inlineStr">
        <is>
          <t>create view name as select ...;</t>
        </is>
      </c>
      <c r="Z7" s="18" t="inlineStr">
        <is>
          <t>create view = save the query | with (security_invoker = true) = use the caller's rights | as select = the query</t>
        </is>
      </c>
      <c r="AA7" s="19" t="inlineStr">
        <is>
          <t>create view open_todos as select * from todos where done = false;</t>
        </is>
      </c>
      <c r="AB7" s="19" t="inlineStr">
        <is>
          <t>select * from open_todos;</t>
        </is>
      </c>
      <c r="AC7" s="19" t="inlineStr">
        <is>
          <t>create view course_summary as select course_id, count(*) as lessons from lessons group by course_id;</t>
        </is>
      </c>
      <c r="AD7" s="19" t="inlineStr">
        <is>
          <t>create or replace view ...   // change an existing view
drop view open_todos;   // remove it</t>
        </is>
      </c>
      <c r="AE7" s="18" t="inlineStr">
        <is>
          <t>security_invoker, RLS, joins</t>
        </is>
      </c>
      <c r="AF7" s="18" t="inlineStr">
        <is>
          <t>tables, Row Level Security, joins</t>
        </is>
      </c>
      <c r="AG7" s="18" t="inlineStr">
        <is>
          <t>A materialized view that stores the result</t>
        </is>
      </c>
      <c r="AH7" s="17" t="n"/>
      <c r="AI7" s="18" t="inlineStr">
        <is>
          <t>Reports | Simplifying queries | Exposing a limited set of columns</t>
        </is>
      </c>
      <c r="AJ7" s="18" t="inlineStr">
        <is>
          <t>A: My view shows rows that RLS should hide. | B: Views run as their owner by default, so turn on security invoker.</t>
        </is>
      </c>
      <c r="AK7" s="18" t="inlineStr">
        <is>
          <t>✗ A view always respects the Row Level Security of its tables → ✓ By default a view runs with its owner's rights and can bypass RLS unless security_invoker is on</t>
        </is>
      </c>
      <c r="AL7" s="18" t="inlineStr">
        <is>
          <t>View vs table: a view stores a query, a table stores data.</t>
        </is>
      </c>
      <c r="AM7" s="18" t="inlineStr">
        <is>
          <t>Do not expose a view to the API without checking whether it bypasses RLS.</t>
        </is>
      </c>
      <c r="AN7" s="19" t="inlineStr">
        <is>
          <t>create view open_todos as select * from todos where done = false;</t>
        </is>
      </c>
      <c r="AO7" s="19" t="inlineStr">
        <is>
          <t>create view open_todos with (security_invoker = true) as select * from todos where done = false;</t>
        </is>
      </c>
      <c r="AP7" s="18" t="inlineStr">
        <is>
          <t>Views need security invoker to respect RLS.</t>
        </is>
      </c>
      <c r="AQ7" s="18" t="inlineStr">
        <is>
          <t>Exposing a read-only summary view of lesson counts, with security invoker on.</t>
        </is>
      </c>
      <c r="AR7" s="18" t="inlineStr">
        <is>
          <t>An interviewer may ask: Can a view bypass Row Level Security?</t>
        </is>
      </c>
      <c r="AS7" s="18" t="inlineStr">
        <is>
          <t>It is like a window onto a saved question.</t>
        </is>
      </c>
      <c r="AT7" s="18" t="inlineStr">
        <is>
          <t>What does a view store?</t>
        </is>
      </c>
      <c r="AU7" s="18" t="inlineStr">
        <is>
          <t>A) A copy of all rows B) A password C) A saved query D) A file</t>
        </is>
      </c>
      <c r="AV7" s="18" t="inlineStr">
        <is>
          <t>C</t>
        </is>
      </c>
      <c r="AW7" s="18" t="inlineStr">
        <is>
          <t>A view stores only the query, and the rows are produced when you read it.</t>
        </is>
      </c>
      <c r="AX7" s="19" t="inlineStr">
        <is>
          <t>Setting security_____ to true makes a view use the caller's rights → invoker</t>
        </is>
      </c>
      <c r="AY7" s="18" t="inlineStr">
        <is>
          <t>Create a view of the todos that are done.</t>
        </is>
      </c>
      <c r="AZ7" s="19" t="inlineStr">
        <is>
          <t>create view done_todos with (security_invoker = true) as select * from todos where done = true;</t>
        </is>
      </c>
      <c r="BA7" s="18" t="inlineStr">
        <is>
          <t>Write a view that shows each course with its lesson count.</t>
        </is>
      </c>
      <c r="BB7" s="19" t="inlineStr">
        <is>
          <t>Why can a default view bypass RLS?</t>
        </is>
      </c>
      <c r="BC7" s="19" t="inlineStr">
        <is>
          <t>Because it runs with the permissions of the view's owner.</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94.5" customHeight="1">
      <c r="A8" s="17" t="inlineStr">
        <is>
          <t>SUP-014</t>
        </is>
      </c>
      <c r="B8" s="17" t="inlineStr">
        <is>
          <t>02 Database</t>
        </is>
      </c>
      <c r="C8" s="17" t="inlineStr">
        <is>
          <t>Intermediate</t>
        </is>
      </c>
      <c r="D8" s="17" t="n">
        <v>14</v>
      </c>
      <c r="E8" s="17" t="inlineStr">
        <is>
          <t>Claude knowledge</t>
        </is>
      </c>
      <c r="F8" s="18" t="inlineStr">
        <is>
          <t>Migrations and the Supabase CLI</t>
        </is>
      </c>
      <c r="G8" s="18" t="inlineStr">
        <is>
          <t>How do you track and replay database changes as files so every environment gets the same structure?</t>
        </is>
      </c>
      <c r="H8" s="17" t="n"/>
      <c r="I8" s="18" t="inlineStr">
        <is>
          <t>Workflow</t>
        </is>
      </c>
      <c r="J8" s="18" t="inlineStr">
        <is>
          <t>High</t>
        </is>
      </c>
      <c r="K8" s="18" t="n">
        <v>5</v>
      </c>
      <c r="L8" s="18" t="inlineStr">
        <is>
          <t>Changing a production database by hand is risky and untraceable, so teams keep every schema change as a versioned file that can be applied in order anywhere.</t>
        </is>
      </c>
      <c r="M8" s="18" t="inlineStr">
        <is>
          <t>Commit migration files to git, and apply them to each environment instead of editing tables by hand in production.</t>
        </is>
      </c>
      <c r="N8" s="17" t="n"/>
      <c r="O8" s="18" t="inlineStr">
        <is>
          <t>Migrations are recipe cards for building the database, applied in order on any kitchen.</t>
        </is>
      </c>
      <c r="P8" s="18" t="inlineStr">
        <is>
          <t>A folder of dated SQL files applied one after another.</t>
        </is>
      </c>
      <c r="Q8" s="18" t="inlineStr">
        <is>
          <t>The confidence of reproducing your database anywhere.</t>
        </is>
      </c>
      <c r="R8" s="18" t="inlineStr">
        <is>
          <t>A migration is a versioned SQL file describing a schema change, and the Supabase CLI creates, tracks and applies them.</t>
        </is>
      </c>
      <c r="S8" s="17" t="n"/>
      <c r="T8" s="19" t="inlineStr">
        <is>
          <t>supabase migration new create_todos
# edit supabase/migrations/&lt;timestamp&gt;_create_todos.sql
supabase db push</t>
        </is>
      </c>
      <c r="U8" s="19" t="inlineStr">
        <is>
          <t>A new SQL file is created in supabase/migrations, and db push applies unapplied migrations to the linked project.</t>
        </is>
      </c>
      <c r="V8" s="18" t="inlineStr">
        <is>
          <t>The CLI keeps migration files in the supabase/migrations folder with timestamps. supabase db diff can generate a migration from changes made in the local database. supabase db push applies pending migrations to the linked remote project. Keeping migrations in git gives you history and repeatable setups.</t>
        </is>
      </c>
      <c r="W8" s="18" t="inlineStr">
        <is>
          <t>Write each change as a SQL file, commit it, and push it to the project with the CLI. Every environment then has the same structure.</t>
        </is>
      </c>
      <c r="X8" s="18" t="inlineStr">
        <is>
          <t>It is like recipe cards for building the database, applied in order in any kitchen.</t>
        </is>
      </c>
      <c r="Y8" s="19" t="inlineStr">
        <is>
          <t>supabase migration new &lt;name&gt;  |  supabase db push</t>
        </is>
      </c>
      <c r="Z8" s="18" t="inlineStr">
        <is>
          <t>migration new = create a file | db push = apply to the remote | db diff = generate a migration from changes</t>
        </is>
      </c>
      <c r="AA8" s="19" t="inlineStr">
        <is>
          <t>supabase migration new add_due_date_to_todos</t>
        </is>
      </c>
      <c r="AB8" s="19" t="inlineStr">
        <is>
          <t>supabase db diff -f add_profiles</t>
        </is>
      </c>
      <c r="AC8" s="19" t="inlineStr">
        <is>
          <t>supabase db push</t>
        </is>
      </c>
      <c r="AD8" s="19" t="inlineStr">
        <is>
          <t>supabase db reset   // rebuild the local database from migrations
supabase link   // connect the CLI to a project</t>
        </is>
      </c>
      <c r="AE8" s="18" t="inlineStr">
        <is>
          <t>git, local development, SQL Editor</t>
        </is>
      </c>
      <c r="AF8" s="18" t="inlineStr">
        <is>
          <t>SQL Editor, local development, environments</t>
        </is>
      </c>
      <c r="AG8" s="18" t="inlineStr">
        <is>
          <t>Prisma Migrate or another migration tool</t>
        </is>
      </c>
      <c r="AH8" s="17" t="n"/>
      <c r="AI8" s="18" t="inlineStr">
        <is>
          <t>Team projects | Production changes | Reproducible environments</t>
        </is>
      </c>
      <c r="AJ8" s="18" t="inlineStr">
        <is>
          <t>A: How do I apply the same table changes to production? | B: Put them in a migration file and run supabase db push.</t>
        </is>
      </c>
      <c r="AK8" s="18" t="inlineStr">
        <is>
          <t>✗ Editing tables by hand in the dashboard is just as safe as migrations → ✓ Manual edits are not recorded, so environments drift apart, and migrations keep changes repeatable</t>
        </is>
      </c>
      <c r="AL8" s="18" t="inlineStr">
        <is>
          <t>Migration vs SQL Editor query: a migration is a saved, ordered change, an editor query is a one-off.</t>
        </is>
      </c>
      <c r="AM8" s="18" t="inlineStr">
        <is>
          <t>Do not edit applied migration files, add a new one instead.</t>
        </is>
      </c>
      <c r="AN8" s="19" t="inlineStr">
        <is>
          <t>supabase push migration</t>
        </is>
      </c>
      <c r="AO8" s="19" t="inlineStr">
        <is>
          <t>supabase db push</t>
        </is>
      </c>
      <c r="AP8" s="18" t="inlineStr">
        <is>
          <t>Every change gets its own file.</t>
        </is>
      </c>
      <c r="AQ8" s="18" t="inlineStr">
        <is>
          <t>Storing every table change as a migration and applying it to staging and production.</t>
        </is>
      </c>
      <c r="AR8" s="18" t="inlineStr">
        <is>
          <t>An interviewer may ask: How do you keep database schemas in sync across environments?</t>
        </is>
      </c>
      <c r="AS8" s="18" t="inlineStr">
        <is>
          <t>It is like recipe cards applied in order.</t>
        </is>
      </c>
      <c r="AT8" s="18" t="inlineStr">
        <is>
          <t>Where are Supabase migration files kept?</t>
        </is>
      </c>
      <c r="AU8" s="18" t="inlineStr">
        <is>
          <t>A) public B) supabase/migrations C) node_modules D) .git/HEAD</t>
        </is>
      </c>
      <c r="AV8" s="18" t="inlineStr">
        <is>
          <t>B</t>
        </is>
      </c>
      <c r="AW8" s="18" t="inlineStr">
        <is>
          <t>The CLI stores migration SQL files in supabase/migrations.</t>
        </is>
      </c>
      <c r="AX8" s="19" t="inlineStr">
        <is>
          <t>supabase db ____ applies pending migrations to the remote project → push</t>
        </is>
      </c>
      <c r="AY8" s="18" t="inlineStr">
        <is>
          <t>Create a new migration called add_notes_table.</t>
        </is>
      </c>
      <c r="AZ8" s="19" t="inlineStr">
        <is>
          <t>supabase migration new add_notes_table</t>
        </is>
      </c>
      <c r="BA8" s="18" t="inlineStr">
        <is>
          <t>Write the commands to create a migration and apply it to your project.</t>
        </is>
      </c>
      <c r="BB8" s="19" t="inlineStr">
        <is>
          <t>Which command generates a migration from changes made in the local database?</t>
        </is>
      </c>
      <c r="BC8" s="19" t="inlineStr">
        <is>
          <t>supabase db diff</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94.5" customHeight="1">
      <c r="A9" s="17" t="inlineStr">
        <is>
          <t>SUP-016</t>
        </is>
      </c>
      <c r="B9" s="17" t="inlineStr">
        <is>
          <t>03 API and client</t>
        </is>
      </c>
      <c r="C9" s="17" t="inlineStr">
        <is>
          <t>Beginner</t>
        </is>
      </c>
      <c r="D9" s="17" t="n">
        <v>16</v>
      </c>
      <c r="E9" s="17" t="inlineStr">
        <is>
          <t>Claude knowledge</t>
        </is>
      </c>
      <c r="F9" s="18" t="inlineStr">
        <is>
          <t>createClient (supabase-js setup)</t>
        </is>
      </c>
      <c r="G9" s="18" t="inlineStr">
        <is>
          <t>Which function from the supabase-js library gives your code a connection object to talk to a project?</t>
        </is>
      </c>
      <c r="H9" s="17" t="n"/>
      <c r="I9" s="18" t="inlineStr">
        <is>
          <t>JavaScript function</t>
        </is>
      </c>
      <c r="J9" s="18" t="inlineStr">
        <is>
          <t>Very high</t>
        </is>
      </c>
      <c r="K9" s="18" t="n">
        <v>5</v>
      </c>
      <c r="L9" s="18" t="inlineStr">
        <is>
          <t>Your code needs one reusable object that knows the project URL and key, so the library offers createClient to build it.</t>
        </is>
      </c>
      <c r="M9" s="18" t="inlineStr">
        <is>
          <t>Create the client once in a small module and import it wherever you need it.</t>
        </is>
      </c>
      <c r="N9" s="17" t="n"/>
      <c r="O9" s="18" t="inlineStr">
        <is>
          <t>createClient is plugging your app into the project with one cable carrying the address and the pass.</t>
        </is>
      </c>
      <c r="P9" s="18" t="inlineStr">
        <is>
          <t>A code file creating one object that other files import.</t>
        </is>
      </c>
      <c r="Q9" s="18" t="inlineStr">
        <is>
          <t>The satisfaction of the very first query working.</t>
        </is>
      </c>
      <c r="R9" s="18" t="inlineStr">
        <is>
          <t>createClient builds a Supabase client from the project URL and key, which you use to call the database, auth, storage and functions.</t>
        </is>
      </c>
      <c r="S9" s="17" t="n"/>
      <c r="T9" s="19" t="inlineStr">
        <is>
          <t>import { createClient } from "@supabase/supabase-js";
const supabase = createClient(
  process.env.NEXT_PUBLIC_SUPABASE_URL,
  process.env.NEXT_PUBLIC_SUPABASE_ANON_KEY
);
export default supabase;</t>
        </is>
      </c>
      <c r="U9" s="19" t="inlineStr">
        <is>
          <t>A client object named supabase that your code uses for every Supabase call.</t>
        </is>
      </c>
      <c r="V9" s="18" t="inlineStr">
        <is>
          <t>Install the package with npm install @supabase/supabase-js. The client reads the URL and client key, and exposes helpers such as from for tables, auth for login, storage for files and rpc for functions. Server code that needs the service role key should use a separate client, created only on the server.</t>
        </is>
      </c>
      <c r="W9" s="18" t="inlineStr">
        <is>
          <t>Install the library, call createClient with your URL and key, and keep the result in one module. Then use it for every call.</t>
        </is>
      </c>
      <c r="X9" s="18" t="inlineStr">
        <is>
          <t>It is like plugging your app into the project with one cable that carries the address and the pass.</t>
        </is>
      </c>
      <c r="Y9" s="19" t="inlineStr">
        <is>
          <t>createClient(supabaseUrl, supabaseKey)</t>
        </is>
      </c>
      <c r="Z9" s="18" t="inlineStr">
        <is>
          <t>createClient = make the client | supabaseUrl = project address | supabaseKey = client key</t>
        </is>
      </c>
      <c r="AA9" s="19" t="inlineStr">
        <is>
          <t>const supabase = createClient(url, anonKey);</t>
        </is>
      </c>
      <c r="AB9" s="19" t="inlineStr">
        <is>
          <t>const admin = createClient(url, process.env.SUPABASE_SERVICE_ROLE_KEY);</t>
        </is>
      </c>
      <c r="AC9" s="19" t="inlineStr">
        <is>
          <t>import supabase from "./lib/supabase";</t>
        </is>
      </c>
      <c r="AD9" s="19" t="inlineStr">
        <is>
          <t>createBrowserClient and createServerClient from @supabase/ssr   // for frameworks with server rendering</t>
        </is>
      </c>
      <c r="AE9" s="18" t="inlineStr">
        <is>
          <t>environment variables, auth, from, rpc</t>
        </is>
      </c>
      <c r="AF9" s="18" t="inlineStr">
        <is>
          <t>project URL and keys, environment variables, server-side auth</t>
        </is>
      </c>
      <c r="AG9" s="18" t="inlineStr">
        <is>
          <t>Calling the REST API directly with fetch</t>
        </is>
      </c>
      <c r="AH9" s="17" t="n"/>
      <c r="AI9" s="18" t="inlineStr">
        <is>
          <t>Every JavaScript app on Supabase | Server and browser code | Scripts</t>
        </is>
      </c>
      <c r="AJ9" s="18" t="inlineStr">
        <is>
          <t>A: How do I connect my app to Supabase? | B: Install supabase-js and call createClient with the URL and key.</t>
        </is>
      </c>
      <c r="AK9" s="18" t="inlineStr">
        <is>
          <t>✗ I should create a new client for every single query → ✓ Create the client once and reuse it, except for separate server-side admin clients</t>
        </is>
      </c>
      <c r="AL9" s="18" t="inlineStr">
        <is>
          <t>Browser client vs admin client: the browser client uses the anon key, the admin client uses the service role key on a server.</t>
        </is>
      </c>
      <c r="AM9" s="18" t="inlineStr">
        <is>
          <t>Do not create a client with the service role key in browser code.</t>
        </is>
      </c>
      <c r="AN9" s="19" t="inlineStr">
        <is>
          <t>const supabase = createClient(process.env.SUPABASE_SERVICE_ROLE_KEY);</t>
        </is>
      </c>
      <c r="AO9" s="19" t="inlineStr">
        <is>
          <t>const supabase = createClient(process.env.NEXT_PUBLIC_SUPABASE_URL, process.env.NEXT_PUBLIC_SUPABASE_ANON_KEY);</t>
        </is>
      </c>
      <c r="AP9" s="18" t="inlineStr">
        <is>
          <t>One client, created once, reused everywhere.</t>
        </is>
      </c>
      <c r="AQ9" s="18" t="inlineStr">
        <is>
          <t>Keeping the client in a single file that all components import.</t>
        </is>
      </c>
      <c r="AR9" s="18" t="inlineStr">
        <is>
          <t>An interviewer may ask: How do you initialise supabase-js?</t>
        </is>
      </c>
      <c r="AS9" s="18" t="inlineStr">
        <is>
          <t>It is like plugging your app in with one cable.</t>
        </is>
      </c>
      <c r="AT9" s="18" t="inlineStr">
        <is>
          <t>Which two things does createClient need?</t>
        </is>
      </c>
      <c r="AU9" s="18" t="inlineStr">
        <is>
          <t>A) A region and a bucket B) A username and a file C) A table name and a row D) The project URL and a key</t>
        </is>
      </c>
      <c r="AV9" s="18" t="inlineStr">
        <is>
          <t>D</t>
        </is>
      </c>
      <c r="AW9" s="18" t="inlineStr">
        <is>
          <t>The client needs to know which project and how to authenticate.</t>
        </is>
      </c>
      <c r="AX9" s="19" t="inlineStr">
        <is>
          <t>The function that builds the client object is called ____ → createClient</t>
        </is>
      </c>
      <c r="AY9" s="18" t="inlineStr">
        <is>
          <t>Create a client from the URL and the anon key variables.</t>
        </is>
      </c>
      <c r="AZ9" s="19" t="inlineStr">
        <is>
          <t>const supabase = createClient(process.env.NEXT_PUBLIC_SUPABASE_URL, process.env.NEXT_PUBLIC_SUPABASE_ANON_KEY);</t>
        </is>
      </c>
      <c r="BA9" s="18" t="inlineStr">
        <is>
          <t>Write a small module that exports the client.</t>
        </is>
      </c>
      <c r="BB9" s="19" t="inlineStr">
        <is>
          <t>Which package contains createClient?</t>
        </is>
      </c>
      <c r="BC9" s="19" t="inlineStr">
        <is>
          <t>@supabase/supabase-js</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94.5" customHeight="1">
      <c r="A10" s="17" t="inlineStr">
        <is>
          <t>SUP-017</t>
        </is>
      </c>
      <c r="B10" s="17" t="inlineStr">
        <is>
          <t>03 API and client</t>
        </is>
      </c>
      <c r="C10" s="17" t="inlineStr">
        <is>
          <t>Beginner</t>
        </is>
      </c>
      <c r="D10" s="17" t="n">
        <v>17</v>
      </c>
      <c r="E10" s="17" t="inlineStr">
        <is>
          <t>Claude knowledge</t>
        </is>
      </c>
      <c r="F10" s="18" t="inlineStr">
        <is>
          <t>select (reading rows)</t>
        </is>
      </c>
      <c r="G10" s="18" t="inlineStr">
        <is>
          <t>Which supabase-js call reads rows from a table, and what does it return?</t>
        </is>
      </c>
      <c r="H10" s="17" t="n"/>
      <c r="I10" s="18" t="inlineStr">
        <is>
          <t>JavaScript method</t>
        </is>
      </c>
      <c r="J10" s="18" t="inlineStr">
        <is>
          <t>Very high</t>
        </is>
      </c>
      <c r="K10" s="18" t="n">
        <v>5</v>
      </c>
      <c r="L10" s="18" t="inlineStr">
        <is>
          <t>Reading data is the most common job of an app, so the client wraps the REST API in a readable chain starting with from and select.</t>
        </is>
      </c>
      <c r="M10" s="18" t="inlineStr">
        <is>
          <t>Choose only the columns you need in select, instead of asking for everything.</t>
        </is>
      </c>
      <c r="N10" s="17" t="n"/>
      <c r="O10" s="18" t="inlineStr">
        <is>
          <t>select is asking the shop assistant to bring only the items you name.</t>
        </is>
      </c>
      <c r="P10" s="18" t="inlineStr">
        <is>
          <t>A call chain from a table name to a result holding rows and an error slot.</t>
        </is>
      </c>
      <c r="Q10" s="18" t="inlineStr">
        <is>
          <t>The thrill of seeing your own rows appear in the console.</t>
        </is>
      </c>
      <c r="R10" s="18" t="inlineStr">
        <is>
          <t>from(table).select(columns) reads rows and resolves to an object with data and error.</t>
        </is>
      </c>
      <c r="S10" s="17" t="n"/>
      <c r="T10" s="19" t="inlineStr">
        <is>
          <t>const { data, error } = await supabase
  .from("todos")
  .select("id, title")
  .limit(10);
if (error) throw error;
console.log(data);</t>
        </is>
      </c>
      <c r="U10" s="19" t="inlineStr">
        <is>
          <t>An array such as [{ id: 1, title: "Buy milk" }, { id: 2, title: "Study" }].</t>
        </is>
      </c>
      <c r="V10" s="18" t="inlineStr">
        <is>
          <t>supabase-js does not throw when a query fails, it returns an error object, so you must check error. Without a filter, select returns all rows the policies allow, up to a server limit. You list columns as a string, and can include related tables such as profiles(full_name).</t>
        </is>
      </c>
      <c r="W10" s="18" t="inlineStr">
        <is>
          <t>Call from with the table name and select with the columns. You get back data and error, so always check the error before using the data.</t>
        </is>
      </c>
      <c r="X10" s="18" t="inlineStr">
        <is>
          <t>It is like asking the shop assistant to bring only the items you name.</t>
        </is>
      </c>
      <c r="Y10" s="19" t="inlineStr">
        <is>
          <t>await supabase.from("table").select("col1, col2")</t>
        </is>
      </c>
      <c r="Z10" s="18" t="inlineStr">
        <is>
          <t>from = which table | select = which columns | data = the rows | error = the problem, if any</t>
        </is>
      </c>
      <c r="AA10" s="19" t="inlineStr">
        <is>
          <t>await supabase.from("todos").select("*");</t>
        </is>
      </c>
      <c r="AB10" s="19" t="inlineStr">
        <is>
          <t>await supabase.from("todos").select("id, title");</t>
        </is>
      </c>
      <c r="AC10" s="19" t="inlineStr">
        <is>
          <t>await supabase.from("todos").select("id, title, done");</t>
        </is>
      </c>
      <c r="AD10" s="19" t="inlineStr">
        <is>
          <t>.single()   // expect exactly one row
.limit(10)   // at most ten rows</t>
        </is>
      </c>
      <c r="AE10" s="18" t="inlineStr">
        <is>
          <t>limit, filters, order, error handling</t>
        </is>
      </c>
      <c r="AF10" s="18" t="inlineStr">
        <is>
          <t>filters and ordering, createClient, joins</t>
        </is>
      </c>
      <c r="AG10" s="18" t="inlineStr">
        <is>
          <t>A GET request to the REST API</t>
        </is>
      </c>
      <c r="AH10" s="17" t="n"/>
      <c r="AI10" s="18" t="inlineStr">
        <is>
          <t>Lists | Detail pages | Dashboards</t>
        </is>
      </c>
      <c r="AJ10" s="18" t="inlineStr">
        <is>
          <t>A: My list is undefined. | B: You must destructure data and check error, since the call returns an object with both.</t>
        </is>
      </c>
      <c r="AK10" s="18" t="inlineStr">
        <is>
          <t>✗ supabase-js throws an error when a query fails → ✓ It returns an error object, so you must check error yourself</t>
        </is>
      </c>
      <c r="AL10" s="18" t="inlineStr">
        <is>
          <t>data vs error: data holds the rows on success, error holds the problem on failure.</t>
        </is>
      </c>
      <c r="AM10" s="18" t="inlineStr">
        <is>
          <t>Do not use the data before checking error.</t>
        </is>
      </c>
      <c r="AN10" s="19" t="inlineStr">
        <is>
          <t>const todos = await supabase.from("todos").select("*");</t>
        </is>
      </c>
      <c r="AO10" s="19" t="inlineStr">
        <is>
          <t>const { data: todos, error } = await supabase.from("todos").select("*");</t>
        </is>
      </c>
      <c r="AP10" s="18" t="inlineStr">
        <is>
          <t>Always check error before using data.</t>
        </is>
      </c>
      <c r="AQ10" s="18" t="inlineStr">
        <is>
          <t>Listing a user's lessons and showing a message if error is set.</t>
        </is>
      </c>
      <c r="AR10" s="18" t="inlineStr">
        <is>
          <t>An interviewer may ask: How does supabase-js report errors?</t>
        </is>
      </c>
      <c r="AS10" s="18" t="inlineStr">
        <is>
          <t>It is like asking an assistant to bring only the items you name.</t>
        </is>
      </c>
      <c r="AT10" s="18" t="inlineStr">
        <is>
          <t>What does select return in supabase-js?</t>
        </is>
      </c>
      <c r="AU10" s="18" t="inlineStr">
        <is>
          <t>A) An object with data and error B) A string C) A boolean D) Only an array</t>
        </is>
      </c>
      <c r="AV10" s="18" t="inlineStr">
        <is>
          <t>A</t>
        </is>
      </c>
      <c r="AW10" s="18" t="inlineStr">
        <is>
          <t>The result is an object holding data and error.</t>
        </is>
      </c>
      <c r="AX10" s="19" t="inlineStr">
        <is>
          <t>const { data, ____ } = await supabase.from("todos").select("*"); → error</t>
        </is>
      </c>
      <c r="AY10" s="18" t="inlineStr">
        <is>
          <t>Read the title column of all todos.</t>
        </is>
      </c>
      <c r="AZ10" s="19" t="inlineStr">
        <is>
          <t>const { data, error } = await supabase.from("todos").select("title");</t>
        </is>
      </c>
      <c r="BA10" s="18" t="inlineStr">
        <is>
          <t>Write a query that reads the name and price of products.</t>
        </is>
      </c>
      <c r="BB10" s="19" t="inlineStr">
        <is>
          <t>What does .single() expect from a query?</t>
        </is>
      </c>
      <c r="BC10" s="19" t="inlineStr">
        <is>
          <t>Exactly one row.</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94.5" customHeight="1">
      <c r="A11" s="17" t="inlineStr">
        <is>
          <t>SUP-018</t>
        </is>
      </c>
      <c r="B11" s="17" t="inlineStr">
        <is>
          <t>03 API and client</t>
        </is>
      </c>
      <c r="C11" s="17" t="inlineStr">
        <is>
          <t>Beginner</t>
        </is>
      </c>
      <c r="D11" s="17" t="n">
        <v>18</v>
      </c>
      <c r="E11" s="17" t="inlineStr">
        <is>
          <t>Claude knowledge</t>
        </is>
      </c>
      <c r="F11" s="18" t="inlineStr">
        <is>
          <t>insert (adding rows)</t>
        </is>
      </c>
      <c r="G11" s="18" t="inlineStr">
        <is>
          <t>Which supabase-js call adds a new row to a table, and how do you get the created row back?</t>
        </is>
      </c>
      <c r="H11" s="17" t="n"/>
      <c r="I11" s="18" t="inlineStr">
        <is>
          <t>JavaScript method</t>
        </is>
      </c>
      <c r="J11" s="18" t="inlineStr">
        <is>
          <t>Very high</t>
        </is>
      </c>
      <c r="K11" s="18" t="n">
        <v>5</v>
      </c>
      <c r="L11" s="18" t="inlineStr">
        <is>
          <t>Apps constantly create records, so the client offers an insert method that sends a POST to the table's endpoint.</t>
        </is>
      </c>
      <c r="M11" s="18" t="inlineStr">
        <is>
          <t>Chain select after insert when you need the new row, including its generated id.</t>
        </is>
      </c>
      <c r="N11" s="17" t="n"/>
      <c r="O11" s="18" t="inlineStr">
        <is>
          <t>Insert is dropping a new card into the filing box, and select asks for a copy of the card back.</t>
        </is>
      </c>
      <c r="P11" s="18" t="inlineStr">
        <is>
          <t>An object flying into a table and a copy of the new row returning.</t>
        </is>
      </c>
      <c r="Q11" s="18" t="inlineStr">
        <is>
          <t>The satisfaction of watching a record appear in the dashboard.</t>
        </is>
      </c>
      <c r="R11" s="18" t="inlineStr">
        <is>
          <t>from(table).insert(values) adds one or more rows, and chaining select returns the created rows.</t>
        </is>
      </c>
      <c r="S11" s="17" t="n"/>
      <c r="T11" s="19" t="inlineStr">
        <is>
          <t>const { data, error } = await supabase
  .from("todos")
  .insert({ title: "Buy milk" })
  .select();
if (error) throw error;
console.log(data[0].id);</t>
        </is>
      </c>
      <c r="U11" s="19" t="inlineStr">
        <is>
          <t>The id generated for the new row, such as 3.</t>
        </is>
      </c>
      <c r="V11" s="18" t="inlineStr">
        <is>
          <t>insert accepts one object or an array of objects. In the current library versions it does not return the created rows unless you add select. Columns with defaults, such as ids and timestamps, are filled by the database. The insert must satisfy Row Level Security policies and table constraints.</t>
        </is>
      </c>
      <c r="W11" s="18" t="inlineStr">
        <is>
          <t>Pass an object with the column values to insert. Add select to get the new row back with its generated id.</t>
        </is>
      </c>
      <c r="X11" s="18" t="inlineStr">
        <is>
          <t>It is like dropping a new card into a filing box and asking for a copy back.</t>
        </is>
      </c>
      <c r="Y11" s="19" t="inlineStr">
        <is>
          <t>await supabase.from("table").insert(values).select()</t>
        </is>
      </c>
      <c r="Z11" s="18" t="inlineStr">
        <is>
          <t>insert = add rows | values = an object or array of objects | select = return the created rows</t>
        </is>
      </c>
      <c r="AA11" s="19" t="inlineStr">
        <is>
          <t>await supabase.from("todos").insert({ title: "Buy milk" });</t>
        </is>
      </c>
      <c r="AB11" s="19" t="inlineStr">
        <is>
          <t>await supabase.from("todos").insert([{ title: "A" }, { title: "B" }]);</t>
        </is>
      </c>
      <c r="AC11" s="19" t="inlineStr">
        <is>
          <t>const { data } = await supabase.from("todos").insert({ title: "Study" }).select();</t>
        </is>
      </c>
      <c r="AD11" s="19" t="inlineStr">
        <is>
          <t>.upsert({ id: 1, title: "New" })   // insert or update if the id exists</t>
        </is>
      </c>
      <c r="AE11" s="18" t="inlineStr">
        <is>
          <t>select, RLS policies, constraints, error handling</t>
        </is>
      </c>
      <c r="AF11" s="18" t="inlineStr">
        <is>
          <t>select, update and delete, Row Level Security</t>
        </is>
      </c>
      <c r="AG11" s="18" t="inlineStr">
        <is>
          <t>A POST request to the REST API</t>
        </is>
      </c>
      <c r="AH11" s="17" t="n"/>
      <c r="AI11" s="18" t="inlineStr">
        <is>
          <t>Forms | Creating records | Bulk imports</t>
        </is>
      </c>
      <c r="AJ11" s="18" t="inlineStr">
        <is>
          <t>A: I inserted a row but data is empty. | B: Add select after insert to get the new row back.</t>
        </is>
      </c>
      <c r="AK11" s="18" t="inlineStr">
        <is>
          <t>✗ insert always returns the new row → ✓ Without select, insert returns no rows, so chain select when you need them</t>
        </is>
      </c>
      <c r="AL11" s="18" t="inlineStr">
        <is>
          <t>insert vs upsert: insert always adds, upsert adds or updates when the key exists.</t>
        </is>
      </c>
      <c r="AM11" s="18" t="inlineStr">
        <is>
          <t>Do not ignore errors, since a policy may block the insert.</t>
        </is>
      </c>
      <c r="AN11" s="19" t="inlineStr">
        <is>
          <t>const { data } = await supabase.from("todos").insert({ title: "Buy milk" });</t>
        </is>
      </c>
      <c r="AO11" s="19" t="inlineStr">
        <is>
          <t>const { data } = await supabase.from("todos").insert({ title: "Buy milk" }).select();</t>
        </is>
      </c>
      <c r="AP11" s="18" t="inlineStr">
        <is>
          <t>Insert adds the row, select returns it.</t>
        </is>
      </c>
      <c r="AQ11" s="18" t="inlineStr">
        <is>
          <t>Creating a new lesson and showing it immediately using the returned row.</t>
        </is>
      </c>
      <c r="AR11" s="18" t="inlineStr">
        <is>
          <t>An interviewer may ask: How do you insert several rows at once?</t>
        </is>
      </c>
      <c r="AS11" s="18" t="inlineStr">
        <is>
          <t>It is like dropping a card in a filing box and asking for a copy back.</t>
        </is>
      </c>
      <c r="AT11" s="18" t="inlineStr">
        <is>
          <t>How do you get the inserted row back?</t>
        </is>
      </c>
      <c r="AU11" s="18" t="inlineStr">
        <is>
          <t>A) Use limit B) Chain select after insert C) Use rpc D) Call delete</t>
        </is>
      </c>
      <c r="AV11" s="18" t="inlineStr">
        <is>
          <t>B</t>
        </is>
      </c>
      <c r="AW11" s="18" t="inlineStr">
        <is>
          <t>select after insert returns the created rows.</t>
        </is>
      </c>
      <c r="AX11" s="19" t="inlineStr">
        <is>
          <t>await supabase.from("todos").____({ title: "Buy milk" }); → insert</t>
        </is>
      </c>
      <c r="AY11" s="18" t="inlineStr">
        <is>
          <t>Insert two todos titled A and B in one call.</t>
        </is>
      </c>
      <c r="AZ11" s="19" t="inlineStr">
        <is>
          <t>await supabase.from("todos").insert([{ title: "A" }, { title: "B" }]);</t>
        </is>
      </c>
      <c r="BA11" s="18" t="inlineStr">
        <is>
          <t>Write an insert for a note and read back its id.</t>
        </is>
      </c>
      <c r="BB11" s="19" t="inlineStr">
        <is>
          <t>What does upsert do?</t>
        </is>
      </c>
      <c r="BC11" s="19" t="inlineStr">
        <is>
          <t>It inserts a row, or updates it if the key already exists.</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94.5" customHeight="1">
      <c r="A12" s="17" t="inlineStr">
        <is>
          <t>SUP-019</t>
        </is>
      </c>
      <c r="B12" s="17" t="inlineStr">
        <is>
          <t>03 API and client</t>
        </is>
      </c>
      <c r="C12" s="17" t="inlineStr">
        <is>
          <t>Beginner</t>
        </is>
      </c>
      <c r="D12" s="17" t="n">
        <v>19</v>
      </c>
      <c r="E12" s="17" t="inlineStr">
        <is>
          <t>Claude knowledge</t>
        </is>
      </c>
      <c r="F12" s="18" t="inlineStr">
        <is>
          <t>update and delete</t>
        </is>
      </c>
      <c r="G12" s="18" t="inlineStr">
        <is>
          <t>Which supabase-js calls change or remove existing rows, and why must you add a filter to them?</t>
        </is>
      </c>
      <c r="H12" s="17" t="n"/>
      <c r="I12" s="18" t="inlineStr">
        <is>
          <t>JavaScript method</t>
        </is>
      </c>
      <c r="J12" s="18" t="inlineStr">
        <is>
          <t>Very high</t>
        </is>
      </c>
      <c r="K12" s="18" t="n">
        <v>5</v>
      </c>
      <c r="L12" s="18" t="inlineStr">
        <is>
          <t>Records change and disappear, so the client offers update and delete, which act on whichever rows match the filter you attach.</t>
        </is>
      </c>
      <c r="M12" s="18" t="inlineStr">
        <is>
          <t>Always add a filter such as eq("id", value), or the call can affect every row that your policies allow.</t>
        </is>
      </c>
      <c r="N12" s="17" t="n"/>
      <c r="O12" s="18" t="inlineStr">
        <is>
          <t>Update and delete are a pen and an eraser, and the filter is your finger pointing at which line to use them on.</t>
        </is>
      </c>
      <c r="P12" s="18" t="inlineStr">
        <is>
          <t>A pointer selecting one row before a change is applied.</t>
        </is>
      </c>
      <c r="Q12" s="18" t="inlineStr">
        <is>
          <t>The care of double-checking the filter before pressing run.</t>
        </is>
      </c>
      <c r="R12" s="18" t="inlineStr">
        <is>
          <t>update changes values in rows that match a filter, and delete removes rows that match a filter.</t>
        </is>
      </c>
      <c r="S12" s="17" t="n"/>
      <c r="T12" s="19" t="inlineStr">
        <is>
          <t>await supabase.from("todos").update({ done: true }).eq("id", 1);
await supabase.from("todos").delete().eq("id", 1);</t>
        </is>
      </c>
      <c r="U12" s="19" t="inlineStr">
        <is>
          <t>The todo with id 1 is marked done, and then it is removed from the table.</t>
        </is>
      </c>
      <c r="V12" s="18" t="inlineStr">
        <is>
          <t>Both methods need filters such as eq to pick the rows. Without a filter, the change could apply to many rows, and some setups reject it for safety. Row Level Security still applies, so a policy may block the change, and you will see zero affected rows or an error. Chain select to read the changed rows.</t>
        </is>
      </c>
      <c r="W12" s="18" t="inlineStr">
        <is>
          <t>Say what to change, then say which row. Without the filter you may touch far more than you meant.</t>
        </is>
      </c>
      <c r="X12" s="18" t="inlineStr">
        <is>
          <t>Update and delete are a pen and an eraser, and the filter is your finger pointing at the line.</t>
        </is>
      </c>
      <c r="Y12" s="19" t="inlineStr">
        <is>
          <t>await supabase.from("table").update(values).eq("col", value)</t>
        </is>
      </c>
      <c r="Z12" s="18" t="inlineStr">
        <is>
          <t>update(values) = new values | delete() = remove | eq = which rows</t>
        </is>
      </c>
      <c r="AA12" s="19" t="inlineStr">
        <is>
          <t>await supabase.from("todos").update({ title: "New" }).eq("id", 5);</t>
        </is>
      </c>
      <c r="AB12" s="19" t="inlineStr">
        <is>
          <t>await supabase.from("todos").delete().eq("id", 5);</t>
        </is>
      </c>
      <c r="AC12" s="19" t="inlineStr">
        <is>
          <t>await supabase.from("todos").delete().in("id", [1, 2, 3]);</t>
        </is>
      </c>
      <c r="AD12" s="19" t="inlineStr">
        <is>
          <t>.update({ done: true }).eq("user_id", userId).select()   // return the changed rows</t>
        </is>
      </c>
      <c r="AE12" s="18" t="inlineStr">
        <is>
          <t>eq, in, RLS policies, select</t>
        </is>
      </c>
      <c r="AF12" s="18" t="inlineStr">
        <is>
          <t>filters, Row Level Security, insert</t>
        </is>
      </c>
      <c r="AG12" s="18" t="inlineStr">
        <is>
          <t>A PATCH or DELETE request to the REST API</t>
        </is>
      </c>
      <c r="AH12" s="17" t="n"/>
      <c r="AI12" s="18" t="inlineStr">
        <is>
          <t>Editing records | Removing records | Clean-up jobs</t>
        </is>
      </c>
      <c r="AJ12" s="18" t="inlineStr">
        <is>
          <t>A: I deleted without a filter and lost many rows. | B: Always add a filter like eq on the id before running delete.</t>
        </is>
      </c>
      <c r="AK12" s="18" t="inlineStr">
        <is>
          <t>✗ update and delete affect only one row by default → ✓ They affect every row that matches the filter, so a missing filter can change many rows</t>
        </is>
      </c>
      <c r="AL12" s="18" t="inlineStr">
        <is>
          <t>update vs insert: update changes existing rows, insert adds new ones.</t>
        </is>
      </c>
      <c r="AM12" s="18" t="inlineStr">
        <is>
          <t>Never run delete without checking the filter.</t>
        </is>
      </c>
      <c r="AN12" s="19" t="inlineStr">
        <is>
          <t>await supabase.from("todos").delete();</t>
        </is>
      </c>
      <c r="AO12" s="19" t="inlineStr">
        <is>
          <t>await supabase.from("todos").delete().eq("id", 1);</t>
        </is>
      </c>
      <c r="AP12" s="18" t="inlineStr">
        <is>
          <t>No filter, no safe delete.</t>
        </is>
      </c>
      <c r="AQ12" s="18" t="inlineStr">
        <is>
          <t>Marking a single task done with update and eq on its id.</t>
        </is>
      </c>
      <c r="AR12" s="18" t="inlineStr">
        <is>
          <t>An interviewer may ask: What happens if you call delete without a filter?</t>
        </is>
      </c>
      <c r="AS12" s="18" t="inlineStr">
        <is>
          <t>It is like a pen and an eraser pointed at one line.</t>
        </is>
      </c>
      <c r="AT12" s="18" t="inlineStr">
        <is>
          <t>Which method picks the rows to change?</t>
        </is>
      </c>
      <c r="AU12" s="18" t="inlineStr">
        <is>
          <t>A) insert B) from C) eq D) createClient</t>
        </is>
      </c>
      <c r="AV12" s="18" t="inlineStr">
        <is>
          <t>C</t>
        </is>
      </c>
      <c r="AW12" s="18" t="inlineStr">
        <is>
          <t>eq filters rows by a column value.</t>
        </is>
      </c>
      <c r="AX12" s="19" t="inlineStr">
        <is>
          <t>await supabase.from("todos").update({ done: true }).____("id", 1); → eq</t>
        </is>
      </c>
      <c r="AY12" s="18" t="inlineStr">
        <is>
          <t>Delete the todo whose id is 7.</t>
        </is>
      </c>
      <c r="AZ12" s="19" t="inlineStr">
        <is>
          <t>await supabase.from("todos").delete().eq("id", 7);</t>
        </is>
      </c>
      <c r="BA12" s="18" t="inlineStr">
        <is>
          <t>Write an update that renames a note with a given id.</t>
        </is>
      </c>
      <c r="BB12" s="19" t="inlineStr">
        <is>
          <t>Which filter method matches a list of values?</t>
        </is>
      </c>
      <c r="BC12" s="19" t="inlineStr">
        <is>
          <t>in</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81" customHeight="1">
      <c r="A13" s="17" t="inlineStr">
        <is>
          <t>SUP-020</t>
        </is>
      </c>
      <c r="B13" s="17" t="inlineStr">
        <is>
          <t>03 API and client</t>
        </is>
      </c>
      <c r="C13" s="17" t="inlineStr">
        <is>
          <t>Intermediate</t>
        </is>
      </c>
      <c r="D13" s="17" t="n">
        <v>20</v>
      </c>
      <c r="E13" s="17" t="inlineStr">
        <is>
          <t>Claude knowledge</t>
        </is>
      </c>
      <c r="F13" s="18" t="inlineStr">
        <is>
          <t>Filters, ordering and pagination</t>
        </is>
      </c>
      <c r="G13" s="18" t="inlineStr">
        <is>
          <t>Which chained methods let you pick matching rows, sort them, and read them a page at a time?</t>
        </is>
      </c>
      <c r="H13" s="17" t="n"/>
      <c r="I13" s="18" t="inlineStr">
        <is>
          <t>JavaScript method</t>
        </is>
      </c>
      <c r="J13" s="18" t="inlineStr">
        <is>
          <t>Very high</t>
        </is>
      </c>
      <c r="K13" s="18" t="n">
        <v>5</v>
      </c>
      <c r="L13" s="18" t="inlineStr">
        <is>
          <t>Real lists need narrowing, sorting and paging, so the client offers filter methods that turn into query parameters on the REST API.</t>
        </is>
      </c>
      <c r="M13" s="18" t="inlineStr">
        <is>
          <t>Use range for pagination, and order by a stable column such as created_at so pages do not shuffle.</t>
        </is>
      </c>
      <c r="N13" s="17" t="n"/>
      <c r="O13" s="18" t="inlineStr">
        <is>
          <t>Filters, order and range are the sieve, the sorting tray and the page cutter of your query.</t>
        </is>
      </c>
      <c r="P13" s="18" t="inlineStr">
        <is>
          <t>A long list narrowing, sorting and slicing into the first ten rows.</t>
        </is>
      </c>
      <c r="Q13" s="18" t="inlineStr">
        <is>
          <t>The satisfaction of a tidy list that loads quickly.</t>
        </is>
      </c>
      <c r="R13" s="18" t="inlineStr">
        <is>
          <t>Methods such as eq, gt, ilike and in filter rows, order sorts them, and limit or range choose how many to read.</t>
        </is>
      </c>
      <c r="S13" s="17" t="n"/>
      <c r="T13" s="19" t="inlineStr">
        <is>
          <t>const { data } = await supabase
  .from("todos")
  .select("*")
  .eq("done", false)
  .order("created_at", { ascending: false })
  .range(0, 9);</t>
        </is>
      </c>
      <c r="U13" s="19" t="inlineStr">
        <is>
          <t>The ten newest todos that are not done.</t>
        </is>
      </c>
      <c r="V13" s="18" t="inlineStr">
        <is>
          <t>Common filters are eq, neq, gt, gte, lt, lte, like, ilike, in and is. order sorts by a column and accepts ascending false for newest first. range takes zero-based start and end positions, so range(0, 9) returns the first ten rows. limit sets a maximum count.</t>
        </is>
      </c>
      <c r="W13" s="18" t="inlineStr">
        <is>
          <t>Chain a filter to narrow rows, order to sort them, and range to take a page. Change the numbers in range to load the next page.</t>
        </is>
      </c>
      <c r="X13" s="18" t="inlineStr">
        <is>
          <t>It is like a sieve, a sorting tray and a page cutter on your query.</t>
        </is>
      </c>
      <c r="Y13" s="19" t="inlineStr">
        <is>
          <t>.eq("col", value).order("col", { ascending }).range(from, to)</t>
        </is>
      </c>
      <c r="Z13" s="18" t="inlineStr">
        <is>
          <t>eq = equals | order = sort | range = zero-based page window</t>
        </is>
      </c>
      <c r="AA13" s="19" t="inlineStr">
        <is>
          <t>.gt("price", 100)</t>
        </is>
      </c>
      <c r="AB13" s="19" t="inlineStr">
        <is>
          <t>.ilike("title", "%milk%")</t>
        </is>
      </c>
      <c r="AC13" s="19" t="inlineStr">
        <is>
          <t>.in("status", ["open", "paid"])</t>
        </is>
      </c>
      <c r="AD13" s="19" t="inlineStr">
        <is>
          <t>.range(10, 19)   // the second page of ten
.or("done.eq.true,priority.gt.2")   // either condition</t>
        </is>
      </c>
      <c r="AE13" s="18" t="inlineStr">
        <is>
          <t>select, limit, count, indexes</t>
        </is>
      </c>
      <c r="AF13" s="18" t="inlineStr">
        <is>
          <t>select, pagination, indexes</t>
        </is>
      </c>
      <c r="AG13" s="18" t="inlineStr">
        <is>
          <t>A database function called with rpc for complex filters</t>
        </is>
      </c>
      <c r="AH13" s="17" t="n"/>
      <c r="AI13" s="18" t="inlineStr">
        <is>
          <t>Lists and tables | Search boxes | Infinite scroll</t>
        </is>
      </c>
      <c r="AJ13" s="18" t="inlineStr">
        <is>
          <t>A: How do I show the newest ten items? | B: Order by created_at descending and use range 0 to 9.</t>
        </is>
      </c>
      <c r="AK13" s="18" t="inlineStr">
        <is>
          <t>✗ range(1, 10) returns the first ten rows → ✓ range uses zero-based positions, so range(0, 9) returns the first ten rows</t>
        </is>
      </c>
      <c r="AL13" s="18" t="inlineStr">
        <is>
          <t>limit vs range: limit sets a maximum count, range picks a start and end position.</t>
        </is>
      </c>
      <c r="AM13" s="18" t="inlineStr">
        <is>
          <t>Do not paginate without a stable order.</t>
        </is>
      </c>
      <c r="AN13" s="19" t="inlineStr">
        <is>
          <t>.range(1, 10)</t>
        </is>
      </c>
      <c r="AO13" s="19" t="inlineStr">
        <is>
          <t>.range(0, 9)</t>
        </is>
      </c>
      <c r="AP13" s="18" t="inlineStr">
        <is>
          <t>Range starts counting at zero.</t>
        </is>
      </c>
      <c r="AQ13" s="18" t="inlineStr">
        <is>
          <t>Loading a feed in pages of twenty with order and range.</t>
        </is>
      </c>
      <c r="AR13" s="18" t="inlineStr">
        <is>
          <t>An interviewer may ask: How do you paginate results in supabase-js?</t>
        </is>
      </c>
      <c r="AS13" s="18" t="inlineStr">
        <is>
          <t>It is like a sieve, a sorting tray and a page cutter.</t>
        </is>
      </c>
      <c r="AT13" s="18" t="inlineStr">
        <is>
          <t>Which call returns the first ten rows?</t>
        </is>
      </c>
      <c r="AU13" s="18" t="inlineStr">
        <is>
          <t>A) range(9, 9) B) range(10, 0) C) range(1, 10) D) range(0, 9)</t>
        </is>
      </c>
      <c r="AV13" s="18" t="inlineStr">
        <is>
          <t>D</t>
        </is>
      </c>
      <c r="AW13" s="18" t="inlineStr">
        <is>
          <t>Positions start at zero, so 0 to 9 is ten rows.</t>
        </is>
      </c>
      <c r="AX13" s="19" t="inlineStr">
        <is>
          <t>Sort newest first with .order("created_at", { ascending: ____ }) → false</t>
        </is>
      </c>
      <c r="AY13" s="18" t="inlineStr">
        <is>
          <t>Read todos that are done, newest first.</t>
        </is>
      </c>
      <c r="AZ13" s="19" t="inlineStr">
        <is>
          <t>await supabase.from("todos").select("*").eq("done", true).order("created_at", { ascending: false });</t>
        </is>
      </c>
      <c r="BA13" s="18" t="inlineStr">
        <is>
          <t>Write a query for the second page of ten products under a price limit.</t>
        </is>
      </c>
      <c r="BB13" s="19" t="inlineStr">
        <is>
          <t>Which filter does a case-insensitive text match?</t>
        </is>
      </c>
      <c r="BC13" s="19" t="inlineStr">
        <is>
          <t>ilike</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121.5" customHeight="1">
      <c r="A14" s="17" t="inlineStr">
        <is>
          <t>SUP-021</t>
        </is>
      </c>
      <c r="B14" s="17" t="inlineStr">
        <is>
          <t>03 API and client</t>
        </is>
      </c>
      <c r="C14" s="17" t="inlineStr">
        <is>
          <t>Advanced</t>
        </is>
      </c>
      <c r="D14" s="17" t="n">
        <v>21</v>
      </c>
      <c r="E14" s="17" t="inlineStr">
        <is>
          <t>Claude knowledge</t>
        </is>
      </c>
      <c r="F14" s="18" t="inlineStr">
        <is>
          <t>RPC (database functions)</t>
        </is>
      </c>
      <c r="G14" s="18" t="inlineStr">
        <is>
          <t>How do you call a Postgres function you wrote from your app, so heavy logic runs inside the database?</t>
        </is>
      </c>
      <c r="H14" s="17" t="n"/>
      <c r="I14" s="18" t="inlineStr">
        <is>
          <t>JavaScript method</t>
        </is>
      </c>
      <c r="J14" s="18" t="inlineStr">
        <is>
          <t>Medium</t>
        </is>
      </c>
      <c r="K14" s="18" t="n">
        <v>4</v>
      </c>
      <c r="L14" s="18" t="inlineStr">
        <is>
          <t>Some work, such as multi-step updates or aggregates, is faster and safer inside the database, so Supabase lets the client call Postgres functions through the API.</t>
        </is>
      </c>
      <c r="M14" s="18" t="inlineStr">
        <is>
          <t>Use functions for multi-step changes that must succeed or fail together, and keep security in mind.</t>
        </is>
      </c>
      <c r="N14" s="17" t="n"/>
      <c r="O14" s="18" t="inlineStr">
        <is>
          <t>RPC is dialling the database's own helper by name and passing it the numbers it needs.</t>
        </is>
      </c>
      <c r="P14" s="18" t="inlineStr">
        <is>
          <t>A function name with arguments going to the database and a result coming back.</t>
        </is>
      </c>
      <c r="Q14" s="18" t="inlineStr">
        <is>
          <t>The power of running complex logic next to the data.</t>
        </is>
      </c>
      <c r="R14" s="18" t="inlineStr">
        <is>
          <t>rpc calls a stored Postgres function by name with arguments and returns its result.</t>
        </is>
      </c>
      <c r="S14" s="17" t="n"/>
      <c r="T14" s="19" t="inlineStr">
        <is>
          <t>-- SQL
create function total_todos(owner uuid) returns bigint language sql as $$
  select count(*) from todos where user_id = owner;
$$;
// JavaScript
const { data, error } = await supabase.rpc("total_todos", { owner: userId });</t>
        </is>
      </c>
      <c r="U14" s="19" t="inlineStr">
        <is>
          <t>The number of todos that belong to the given user.</t>
        </is>
      </c>
      <c r="V14" s="18" t="inlineStr">
        <is>
          <t>You write the function in SQL or PL/pgSQL, and it appears in the API as a callable endpoint. Arguments are passed as an object whose keys match the parameter names. Functions run with the caller's rights by default, and security definer functions run with the owner's rights, which needs great care.</t>
        </is>
      </c>
      <c r="W14" s="18" t="inlineStr">
        <is>
          <t>Write a function in the database, then call it by name with rpc. It is useful for heavy or multi-step logic that should happen close to the data.</t>
        </is>
      </c>
      <c r="X14" s="18" t="inlineStr">
        <is>
          <t>It is like dialling the database's own helper by name and passing it the numbers it needs.</t>
        </is>
      </c>
      <c r="Y14" s="19" t="inlineStr">
        <is>
          <t>await supabase.rpc("function_name", { arg: value })</t>
        </is>
      </c>
      <c r="Z14" s="18" t="inlineStr">
        <is>
          <t>rpc = call a function | "function_name" = its name | { arg: value } = named arguments</t>
        </is>
      </c>
      <c r="AA14" s="19" t="inlineStr">
        <is>
          <t>await supabase.rpc("total_todos", { owner: userId });</t>
        </is>
      </c>
      <c r="AB14" s="19" t="inlineStr">
        <is>
          <t>await supabase.rpc("search_lessons", { term: "api" });</t>
        </is>
      </c>
      <c r="AC14" s="19" t="inlineStr">
        <is>
          <t>create function add_one(x int) returns int language sql as $$ select x + 1 $$;</t>
        </is>
      </c>
      <c r="AD14" s="19" t="inlineStr">
        <is>
          <t>security definer   // runs with the owner's rights, use carefully
language plpgsql   // for procedural logic with variables</t>
        </is>
      </c>
      <c r="AE14" s="18" t="inlineStr">
        <is>
          <t>SQL functions, PL/pgSQL, RLS, transactions</t>
        </is>
      </c>
      <c r="AF14" s="18" t="inlineStr">
        <is>
          <t>database functions and triggers, REST API, Row Level Security</t>
        </is>
      </c>
      <c r="AG14" s="18" t="inlineStr">
        <is>
          <t>Several client calls or an edge function</t>
        </is>
      </c>
      <c r="AH14" s="17" t="n"/>
      <c r="AI14" s="18" t="inlineStr">
        <is>
          <t>Aggregates | Multi-step updates | Search functions</t>
        </is>
      </c>
      <c r="AJ14" s="18" t="inlineStr">
        <is>
          <t>A: I need to update three tables together safely. | B: Put the steps in a database function and call it with rpc.</t>
        </is>
      </c>
      <c r="AK14" s="18" t="inlineStr">
        <is>
          <t>✗ Functions called through rpc always bypass Row Level Security → ✓ By default they run with the caller's rights, and only security definer functions run with the owner's rights</t>
        </is>
      </c>
      <c r="AL14" s="18" t="inlineStr">
        <is>
          <t>rpc vs edge function: rpc runs inside the database, an edge function runs your own server code outside it.</t>
        </is>
      </c>
      <c r="AM14" s="18" t="inlineStr">
        <is>
          <t>Do not make a function security definer without understanding the risk.</t>
        </is>
      </c>
      <c r="AN14" s="19" t="inlineStr">
        <is>
          <t>await supabase.rpc("total_todos", userId);</t>
        </is>
      </c>
      <c r="AO14" s="19" t="inlineStr">
        <is>
          <t>await supabase.rpc("total_todos", { owner: userId });</t>
        </is>
      </c>
      <c r="AP14" s="18" t="inlineStr">
        <is>
          <t>rpc passes named arguments in an object.</t>
        </is>
      </c>
      <c r="AQ14" s="18" t="inlineStr">
        <is>
          <t>Calling a function that moves points between two users in one transaction.</t>
        </is>
      </c>
      <c r="AR14" s="18" t="inlineStr">
        <is>
          <t>An interviewer may ask: When would you use a database function instead of several client calls?</t>
        </is>
      </c>
      <c r="AS14" s="18" t="inlineStr">
        <is>
          <t>It is like dialling a helper by name and giving it numbers.</t>
        </is>
      </c>
      <c r="AT14" s="18" t="inlineStr">
        <is>
          <t>How are arguments passed to rpc?</t>
        </is>
      </c>
      <c r="AU14" s="18" t="inlineStr">
        <is>
          <t>A) As a table B) As a single string C) As an object with named keys D) As a CSS rule</t>
        </is>
      </c>
      <c r="AV14" s="18" t="inlineStr">
        <is>
          <t>C</t>
        </is>
      </c>
      <c r="AW14" s="18" t="inlineStr">
        <is>
          <t>Keys in the object match the function's parameter names.</t>
        </is>
      </c>
      <c r="AX14" s="19" t="inlineStr">
        <is>
          <t>await supabase.____("total_todos", { owner: userId }); → rpc</t>
        </is>
      </c>
      <c r="AY14" s="18" t="inlineStr">
        <is>
          <t>Call a database function named total_notes with no arguments.</t>
        </is>
      </c>
      <c r="AZ14" s="19" t="inlineStr">
        <is>
          <t>await supabase.rpc("total_notes");</t>
        </is>
      </c>
      <c r="BA14" s="18" t="inlineStr">
        <is>
          <t>Write a SQL function that returns the number of lessons in a course.</t>
        </is>
      </c>
      <c r="BB14" s="19" t="inlineStr">
        <is>
          <t>What does security definer change about a function?</t>
        </is>
      </c>
      <c r="BC14" s="19" t="inlineStr">
        <is>
          <t>It makes the function run with its owner's rights instead of the caller's.</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row r="15" ht="135" customHeight="1">
      <c r="A15" s="17" t="inlineStr">
        <is>
          <t>SUP-023</t>
        </is>
      </c>
      <c r="B15" s="17" t="inlineStr">
        <is>
          <t>04 Auth</t>
        </is>
      </c>
      <c r="C15" s="17" t="inlineStr">
        <is>
          <t>Beginner</t>
        </is>
      </c>
      <c r="D15" s="17" t="n">
        <v>23</v>
      </c>
      <c r="E15" s="17" t="inlineStr">
        <is>
          <t>Claude knowledge</t>
        </is>
      </c>
      <c r="F15" s="18" t="inlineStr">
        <is>
          <t>Email and password sign-up and login</t>
        </is>
      </c>
      <c r="G15" s="18" t="inlineStr">
        <is>
          <t>Which supabase-js methods create an account and log a user in with an email and password?</t>
        </is>
      </c>
      <c r="H15" s="17" t="n"/>
      <c r="I15" s="18" t="inlineStr">
        <is>
          <t>JavaScript method</t>
        </is>
      </c>
      <c r="J15" s="18" t="inlineStr">
        <is>
          <t>Very high</t>
        </is>
      </c>
      <c r="K15" s="18" t="n">
        <v>5</v>
      </c>
      <c r="L15" s="18" t="inlineStr">
        <is>
          <t>Email and password is the most familiar way to sign in, so the auth client provides simple methods for registering and signing in with it.</t>
        </is>
      </c>
      <c r="M15" s="18" t="inlineStr">
        <is>
          <t>Expect to confirm the email address by default, and handle that state in your interface.</t>
        </is>
      </c>
      <c r="N15" s="17" t="n"/>
      <c r="O15" s="18" t="inlineStr">
        <is>
          <t>signUp opens the account and signInWithPassword unlocks it on later visits.</t>
        </is>
      </c>
      <c r="P15" s="18" t="inlineStr">
        <is>
          <t>A form sending an email and password and receiving a session.</t>
        </is>
      </c>
      <c r="Q15" s="18" t="inlineStr">
        <is>
          <t>The pleasure of the first successful login.</t>
        </is>
      </c>
      <c r="R15" s="18" t="inlineStr">
        <is>
          <t>auth.signUp creates a new user, and auth.signInWithPassword logs an existing user in.</t>
        </is>
      </c>
      <c r="S15" s="17" t="n"/>
      <c r="T15" s="19" t="inlineStr">
        <is>
          <t>const { error: signUpError } = await supabase.auth.signUp({
  email: "asha@example.com",
  password: "a-long-strong-password"
});
const { data, error } = await supabase.auth.signInWithPassword({
  email: "asha@example.com",
  password: "a-long-strong-password"
});</t>
        </is>
      </c>
      <c r="U15" s="19" t="inlineStr">
        <is>
          <t>signUp creates the user, and signInWithPassword returns data.session with the access token when the credentials are correct.</t>
        </is>
      </c>
      <c r="V15" s="18" t="inlineStr">
        <is>
          <t>With the default settings a new user must confirm their email before they can sign in, and the confirmation email contains a link. Passwords are hashed by Supabase and never stored in plain text. Wrong credentials return an error, so check it. The session is stored by the library and refreshed automatically.</t>
        </is>
      </c>
      <c r="W15" s="18" t="inlineStr">
        <is>
          <t>Call signUp once to create the account and signInWithPassword to log in. Always check the error and handle the email confirmation step.</t>
        </is>
      </c>
      <c r="X15" s="18" t="inlineStr">
        <is>
          <t>It is like opening an account at a bank and then showing your card on each visit.</t>
        </is>
      </c>
      <c r="Y15" s="19" t="inlineStr">
        <is>
          <t>supabase.auth.signUp({ email, password })  |  supabase.auth.signInWithPassword({ email, password })</t>
        </is>
      </c>
      <c r="Z15" s="18" t="inlineStr">
        <is>
          <t>signUp = create the account | signInWithPassword = log in | session = what you get on success</t>
        </is>
      </c>
      <c r="AA15" s="19" t="inlineStr">
        <is>
          <t>await supabase.auth.signUp({ email, password });</t>
        </is>
      </c>
      <c r="AB15" s="19" t="inlineStr">
        <is>
          <t>await supabase.auth.signInWithPassword({ email, password });</t>
        </is>
      </c>
      <c r="AC15" s="19" t="inlineStr">
        <is>
          <t>await supabase.auth.signOut();</t>
        </is>
      </c>
      <c r="AD15" s="19" t="inlineStr">
        <is>
          <t>await supabase.auth.resetPasswordForEmail(email)   // start a password reset</t>
        </is>
      </c>
      <c r="AE15" s="18" t="inlineStr">
        <is>
          <t>session, email confirmation, signOut, RLS</t>
        </is>
      </c>
      <c r="AF15" s="18" t="inlineStr">
        <is>
          <t>Supabase Auth, sessions and JWT, magic link</t>
        </is>
      </c>
      <c r="AG15" s="18" t="inlineStr">
        <is>
          <t>Magic links or social login</t>
        </is>
      </c>
      <c r="AH15" s="17" t="n"/>
      <c r="AI15" s="18" t="inlineStr">
        <is>
          <t>Sign-up pages | Login pages | Account recovery</t>
        </is>
      </c>
      <c r="AJ15" s="18" t="inlineStr">
        <is>
          <t>A: A new user cannot log in right after signing up. | B: They may need to confirm their email first.</t>
        </is>
      </c>
      <c r="AK15" s="18" t="inlineStr">
        <is>
          <t>✗ signUp logs the user in with no further steps in every setup → ✓ With email confirmation on, the user must confirm their address before they can sign in</t>
        </is>
      </c>
      <c r="AL15" s="18" t="inlineStr">
        <is>
          <t>signUp vs signIn: signUp creates the account, signIn logs in an existing one.</t>
        </is>
      </c>
      <c r="AM15" s="18" t="inlineStr">
        <is>
          <t>Do not ignore the error returned by the call.</t>
        </is>
      </c>
      <c r="AN15" s="19" t="inlineStr">
        <is>
          <t>await supabase.auth.signIn({ email, password });</t>
        </is>
      </c>
      <c r="AO15" s="19" t="inlineStr">
        <is>
          <t>await supabase.auth.signInWithPassword({ email, password });</t>
        </is>
      </c>
      <c r="AP15" s="18" t="inlineStr">
        <is>
          <t>signUp creates the account, signIn enters it.</t>
        </is>
      </c>
      <c r="AQ15" s="18" t="inlineStr">
        <is>
          <t>Building a login page that shows a message to confirm the email.</t>
        </is>
      </c>
      <c r="AR15" s="18" t="inlineStr">
        <is>
          <t>An interviewer may ask: How does Supabase protect user passwords?</t>
        </is>
      </c>
      <c r="AS15" s="18" t="inlineStr">
        <is>
          <t>It is like opening a bank account and showing your card on each visit.</t>
        </is>
      </c>
      <c r="AT15" s="18" t="inlineStr">
        <is>
          <t>Which method logs in with an email and password?</t>
        </is>
      </c>
      <c r="AU15" s="18" t="inlineStr">
        <is>
          <t>A) getUser B) signInWithPassword C) signUp D) signOut</t>
        </is>
      </c>
      <c r="AV15" s="18" t="inlineStr">
        <is>
          <t>B</t>
        </is>
      </c>
      <c r="AW15" s="18" t="inlineStr">
        <is>
          <t>signInWithPassword authenticates an existing user.</t>
        </is>
      </c>
      <c r="AX15" s="19" t="inlineStr">
        <is>
          <t>await supabase.auth.____(); logs the user out → signOut</t>
        </is>
      </c>
      <c r="AY15" s="18" t="inlineStr">
        <is>
          <t>Create an account with an email and password.</t>
        </is>
      </c>
      <c r="AZ15" s="19" t="inlineStr">
        <is>
          <t>await supabase.auth.signUp({ email, password });</t>
        </is>
      </c>
      <c r="BA15" s="18" t="inlineStr">
        <is>
          <t>Write sign-up and login functions for a form.</t>
        </is>
      </c>
      <c r="BB15" s="19" t="inlineStr">
        <is>
          <t>Why might a new user be unable to log in immediately?</t>
        </is>
      </c>
      <c r="BC15" s="19" t="inlineStr">
        <is>
          <t>Email confirmation may be required first.</t>
        </is>
      </c>
      <c r="BD15" s="17">
        <f>IF(K15="","",REPT("★",K15)&amp;REPT("☆",5-K15)&amp;" ("&amp;K15&amp;"/5)")</f>
        <v/>
      </c>
      <c r="BE15" s="17">
        <f>IF(S15="","","Meaning: "&amp;S15&amp;"  =  ______   (Answer: "&amp;F15&amp;")")</f>
        <v/>
      </c>
      <c r="BF15" s="17" t="inlineStr">
        <is>
          <t>New</t>
        </is>
      </c>
      <c r="BG15" s="17" t="n"/>
      <c r="BH15" s="17" t="n"/>
      <c r="BI15" s="17" t="n"/>
      <c r="BJ15" s="17" t="n"/>
      <c r="BK15" s="17" t="n"/>
      <c r="BL15" s="17" t="n"/>
      <c r="BM15" s="17" t="n"/>
      <c r="BN15" s="17" t="n"/>
    </row>
    <row r="16" ht="94.5" customHeight="1">
      <c r="A16" s="17" t="inlineStr">
        <is>
          <t>SUP-024</t>
        </is>
      </c>
      <c r="B16" s="17" t="inlineStr">
        <is>
          <t>04 Auth</t>
        </is>
      </c>
      <c r="C16" s="17" t="inlineStr">
        <is>
          <t>Intermediate</t>
        </is>
      </c>
      <c r="D16" s="17" t="n">
        <v>24</v>
      </c>
      <c r="E16" s="17" t="inlineStr">
        <is>
          <t>Claude knowledge</t>
        </is>
      </c>
      <c r="F16" s="18" t="inlineStr">
        <is>
          <t>Social login (OAuth providers)</t>
        </is>
      </c>
      <c r="G16" s="18" t="inlineStr">
        <is>
          <t>How do you let users sign in with an existing account such as GitHub or Google?</t>
        </is>
      </c>
      <c r="H16" s="17" t="n"/>
      <c r="I16" s="18" t="inlineStr">
        <is>
          <t>JavaScript method</t>
        </is>
      </c>
      <c r="J16" s="18" t="inlineStr">
        <is>
          <t>High</t>
        </is>
      </c>
      <c r="K16" s="18" t="n">
        <v>4</v>
      </c>
      <c r="L16" s="18" t="inlineStr">
        <is>
          <t>Users dislike creating yet another password, so Supabase supports signing in through trusted providers using OAuth.</t>
        </is>
      </c>
      <c r="M16" s="18" t="inlineStr">
        <is>
          <t>Add your site's redirect URLs to the allowed list in the Auth settings, or the login will be rejected.</t>
        </is>
      </c>
      <c r="N16" s="17" t="n"/>
      <c r="O16" s="18" t="inlineStr">
        <is>
          <t>Social login is showing a trusted ID from another club, so this club lets you in without a new card.</t>
        </is>
      </c>
      <c r="P16" s="18" t="inlineStr">
        <is>
          <t>A button sending the user to a provider and returning with a session.</t>
        </is>
      </c>
      <c r="Q16" s="18" t="inlineStr">
        <is>
          <t>The convenience of one click sign in.</t>
        </is>
      </c>
      <c r="R16" s="18" t="inlineStr">
        <is>
          <t>signInWithOAuth sends the user to a provider to log in and then returns them to your site with a session.</t>
        </is>
      </c>
      <c r="S16" s="17" t="n"/>
      <c r="T16" s="19" t="inlineStr">
        <is>
          <t>await supabase.auth.signInWithOAuth({
  provider: "github",
  options: { redirectTo: "https://example.com/auth/callback" }
});</t>
        </is>
      </c>
      <c r="U16" s="19" t="inlineStr">
        <is>
          <t>The browser goes to GitHub to log in, then returns to the redirect address with the user signed in.</t>
        </is>
      </c>
      <c r="V16" s="18" t="inlineStr">
        <is>
          <t>First enable the provider in the dashboard and paste the client id and secret from the provider. Then allow your redirect URLs in the Auth settings. Supabase handles the OAuth exchange and creates the user in auth.users. Providers include Google, GitHub, Apple and many more.</t>
        </is>
      </c>
      <c r="W16" s="18" t="inlineStr">
        <is>
          <t>Turn on a provider in the dashboard, then call signInWithOAuth with its name. The user logs in there and comes back signed in.</t>
        </is>
      </c>
      <c r="X16" s="18" t="inlineStr">
        <is>
          <t>It is like showing a trusted ID from another club so this club lets you in without a new card.</t>
        </is>
      </c>
      <c r="Y16" s="19" t="inlineStr">
        <is>
          <t>supabase.auth.signInWithOAuth({ provider, options })</t>
        </is>
      </c>
      <c r="Z16" s="18" t="inlineStr">
        <is>
          <t>provider = which service | redirectTo = where to return | options = extra settings</t>
        </is>
      </c>
      <c r="AA16" s="19" t="inlineStr">
        <is>
          <t>await supabase.auth.signInWithOAuth({ provider: "google" });</t>
        </is>
      </c>
      <c r="AB16" s="19" t="inlineStr">
        <is>
          <t>await supabase.auth.signInWithOAuth({ provider: "github", options: { redirectTo } });</t>
        </is>
      </c>
      <c r="AC16" s="19" t="inlineStr">
        <is>
          <t>A callback page that finishes the login after the redirect.</t>
        </is>
      </c>
      <c r="AD16" s="19" t="inlineStr">
        <is>
          <t>scopes: "read:user"   // extra permissions from the provider</t>
        </is>
      </c>
      <c r="AE16" s="18" t="inlineStr">
        <is>
          <t>redirect URLs, provider settings, sessions</t>
        </is>
      </c>
      <c r="AF16" s="18" t="inlineStr">
        <is>
          <t>Supabase Auth, OAuth 2.0, sessions and JWT</t>
        </is>
      </c>
      <c r="AG16" s="18" t="inlineStr">
        <is>
          <t>Email and password or magic links</t>
        </is>
      </c>
      <c r="AH16" s="17" t="n"/>
      <c r="AI16" s="18" t="inlineStr">
        <is>
          <t>Sign-in pages | Consumer apps | Developer tools</t>
        </is>
      </c>
      <c r="AJ16" s="18" t="inlineStr">
        <is>
          <t>A: The Google login returns an error about the redirect. | B: Add that redirect URL to the allowed list in the Auth settings.</t>
        </is>
      </c>
      <c r="AK16" s="18" t="inlineStr">
        <is>
          <t>✗ Social login works without any setup in the provider or dashboard → ✓ You must enable the provider, add its client id and secret, and allow your redirect URLs</t>
        </is>
      </c>
      <c r="AL16" s="18" t="inlineStr">
        <is>
          <t>Social login vs password login: social login delegates identity to a provider, password login stores credentials with Supabase.</t>
        </is>
      </c>
      <c r="AM16" s="18" t="inlineStr">
        <is>
          <t>Do not commit provider secrets to code.</t>
        </is>
      </c>
      <c r="AN16" s="19" t="inlineStr">
        <is>
          <t>await supabase.auth.signInWithOAuth("github");</t>
        </is>
      </c>
      <c r="AO16" s="19" t="inlineStr">
        <is>
          <t>await supabase.auth.signInWithOAuth({ provider: "github" });</t>
        </is>
      </c>
      <c r="AP16" s="18" t="inlineStr">
        <is>
          <t>Enable the provider, allow the redirect.</t>
        </is>
      </c>
      <c r="AQ16" s="18" t="inlineStr">
        <is>
          <t>Adding a Sign in with Google button that returns to the dashboard page.</t>
        </is>
      </c>
      <c r="AR16" s="18" t="inlineStr">
        <is>
          <t>An interviewer may ask: What do you configure to add Google login?</t>
        </is>
      </c>
      <c r="AS16" s="18" t="inlineStr">
        <is>
          <t>It is like showing a trusted ID from another club.</t>
        </is>
      </c>
      <c r="AT16" s="18" t="inlineStr">
        <is>
          <t>What must you configure besides calling the method?</t>
        </is>
      </c>
      <c r="AU16" s="18" t="inlineStr">
        <is>
          <t>A) The provider and the allowed redirect URLs B) An index C) A new table D) A bucket</t>
        </is>
      </c>
      <c r="AV16" s="18" t="inlineStr">
        <is>
          <t>A</t>
        </is>
      </c>
      <c r="AW16" s="18" t="inlineStr">
        <is>
          <t>The provider must be enabled and the redirect must be allowed.</t>
        </is>
      </c>
      <c r="AX16" s="19" t="inlineStr">
        <is>
          <t>The page the user returns to after login is the ____ URL → redirect</t>
        </is>
      </c>
      <c r="AY16" s="18" t="inlineStr">
        <is>
          <t>Start a GitHub login.</t>
        </is>
      </c>
      <c r="AZ16" s="19" t="inlineStr">
        <is>
          <t>await supabase.auth.signInWithOAuth({ provider: "github" });</t>
        </is>
      </c>
      <c r="BA16" s="18" t="inlineStr">
        <is>
          <t>List the setup steps to add Google login.</t>
        </is>
      </c>
      <c r="BB16" s="19" t="inlineStr">
        <is>
          <t>Where do you enter a provider's client id and secret?</t>
        </is>
      </c>
      <c r="BC16" s="19" t="inlineStr">
        <is>
          <t>In the Authentication provider settings of the dashboard.</t>
        </is>
      </c>
      <c r="BD16" s="17">
        <f>IF(K16="","",REPT("★",K16)&amp;REPT("☆",5-K16)&amp;" ("&amp;K16&amp;"/5)")</f>
        <v/>
      </c>
      <c r="BE16" s="17">
        <f>IF(S16="","","Meaning: "&amp;S16&amp;"  =  ______   (Answer: "&amp;F16&amp;")")</f>
        <v/>
      </c>
      <c r="BF16" s="17" t="inlineStr">
        <is>
          <t>New</t>
        </is>
      </c>
      <c r="BG16" s="17" t="n"/>
      <c r="BH16" s="17" t="n"/>
      <c r="BI16" s="17" t="n"/>
      <c r="BJ16" s="17" t="n"/>
      <c r="BK16" s="17" t="n"/>
      <c r="BL16" s="17" t="n"/>
      <c r="BM16" s="17" t="n"/>
      <c r="BN16" s="17" t="n"/>
    </row>
    <row r="17" ht="94.5" customHeight="1">
      <c r="A17" s="17" t="inlineStr">
        <is>
          <t>SUP-025</t>
        </is>
      </c>
      <c r="B17" s="17" t="inlineStr">
        <is>
          <t>04 Auth</t>
        </is>
      </c>
      <c r="C17" s="17" t="inlineStr">
        <is>
          <t>Intermediate</t>
        </is>
      </c>
      <c r="D17" s="17" t="n">
        <v>25</v>
      </c>
      <c r="E17" s="17" t="inlineStr">
        <is>
          <t>Claude knowledge</t>
        </is>
      </c>
      <c r="F17" s="18" t="inlineStr">
        <is>
          <t>Magic links and one-time codes</t>
        </is>
      </c>
      <c r="G17" s="18" t="inlineStr">
        <is>
          <t>How can a user log in without a password by receiving a link or code by email?</t>
        </is>
      </c>
      <c r="H17" s="17" t="n"/>
      <c r="I17" s="18" t="inlineStr">
        <is>
          <t>JavaScript method</t>
        </is>
      </c>
      <c r="J17" s="18" t="inlineStr">
        <is>
          <t>Medium</t>
        </is>
      </c>
      <c r="K17" s="18" t="n">
        <v>3</v>
      </c>
      <c r="L17" s="18" t="inlineStr">
        <is>
          <t>Passwords are forgotten and reused, so passwordless login proves the user owns an email address by sending them a one-time link or code.</t>
        </is>
      </c>
      <c r="M17" s="18" t="inlineStr">
        <is>
          <t>Customise the email template so users know whether to click a link or type a code.</t>
        </is>
      </c>
      <c r="N17" s="17" t="n"/>
      <c r="O17" s="18" t="inlineStr">
        <is>
          <t>A magic link is a one-time key posted to your own mailbox that opens the door once.</t>
        </is>
      </c>
      <c r="P17" s="18" t="inlineStr">
        <is>
          <t>An email containing a link, which opens the app already signed in.</t>
        </is>
      </c>
      <c r="Q17" s="18" t="inlineStr">
        <is>
          <t>The ease of logging in with no password to remember.</t>
        </is>
      </c>
      <c r="R17" s="18" t="inlineStr">
        <is>
          <t>signInWithOtp sends a one-time login link or code to the user's email, and the user proves access by using it.</t>
        </is>
      </c>
      <c r="S17" s="17" t="n"/>
      <c r="T17" s="19" t="inlineStr">
        <is>
          <t>await supabase.auth.signInWithOtp({ email: "asha@example.com" });
// If the email contains a code instead of a link:
await supabase.auth.verifyOtp({ email: "asha@example.com", token: "123456", type: "email" });</t>
        </is>
      </c>
      <c r="U17" s="19" t="inlineStr">
        <is>
          <t>An email is sent, and after the link is opened or the code verified, the user is signed in.</t>
        </is>
      </c>
      <c r="V17" s="18" t="inlineStr">
        <is>
          <t>Whether the email carries a link or a code depends on the template you configure. A link opens your redirect URL and signs the user in. With codes, you collect the digits in a form and call verifyOtp. If the user does not exist, the call can create one, depending on your settings.</t>
        </is>
      </c>
      <c r="W17" s="18" t="inlineStr">
        <is>
          <t>Ask Supabase to send a one-time link or code. The user clicks it or types it, and is logged in without any password.</t>
        </is>
      </c>
      <c r="X17" s="18" t="inlineStr">
        <is>
          <t>It is like a one-time key posted to your mailbox that opens the door once.</t>
        </is>
      </c>
      <c r="Y17" s="19" t="inlineStr">
        <is>
          <t>supabase.auth.signInWithOtp({ email })  |  supabase.auth.verifyOtp({ email, token, type })</t>
        </is>
      </c>
      <c r="Z17" s="18" t="inlineStr">
        <is>
          <t>signInWithOtp = send the link or code | verifyOtp = check a typed code | type = the kind of token</t>
        </is>
      </c>
      <c r="AA17" s="19" t="inlineStr">
        <is>
          <t>await supabase.auth.signInWithOtp({ email });</t>
        </is>
      </c>
      <c r="AB17" s="19" t="inlineStr">
        <is>
          <t>await supabase.auth.verifyOtp({ email, token, type: "email" });</t>
        </is>
      </c>
      <c r="AC17" s="19" t="inlineStr">
        <is>
          <t>await supabase.auth.signInWithOtp({ phone: "+911234567890" });</t>
        </is>
      </c>
      <c r="AD17" s="19" t="inlineStr">
        <is>
          <t>options: { shouldCreateUser: false }   // do not create new users</t>
        </is>
      </c>
      <c r="AE17" s="18" t="inlineStr">
        <is>
          <t>email templates, redirect URLs, verifyOtp</t>
        </is>
      </c>
      <c r="AF17" s="18" t="inlineStr">
        <is>
          <t>email and password, Supabase Auth, sessions</t>
        </is>
      </c>
      <c r="AG17" s="18" t="inlineStr">
        <is>
          <t>Passwords or social login</t>
        </is>
      </c>
      <c r="AH17" s="17" t="n"/>
      <c r="AI17" s="18" t="inlineStr">
        <is>
          <t>Passwordless sign-in | Mobile apps | Low-friction onboarding</t>
        </is>
      </c>
      <c r="AJ17" s="18" t="inlineStr">
        <is>
          <t>A: Users forget their passwords all the time. | B: Offer a magic link or a one-time code instead.</t>
        </is>
      </c>
      <c r="AK17" s="18" t="inlineStr">
        <is>
          <t>✗ A magic link needs the user to set a password first → ✓ A magic link or code replaces the password by proving access to the email</t>
        </is>
      </c>
      <c r="AL17" s="18" t="inlineStr">
        <is>
          <t>Magic link vs OTP code: a link is clicked, a code is typed and verified.</t>
        </is>
      </c>
      <c r="AM17" s="18" t="inlineStr">
        <is>
          <t>Do not make links last for a long time.</t>
        </is>
      </c>
      <c r="AN17" s="19" t="inlineStr">
        <is>
          <t>await supabase.auth.signInWithOtp(email);</t>
        </is>
      </c>
      <c r="AO17" s="19" t="inlineStr">
        <is>
          <t>await supabase.auth.signInWithOtp({ email });</t>
        </is>
      </c>
      <c r="AP17" s="18" t="inlineStr">
        <is>
          <t>One time, one email, one login.</t>
        </is>
      </c>
      <c r="AQ17" s="18" t="inlineStr">
        <is>
          <t>Letting learners log in with a link sent to their email.</t>
        </is>
      </c>
      <c r="AR17" s="18" t="inlineStr">
        <is>
          <t>An interviewer may ask: What are the benefits of passwordless login?</t>
        </is>
      </c>
      <c r="AS17" s="18" t="inlineStr">
        <is>
          <t>It is like a one-time key sent to your mailbox.</t>
        </is>
      </c>
      <c r="AT17" s="18" t="inlineStr">
        <is>
          <t>What does signInWithOtp send?</t>
        </is>
      </c>
      <c r="AU17" s="18" t="inlineStr">
        <is>
          <t>A) A file B) A table C) A one-time link or code D) A password</t>
        </is>
      </c>
      <c r="AV17" s="18" t="inlineStr">
        <is>
          <t>C</t>
        </is>
      </c>
      <c r="AW17" s="18" t="inlineStr">
        <is>
          <t>It sends a one-time credential to the user's email or phone.</t>
        </is>
      </c>
      <c r="AX17" s="19" t="inlineStr">
        <is>
          <t>A typed one-time code is checked with ____Otp → verify</t>
        </is>
      </c>
      <c r="AY17" s="18" t="inlineStr">
        <is>
          <t>Send a magic link to asha@example.com.</t>
        </is>
      </c>
      <c r="AZ17" s="19" t="inlineStr">
        <is>
          <t>await supabase.auth.signInWithOtp({ email: "asha@example.com" });</t>
        </is>
      </c>
      <c r="BA17" s="18" t="inlineStr">
        <is>
          <t>Write the two steps for a code based login form.</t>
        </is>
      </c>
      <c r="BB17" s="19" t="inlineStr">
        <is>
          <t>Which method checks a typed code?</t>
        </is>
      </c>
      <c r="BC17" s="19" t="inlineStr">
        <is>
          <t>verifyOtp</t>
        </is>
      </c>
      <c r="BD17" s="17">
        <f>IF(K17="","",REPT("★",K17)&amp;REPT("☆",5-K17)&amp;" ("&amp;K17&amp;"/5)")</f>
        <v/>
      </c>
      <c r="BE17" s="17">
        <f>IF(S17="","","Meaning: "&amp;S17&amp;"  =  ______   (Answer: "&amp;F17&amp;")")</f>
        <v/>
      </c>
      <c r="BF17" s="17" t="inlineStr">
        <is>
          <t>New</t>
        </is>
      </c>
      <c r="BG17" s="17" t="n"/>
      <c r="BH17" s="17" t="n"/>
      <c r="BI17" s="17" t="n"/>
      <c r="BJ17" s="17" t="n"/>
      <c r="BK17" s="17" t="n"/>
      <c r="BL17" s="17" t="n"/>
      <c r="BM17" s="17" t="n"/>
      <c r="BN17" s="17" t="n"/>
    </row>
    <row r="18" ht="94.5" customHeight="1">
      <c r="A18" s="17" t="inlineStr">
        <is>
          <t>SUP-030</t>
        </is>
      </c>
      <c r="B18" s="17" t="inlineStr">
        <is>
          <t>05 Row Level Security</t>
        </is>
      </c>
      <c r="C18" s="17" t="inlineStr">
        <is>
          <t>Intermediate</t>
        </is>
      </c>
      <c r="D18" s="17" t="n">
        <v>30</v>
      </c>
      <c r="E18" s="17" t="inlineStr">
        <is>
          <t>Claude knowledge</t>
        </is>
      </c>
      <c r="F18" s="18" t="inlineStr">
        <is>
          <t>Enabling RLS on a table</t>
        </is>
      </c>
      <c r="G18" s="18" t="inlineStr">
        <is>
          <t>Which SQL statement switches on Row Level Security so that policies start to apply?</t>
        </is>
      </c>
      <c r="H18" s="17" t="n"/>
      <c r="I18" s="18" t="inlineStr">
        <is>
          <t>SQL statement</t>
        </is>
      </c>
      <c r="J18" s="18" t="inlineStr">
        <is>
          <t>Very high</t>
        </is>
      </c>
      <c r="K18" s="18" t="n">
        <v>5</v>
      </c>
      <c r="L18" s="18" t="inlineStr">
        <is>
          <t>A table created with SQL is open until you protect it, so RLS has to be explicitly enabled before policies take effect.</t>
        </is>
      </c>
      <c r="M18" s="18" t="inlineStr">
        <is>
          <t>Enable RLS right after creating each table, so it is never exposed unprotected by mistake.</t>
        </is>
      </c>
      <c r="N18" s="17" t="n"/>
      <c r="O18" s="18" t="inlineStr">
        <is>
          <t>Enabling RLS is locking the door, and policies are the keys you hand out afterwards.</t>
        </is>
      </c>
      <c r="P18" s="18" t="inlineStr">
        <is>
          <t>A table icon with a padlock being closed.</t>
        </is>
      </c>
      <c r="Q18" s="18" t="inlineStr">
        <is>
          <t>The relief of locking the door before anyone walks in.</t>
        </is>
      </c>
      <c r="R18" s="18" t="inlineStr">
        <is>
          <t>alter table ... enable row level security turns on RLS, after which only rows allowed by policies are accessible to the API roles.</t>
        </is>
      </c>
      <c r="S18" s="17" t="n"/>
      <c r="T18" s="19" t="inlineStr">
        <is>
          <t>alter table todos enable row level security;</t>
        </is>
      </c>
      <c r="U18" s="19" t="inlineStr">
        <is>
          <t>RLS is on for todos, and without policies the API returns no rows to anon and authenticated users.</t>
        </is>
      </c>
      <c r="V18" s="18" t="inlineStr">
        <is>
          <t>Tables made in the dashboard's Table Editor usually offer an option to enable RLS, but tables made with SQL do not have it enabled by default. After enabling, add policies for each operation you want to allow. The table owner and roles with bypass privileges are not restricted.</t>
        </is>
      </c>
      <c r="W18" s="18" t="inlineStr">
        <is>
          <t>Run the statement once per table. After that, nothing is readable or writable through the API until you add policies.</t>
        </is>
      </c>
      <c r="X18" s="18" t="inlineStr">
        <is>
          <t>It is like locking the door, with policies as the keys you hand out afterwards.</t>
        </is>
      </c>
      <c r="Y18" s="19" t="inlineStr">
        <is>
          <t>alter table table_name enable row level security;</t>
        </is>
      </c>
      <c r="Z18" s="18" t="inlineStr">
        <is>
          <t>alter table = change the table | enable row level security = turn RLS on</t>
        </is>
      </c>
      <c r="AA18" s="19" t="inlineStr">
        <is>
          <t>alter table todos enable row level security;</t>
        </is>
      </c>
      <c r="AB18" s="19" t="inlineStr">
        <is>
          <t>alter table profiles enable row level security;</t>
        </is>
      </c>
      <c r="AC18" s="19" t="inlineStr">
        <is>
          <t>alter table todos force row level security;</t>
        </is>
      </c>
      <c r="AD18" s="19" t="inlineStr">
        <is>
          <t>alter table todos disable row level security;   // turn it off, risky
force row level security   // also applies to the table owner</t>
        </is>
      </c>
      <c r="AE18" s="18" t="inlineStr">
        <is>
          <t>policies, SQL Editor, API exposure</t>
        </is>
      </c>
      <c r="AF18" s="18" t="inlineStr">
        <is>
          <t>Row Level Security, policies, SQL Editor</t>
        </is>
      </c>
      <c r="AG18" s="18" t="inlineStr">
        <is>
          <t>The RLS toggle in the Table Editor</t>
        </is>
      </c>
      <c r="AH18" s="17" t="n"/>
      <c r="AI18" s="18" t="inlineStr">
        <is>
          <t>Every new table | Security reviews | Migrations</t>
        </is>
      </c>
      <c r="AJ18" s="18" t="inlineStr">
        <is>
          <t>A: I created a table with SQL and anyone can read it. | B: You forgot to enable row level security on it.</t>
        </is>
      </c>
      <c r="AK18" s="18" t="inlineStr">
        <is>
          <t>✗ Tables created with SQL are protected automatically → ✓ RLS must be enabled for each table you create with SQL</t>
        </is>
      </c>
      <c r="AL18" s="18" t="inlineStr">
        <is>
          <t>enable vs force: enable applies to API roles, force also applies to the table owner.</t>
        </is>
      </c>
      <c r="AM18" s="18" t="inlineStr">
        <is>
          <t>Do not leave exposed tables without RLS.</t>
        </is>
      </c>
      <c r="AN18" s="19" t="inlineStr">
        <is>
          <t>alter table todos enable rls;</t>
        </is>
      </c>
      <c r="AO18" s="19" t="inlineStr">
        <is>
          <t>alter table todos enable row level security;</t>
        </is>
      </c>
      <c r="AP18" s="18" t="inlineStr">
        <is>
          <t>Create the table, then lock the table.</t>
        </is>
      </c>
      <c r="AQ18" s="18" t="inlineStr">
        <is>
          <t>Putting the enable statement in every create table migration.</t>
        </is>
      </c>
      <c r="AR18" s="18" t="inlineStr">
        <is>
          <t>An interviewer may ask: What is the default access of a table after enabling RLS?</t>
        </is>
      </c>
      <c r="AS18" s="18" t="inlineStr">
        <is>
          <t>It is like locking the door before handing out keys.</t>
        </is>
      </c>
      <c r="AT18" s="18" t="inlineStr">
        <is>
          <t>What do you do first to make policies take effect?</t>
        </is>
      </c>
      <c r="AU18" s="18" t="inlineStr">
        <is>
          <t>A) Enable row level security B) Create a bucket C) Rename the table D) Create an index</t>
        </is>
      </c>
      <c r="AV18" s="18" t="inlineStr">
        <is>
          <t>A</t>
        </is>
      </c>
      <c r="AW18" s="18" t="inlineStr">
        <is>
          <t>Policies only apply after RLS is enabled.</t>
        </is>
      </c>
      <c r="AX18" s="19" t="inlineStr">
        <is>
          <t>alter table todos enable row level ____; → security</t>
        </is>
      </c>
      <c r="AY18" s="18" t="inlineStr">
        <is>
          <t>Enable RLS on the notes table.</t>
        </is>
      </c>
      <c r="AZ18" s="19" t="inlineStr">
        <is>
          <t>alter table notes enable row level security;</t>
        </is>
      </c>
      <c r="BA18" s="18" t="inlineStr">
        <is>
          <t>Write the statements to create and protect a table.</t>
        </is>
      </c>
      <c r="BB18" s="19" t="inlineStr">
        <is>
          <t>What can API users do on an RLS table that has no policies?</t>
        </is>
      </c>
      <c r="BC18" s="19" t="inlineStr">
        <is>
          <t>Nothing, access is denied until policies allow it.</t>
        </is>
      </c>
      <c r="BD18" s="17">
        <f>IF(K18="","",REPT("★",K18)&amp;REPT("☆",5-K18)&amp;" ("&amp;K18&amp;"/5)")</f>
        <v/>
      </c>
      <c r="BE18" s="17">
        <f>IF(S18="","","Meaning: "&amp;S18&amp;"  =  ______   (Answer: "&amp;F18&amp;")")</f>
        <v/>
      </c>
      <c r="BF18" s="17" t="inlineStr">
        <is>
          <t>New</t>
        </is>
      </c>
      <c r="BG18" s="17" t="n"/>
      <c r="BH18" s="17" t="n"/>
      <c r="BI18" s="17" t="n"/>
      <c r="BJ18" s="17" t="n"/>
      <c r="BK18" s="17" t="n"/>
      <c r="BL18" s="17" t="n"/>
      <c r="BM18" s="17" t="n"/>
      <c r="BN18" s="17" t="n"/>
    </row>
    <row r="19" ht="121.5" customHeight="1">
      <c r="A19" s="17" t="inlineStr">
        <is>
          <t>SUP-031</t>
        </is>
      </c>
      <c r="B19" s="17" t="inlineStr">
        <is>
          <t>05 Row Level Security</t>
        </is>
      </c>
      <c r="C19" s="17" t="inlineStr">
        <is>
          <t>Intermediate</t>
        </is>
      </c>
      <c r="D19" s="17" t="n">
        <v>31</v>
      </c>
      <c r="E19" s="17" t="inlineStr">
        <is>
          <t>Claude knowledge</t>
        </is>
      </c>
      <c r="F19" s="18" t="inlineStr">
        <is>
          <t>Policies (USING and WITH CHECK)</t>
        </is>
      </c>
      <c r="G19" s="18" t="inlineStr">
        <is>
          <t>Which two clauses of a policy decide which existing rows a user may see, and which new values they may write?</t>
        </is>
      </c>
      <c r="H19" s="17" t="n"/>
      <c r="I19" s="18" t="inlineStr">
        <is>
          <t>SQL statement</t>
        </is>
      </c>
      <c r="J19" s="18" t="inlineStr">
        <is>
          <t>Very high</t>
        </is>
      </c>
      <c r="K19" s="18" t="n">
        <v>5</v>
      </c>
      <c r="L19" s="18" t="inlineStr">
        <is>
          <t>Reading and writing need different checks, so policies have a clause for choosing visible rows and another for validating new or changed rows.</t>
        </is>
      </c>
      <c r="M19" s="18" t="inlineStr">
        <is>
          <t>Wrap auth.uid() as (select auth.uid()) in policies so Postgres can cache it and run faster.</t>
        </is>
      </c>
      <c r="N19" s="17" t="n"/>
      <c r="O19" s="18" t="inlineStr">
        <is>
          <t>USING decides what you may look at, and WITH CHECK decides what you may put in.</t>
        </is>
      </c>
      <c r="P19" s="18" t="inlineStr">
        <is>
          <t>One filter on existing rows and another gate on rows being written.</t>
        </is>
      </c>
      <c r="Q19" s="18" t="inlineStr">
        <is>
          <t>The satisfaction of a rule that stops a cheat before it lands.</t>
        </is>
      </c>
      <c r="R19" s="18" t="inlineStr">
        <is>
          <t>USING filters which existing rows a policy applies to, and WITH CHECK validates the values of rows being inserted or updated.</t>
        </is>
      </c>
      <c r="S19" s="17" t="n"/>
      <c r="T19" s="19" t="inlineStr">
        <is>
          <t>create policy "Users read own todos" on todos
  for select to authenticated
  using ((select auth.uid()) = user_id);
create policy "Users insert own todos" on todos
  for insert to authenticated
  with check ((select auth.uid()) = user_id);</t>
        </is>
      </c>
      <c r="U19" s="19" t="inlineStr">
        <is>
          <t>Logged-in users can read only their own rows and can only insert rows whose user_id is their own.</t>
        </is>
      </c>
      <c r="V19" s="18" t="inlineStr">
        <is>
          <t>Select and delete use USING because they act on existing rows. Insert uses WITH CHECK because it validates new rows. Update can use both: USING picks the rows you may edit, and WITH CHECK validates what the row becomes. You can write separate policies per operation, or one policy for all.</t>
        </is>
      </c>
      <c r="W19" s="18" t="inlineStr">
        <is>
          <t>Use USING to say which rows are visible or editable. Use WITH CHECK to say what a new or changed row is allowed to look like.</t>
        </is>
      </c>
      <c r="X19" s="18" t="inlineStr">
        <is>
          <t>USING decides what you may look at, and WITH CHECK decides what you may put in.</t>
        </is>
      </c>
      <c r="Y19" s="19" t="inlineStr">
        <is>
          <t>create policy name on table for operation to role using (condition) with check (condition);</t>
        </is>
      </c>
      <c r="Z19" s="18" t="inlineStr">
        <is>
          <t>for = which operation | to = which role | using = existing rows | with check = new values</t>
        </is>
      </c>
      <c r="AA19" s="19" t="inlineStr">
        <is>
          <t>using ((select auth.uid()) = user_id)</t>
        </is>
      </c>
      <c r="AB19" s="19" t="inlineStr">
        <is>
          <t>with check ((select auth.uid()) = user_id)</t>
        </is>
      </c>
      <c r="AC19" s="19" t="inlineStr">
        <is>
          <t>create policy "Public read" on posts for select using (true);</t>
        </is>
      </c>
      <c r="AD19" s="19" t="inlineStr">
        <is>
          <t>for all using (...) with check (...)   // one policy for every operation
to anon, authenticated   // apply to both roles</t>
        </is>
      </c>
      <c r="AE19" s="18" t="inlineStr">
        <is>
          <t>auth.uid(), enable row level security, roles</t>
        </is>
      </c>
      <c r="AF19" s="18" t="inlineStr">
        <is>
          <t>Row Level Security, auth.uid(), enabling RLS</t>
        </is>
      </c>
      <c r="AG19" s="18" t="inlineStr">
        <is>
          <t>Database functions that check access</t>
        </is>
      </c>
      <c r="AH19" s="17" t="n"/>
      <c r="AI19" s="18" t="inlineStr">
        <is>
          <t>Every multi-user table | Public read tables | Private data</t>
        </is>
      </c>
      <c r="AJ19" s="18" t="inlineStr">
        <is>
          <t>A: Users can insert rows for other users. | B: Add a WITH CHECK clause that matches user_id to the logged-in user.</t>
        </is>
      </c>
      <c r="AK19" s="18" t="inlineStr">
        <is>
          <t>✗ USING alone protects inserts → ✓ Inserts are validated by WITH CHECK, so an insert policy needs that clause</t>
        </is>
      </c>
      <c r="AL19" s="18" t="inlineStr">
        <is>
          <t>USING vs WITH CHECK: USING filters existing rows, WITH CHECK validates written values.</t>
        </is>
      </c>
      <c r="AM19" s="18" t="inlineStr">
        <is>
          <t>Do not write an insert policy without WITH CHECK.</t>
        </is>
      </c>
      <c r="AN19" s="19" t="inlineStr">
        <is>
          <t>create policy "insert own" on todos for insert using (auth.uid() = user_id);</t>
        </is>
      </c>
      <c r="AO19" s="19" t="inlineStr">
        <is>
          <t>create policy "insert own" on todos for insert to authenticated with check ((select auth.uid()) = user_id);</t>
        </is>
      </c>
      <c r="AP19" s="18" t="inlineStr">
        <is>
          <t>USING looks, WITH CHECK writes.</t>
        </is>
      </c>
      <c r="AQ19" s="18" t="inlineStr">
        <is>
          <t>Allowing learners to insert and read only their own progress rows.</t>
        </is>
      </c>
      <c r="AR19" s="18" t="inlineStr">
        <is>
          <t>An interviewer may ask: What is the difference between USING and WITH CHECK?</t>
        </is>
      </c>
      <c r="AS19" s="18" t="inlineStr">
        <is>
          <t>It is like what you may look at and what you may put in.</t>
        </is>
      </c>
      <c r="AT19" s="18" t="inlineStr">
        <is>
          <t>Which clause validates new rows on insert?</t>
        </is>
      </c>
      <c r="AU19" s="18" t="inlineStr">
        <is>
          <t>A) LIMIT B) USING C) ORDER BY D) WITH CHECK</t>
        </is>
      </c>
      <c r="AV19" s="18" t="inlineStr">
        <is>
          <t>D</t>
        </is>
      </c>
      <c r="AW19" s="18" t="inlineStr">
        <is>
          <t>WITH CHECK validates the values being written.</t>
        </is>
      </c>
      <c r="AX19" s="19" t="inlineStr">
        <is>
          <t>A select policy uses the ____ clause → using</t>
        </is>
      </c>
      <c r="AY19" s="18" t="inlineStr">
        <is>
          <t>Write a select policy that lets users read only rows where user_id equals their id.</t>
        </is>
      </c>
      <c r="AZ19" s="19" t="inlineStr">
        <is>
          <t>create policy "read own" on todos for select to authenticated using ((select auth.uid()) = user_id);</t>
        </is>
      </c>
      <c r="BA19" s="18" t="inlineStr">
        <is>
          <t>Write read, insert, update and delete policies for a notes table.</t>
        </is>
      </c>
      <c r="BB19" s="19" t="inlineStr">
        <is>
          <t>Which clause does an update policy use to pick editable rows?</t>
        </is>
      </c>
      <c r="BC19" s="19" t="inlineStr">
        <is>
          <t>USING</t>
        </is>
      </c>
      <c r="BD19" s="17">
        <f>IF(K19="","",REPT("★",K19)&amp;REPT("☆",5-K19)&amp;" ("&amp;K19&amp;"/5)")</f>
        <v/>
      </c>
      <c r="BE19" s="17">
        <f>IF(S19="","","Meaning: "&amp;S19&amp;"  =  ______   (Answer: "&amp;F19&amp;")")</f>
        <v/>
      </c>
      <c r="BF19" s="17" t="inlineStr">
        <is>
          <t>New</t>
        </is>
      </c>
      <c r="BG19" s="17" t="n"/>
      <c r="BH19" s="17" t="n"/>
      <c r="BI19" s="17" t="n"/>
      <c r="BJ19" s="17" t="n"/>
      <c r="BK19" s="17" t="n"/>
      <c r="BL19" s="17" t="n"/>
      <c r="BM19" s="17" t="n"/>
      <c r="BN19" s="17" t="n"/>
    </row>
    <row r="20" ht="108" customHeight="1">
      <c r="A20" s="17" t="inlineStr">
        <is>
          <t>SUP-032</t>
        </is>
      </c>
      <c r="B20" s="17" t="inlineStr">
        <is>
          <t>05 Row Level Security</t>
        </is>
      </c>
      <c r="C20" s="17" t="inlineStr">
        <is>
          <t>Intermediate</t>
        </is>
      </c>
      <c r="D20" s="17" t="n">
        <v>32</v>
      </c>
      <c r="E20" s="17" t="inlineStr">
        <is>
          <t>Claude knowledge</t>
        </is>
      </c>
      <c r="F20" s="18" t="inlineStr">
        <is>
          <t>auth.uid() and auth.jwt()</t>
        </is>
      </c>
      <c r="G20" s="18" t="inlineStr">
        <is>
          <t>Which helper functions let a policy read the current user's id or claims from the request's token?</t>
        </is>
      </c>
      <c r="H20" s="17" t="n"/>
      <c r="I20" s="18" t="inlineStr">
        <is>
          <t>SQL function</t>
        </is>
      </c>
      <c r="J20" s="18" t="inlineStr">
        <is>
          <t>Very high</t>
        </is>
      </c>
      <c r="K20" s="18" t="n">
        <v>5</v>
      </c>
      <c r="L20" s="18" t="inlineStr">
        <is>
          <t>A policy must know who is asking, so Supabase exposes helpers that read the logged-in user's id and claims from the JWT.</t>
        </is>
      </c>
      <c r="M20" s="18" t="inlineStr">
        <is>
          <t>Compare auth.uid() with a user_id column, and use auth.jwt() for custom claims such as roles.</t>
        </is>
      </c>
      <c r="N20" s="17" t="n"/>
      <c r="O20" s="18" t="inlineStr">
        <is>
          <t>auth.uid() reads the name on the wristband, and auth.jwt() reads everything printed on it.</t>
        </is>
      </c>
      <c r="P20" s="18" t="inlineStr">
        <is>
          <t>A token being opened and its user id passed to the policy.</t>
        </is>
      </c>
      <c r="Q20" s="18" t="inlineStr">
        <is>
          <t>The satisfaction of a rule that always knows who is asking.</t>
        </is>
      </c>
      <c r="R20" s="18" t="inlineStr">
        <is>
          <t>auth.uid() returns the id of the current user, and auth.jwt() returns the full set of token claims.</t>
        </is>
      </c>
      <c r="S20" s="17" t="n"/>
      <c r="T20" s="19" t="inlineStr">
        <is>
          <t>create policy "Owner can update" on profiles
  for update to authenticated
  using ((select auth.uid()) = id)
  with check ((select auth.uid()) = id);
select auth.uid();</t>
        </is>
      </c>
      <c r="U20" s="19" t="inlineStr">
        <is>
          <t>auth.uid() returns the current user's uuid, or null when nobody is logged in.</t>
        </is>
      </c>
      <c r="V20" s="18" t="inlineStr">
        <is>
          <t>The function reads the sub claim of the JWT sent with the request. For logged-out users it returns null, so a comparison fails and no rows match. auth.jwt() returns the whole token as JSON, so you can read claims, such as app metadata, in policies. In the SQL Editor you are usually a powerful role, so auth.uid() may be null there.</t>
        </is>
      </c>
      <c r="W20" s="18" t="inlineStr">
        <is>
          <t>Policies use auth.uid() to compare the row's owner with the person making the request. Logged-out users give null, so they match nothing.</t>
        </is>
      </c>
      <c r="X20" s="18" t="inlineStr">
        <is>
          <t>auth.uid() reads the name on the wristband, and auth.jwt() reads everything printed on it.</t>
        </is>
      </c>
      <c r="Y20" s="19" t="inlineStr">
        <is>
          <t>auth.uid()  |  auth.jwt() -&gt;&gt; 'claim'</t>
        </is>
      </c>
      <c r="Z20" s="18" t="inlineStr">
        <is>
          <t>auth.uid() = current user id | auth.jwt() = all claims as JSON | -&gt;&gt; = read one claim as text</t>
        </is>
      </c>
      <c r="AA20" s="19" t="inlineStr">
        <is>
          <t>using ((select auth.uid()) = id)</t>
        </is>
      </c>
      <c r="AB20" s="19" t="inlineStr">
        <is>
          <t>using ((select auth.jwt() -&gt;&gt; 'email') = owner_email)</t>
        </is>
      </c>
      <c r="AC20" s="19" t="inlineStr">
        <is>
          <t>using ((select auth.uid()) is not null)</t>
        </is>
      </c>
      <c r="AD20" s="19" t="inlineStr">
        <is>
          <t>auth.role()   // the database role from the token, older style
(auth.jwt() -&gt; 'app_metadata' -&gt;&gt; 'role') = 'admin'   // a role stored in app metadata</t>
        </is>
      </c>
      <c r="AE20" s="18" t="inlineStr">
        <is>
          <t>policies, JWT, Supabase Auth</t>
        </is>
      </c>
      <c r="AF20" s="18" t="inlineStr">
        <is>
          <t>policies, sessions and JWT, Row Level Security</t>
        </is>
      </c>
      <c r="AG20" s="18" t="inlineStr">
        <is>
          <t>A profiles table with a role column</t>
        </is>
      </c>
      <c r="AH20" s="17" t="n"/>
      <c r="AI20" s="18" t="inlineStr">
        <is>
          <t>Every RLS policy | Admin checks | Per-user filters</t>
        </is>
      </c>
      <c r="AJ20" s="18" t="inlineStr">
        <is>
          <t>A: My policy returns no rows in the SQL Editor. | B: In the editor auth.uid() is often null, so test through the client as a real user.</t>
        </is>
      </c>
      <c r="AK20" s="18" t="inlineStr">
        <is>
          <t>✗ auth.uid() works the same in the SQL Editor as in the app → ✓ The SQL Editor usually runs with a powerful role and no user token, so auth.uid() may be null there</t>
        </is>
      </c>
      <c r="AL20" s="18" t="inlineStr">
        <is>
          <t>auth.uid() vs auth.jwt(): the first gives only the user id, the second gives all claims.</t>
        </is>
      </c>
      <c r="AM20" s="18" t="inlineStr">
        <is>
          <t>Do not trust claims that users can edit themselves, such as user metadata, for authorisation.</t>
        </is>
      </c>
      <c r="AN20" s="19" t="inlineStr">
        <is>
          <t>using (auth.uid = user_id)</t>
        </is>
      </c>
      <c r="AO20" s="19" t="inlineStr">
        <is>
          <t>using ((select auth.uid()) = user_id)</t>
        </is>
      </c>
      <c r="AP20" s="18" t="inlineStr">
        <is>
          <t>auth.uid() asks who is calling.</t>
        </is>
      </c>
      <c r="AQ20" s="18" t="inlineStr">
        <is>
          <t>Limiting each profile row to its owner with auth.uid().</t>
        </is>
      </c>
      <c r="AR20" s="18" t="inlineStr">
        <is>
          <t>An interviewer may ask: How does a policy know the current user?</t>
        </is>
      </c>
      <c r="AS20" s="18" t="inlineStr">
        <is>
          <t>It is like reading the name on a wristband.</t>
        </is>
      </c>
      <c r="AT20" s="18" t="inlineStr">
        <is>
          <t>What does auth.uid() return for a logged-out request?</t>
        </is>
      </c>
      <c r="AU20" s="18" t="inlineStr">
        <is>
          <t>A) A random id B) null C) An empty table D) The admin id</t>
        </is>
      </c>
      <c r="AV20" s="18" t="inlineStr">
        <is>
          <t>B</t>
        </is>
      </c>
      <c r="AW20" s="18" t="inlineStr">
        <is>
          <t>Without a token there is no user, so the result is null.</t>
        </is>
      </c>
      <c r="AX20" s="19" t="inlineStr">
        <is>
          <t>auth.____() returns the full token claims as JSON → jwt</t>
        </is>
      </c>
      <c r="AY20" s="18" t="inlineStr">
        <is>
          <t>Select the current user's id.</t>
        </is>
      </c>
      <c r="AZ20" s="19" t="inlineStr">
        <is>
          <t>select auth.uid();</t>
        </is>
      </c>
      <c r="BA20" s="18" t="inlineStr">
        <is>
          <t>Write a policy that lets a user read the row whose id equals their user id.</t>
        </is>
      </c>
      <c r="BB20" s="19" t="inlineStr">
        <is>
          <t>Where does auth.uid() read the id from?</t>
        </is>
      </c>
      <c r="BC20" s="19" t="inlineStr">
        <is>
          <t>From the sub claim of the request's JWT.</t>
        </is>
      </c>
      <c r="BD20" s="17">
        <f>IF(K20="","",REPT("★",K20)&amp;REPT("☆",5-K20)&amp;" ("&amp;K20&amp;"/5)")</f>
        <v/>
      </c>
      <c r="BE20" s="17">
        <f>IF(S20="","","Meaning: "&amp;S20&amp;"  =  ______   (Answer: "&amp;F20&amp;")")</f>
        <v/>
      </c>
      <c r="BF20" s="17" t="inlineStr">
        <is>
          <t>New</t>
        </is>
      </c>
      <c r="BG20" s="17" t="n"/>
      <c r="BH20" s="17" t="n"/>
      <c r="BI20" s="17" t="n"/>
      <c r="BJ20" s="17" t="n"/>
      <c r="BK20" s="17" t="n"/>
      <c r="BL20" s="17" t="n"/>
      <c r="BM20" s="17" t="n"/>
      <c r="BN20" s="17" t="n"/>
    </row>
    <row r="21" ht="94.5" customHeight="1">
      <c r="A21" s="17" t="inlineStr">
        <is>
          <t>SUP-036</t>
        </is>
      </c>
      <c r="B21" s="17" t="inlineStr">
        <is>
          <t>06 Storage</t>
        </is>
      </c>
      <c r="C21" s="17" t="inlineStr">
        <is>
          <t>Beginner</t>
        </is>
      </c>
      <c r="D21" s="17" t="n">
        <v>36</v>
      </c>
      <c r="E21" s="17" t="inlineStr">
        <is>
          <t>Claude knowledge</t>
        </is>
      </c>
      <c r="F21" s="18" t="inlineStr">
        <is>
          <t>Uploading a file</t>
        </is>
      </c>
      <c r="G21" s="18" t="inlineStr">
        <is>
          <t>Which supabase-js call uploads a file to a bucket under a chosen path?</t>
        </is>
      </c>
      <c r="H21" s="17" t="n"/>
      <c r="I21" s="18" t="inlineStr">
        <is>
          <t>JavaScript method</t>
        </is>
      </c>
      <c r="J21" s="18" t="inlineStr">
        <is>
          <t>Very high</t>
        </is>
      </c>
      <c r="K21" s="18" t="n">
        <v>5</v>
      </c>
      <c r="L21" s="18" t="inlineStr">
        <is>
          <t>Apps need to accept pictures and documents from users, so the storage client uploads a file to a bucket in a single call.</t>
        </is>
      </c>
      <c r="M21" s="18" t="inlineStr">
        <is>
          <t>Put each user's files under a folder named after their user id, so policies can match the folder.</t>
        </is>
      </c>
      <c r="N21" s="17" t="n"/>
      <c r="O21" s="18" t="inlineStr">
        <is>
          <t>Uploading is posting a parcel into a labelled cupboard at a specific shelf path.</t>
        </is>
      </c>
      <c r="P21" s="18" t="inlineStr">
        <is>
          <t>A file leaving the browser and arriving at a path in a bucket.</t>
        </is>
      </c>
      <c r="Q21" s="18" t="inlineStr">
        <is>
          <t>The pleasure of seeing an uploaded picture appear.</t>
        </is>
      </c>
      <c r="R21" s="18" t="inlineStr">
        <is>
          <t>storage.from(bucket).upload(path, file) saves a file at the given path in a bucket.</t>
        </is>
      </c>
      <c r="S21" s="17" t="n"/>
      <c r="T21" s="19" t="inlineStr">
        <is>
          <t>const { data, error } = await supabase.storage
  .from("avatars")
  .upload("user-123/avatar.png", file, { upsert: true, contentType: "image/png" });
if (error) throw error;</t>
        </is>
      </c>
      <c r="U21" s="19" t="inlineStr">
        <is>
          <t>The file is saved at user-123/avatar.png in the avatars bucket.</t>
        </is>
      </c>
      <c r="V21" s="18" t="inlineStr">
        <is>
          <t>By default upload fails if a file already exists at that path, and upsert true replaces it. The path is the object's name, and folders are part of it. The call must pass the bucket's storage policies, so a user may only upload where a policy allows. Always check the error value.</t>
        </is>
      </c>
      <c r="W21" s="18" t="inlineStr">
        <is>
          <t>Choose the bucket, give a path, and pass the file. Use a folder per user and handle errors, since policies may refuse the upload.</t>
        </is>
      </c>
      <c r="X21" s="18" t="inlineStr">
        <is>
          <t>It is like posting a parcel into a labelled cupboard at a specific shelf path.</t>
        </is>
      </c>
      <c r="Y21" s="19" t="inlineStr">
        <is>
          <t>supabase.storage.from("bucket").upload("path/name.ext", file, options)</t>
        </is>
      </c>
      <c r="Z21" s="18" t="inlineStr">
        <is>
          <t>from = which bucket | upload = save | path = the object name | options = upsert, contentType</t>
        </is>
      </c>
      <c r="AA21" s="19" t="inlineStr">
        <is>
          <t>await supabase.storage.from("avatars").upload("user-123/avatar.png", file);</t>
        </is>
      </c>
      <c r="AB21" s="19" t="inlineStr">
        <is>
          <t>await supabase.storage.from("recordings").upload(`${userId}/lesson1.webm`, blob);</t>
        </is>
      </c>
      <c r="AC21" s="19" t="inlineStr">
        <is>
          <t>await supabase.storage.from("avatars").remove(["user-123/avatar.png"]);</t>
        </is>
      </c>
      <c r="AD21" s="19" t="inlineStr">
        <is>
          <t>{ upsert: true }   // replace an existing file
{ cacheControl: "3600" }   // set caching</t>
        </is>
      </c>
      <c r="AE21" s="18" t="inlineStr">
        <is>
          <t>buckets, storage policies, public URL, signed URL</t>
        </is>
      </c>
      <c r="AF21" s="18" t="inlineStr">
        <is>
          <t>buckets, storage policies, signed URLs</t>
        </is>
      </c>
      <c r="AG21" s="18" t="inlineStr">
        <is>
          <t>Uploading through your own server with the service role</t>
        </is>
      </c>
      <c r="AH21" s="17" t="n"/>
      <c r="AI21" s="18" t="inlineStr">
        <is>
          <t>Profile pictures | Audio uploads | Document submission</t>
        </is>
      </c>
      <c r="AJ21" s="18" t="inlineStr">
        <is>
          <t>A: My upload fails because the file already exists. | B: Use upsert true to replace it, or choose a new path.</t>
        </is>
      </c>
      <c r="AK21" s="18" t="inlineStr">
        <is>
          <t>✗ Anyone can upload to any bucket with the client key → ✓ Uploads must pass storage policies, and without a matching policy they are refused</t>
        </is>
      </c>
      <c r="AL21" s="18" t="inlineStr">
        <is>
          <t>upload vs update: upload creates a file (or replaces it with upsert), update replaces an existing file.</t>
        </is>
      </c>
      <c r="AM21" s="18" t="inlineStr">
        <is>
          <t>Do not upload without checking the returned error.</t>
        </is>
      </c>
      <c r="AN21" s="19" t="inlineStr">
        <is>
          <t>await supabase.storage.upload("avatars", "avatar.png", file);</t>
        </is>
      </c>
      <c r="AO21" s="19" t="inlineStr">
        <is>
          <t>await supabase.storage.from("avatars").upload("user-123/avatar.png", file);</t>
        </is>
      </c>
      <c r="AP21" s="18" t="inlineStr">
        <is>
          <t>from picks the bucket, upload picks the path.</t>
        </is>
      </c>
      <c r="AQ21" s="18" t="inlineStr">
        <is>
          <t>Letting students upload recordings into their own folder.</t>
        </is>
      </c>
      <c r="AR21" s="18" t="inlineStr">
        <is>
          <t>An interviewer may ask: How would you restrict who can upload to a bucket?</t>
        </is>
      </c>
      <c r="AS21" s="18" t="inlineStr">
        <is>
          <t>It is like posting a parcel to a shelf in a cupboard.</t>
        </is>
      </c>
      <c r="AT21" s="18" t="inlineStr">
        <is>
          <t>Which part of the chain picks the bucket?</t>
        </is>
      </c>
      <c r="AU21" s="18" t="inlineStr">
        <is>
          <t>A) data B) from C) upload D) path</t>
        </is>
      </c>
      <c r="AV21" s="18" t="inlineStr">
        <is>
          <t>B</t>
        </is>
      </c>
      <c r="AW21" s="18" t="inlineStr">
        <is>
          <t>from("bucket") selects the bucket.</t>
        </is>
      </c>
      <c r="AX21" s="19" t="inlineStr">
        <is>
          <t>await supabase.storage.from("avatars").____("a/b.png", file); → upload</t>
        </is>
      </c>
      <c r="AY21" s="18" t="inlineStr">
        <is>
          <t>Upload a file to the avatars bucket at user-1/me.png.</t>
        </is>
      </c>
      <c r="AZ21" s="19" t="inlineStr">
        <is>
          <t>await supabase.storage.from("avatars").upload("user-1/me.png", file);</t>
        </is>
      </c>
      <c r="BA21" s="18" t="inlineStr">
        <is>
          <t>Write an upload function that stores a file under the user's folder.</t>
        </is>
      </c>
      <c r="BB21" s="19" t="inlineStr">
        <is>
          <t>What does upsert true do?</t>
        </is>
      </c>
      <c r="BC21" s="19" t="inlineStr">
        <is>
          <t>It replaces a file that already exists at that path.</t>
        </is>
      </c>
      <c r="BD21" s="17">
        <f>IF(K21="","",REPT("★",K21)&amp;REPT("☆",5-K21)&amp;" ("&amp;K21&amp;"/5)")</f>
        <v/>
      </c>
      <c r="BE21" s="17">
        <f>IF(S21="","","Meaning: "&amp;S21&amp;"  =  ______   (Answer: "&amp;F21&amp;")")</f>
        <v/>
      </c>
      <c r="BF21" s="17" t="inlineStr">
        <is>
          <t>New</t>
        </is>
      </c>
      <c r="BG21" s="17" t="n"/>
      <c r="BH21" s="17" t="n"/>
      <c r="BI21" s="17" t="n"/>
      <c r="BJ21" s="17" t="n"/>
      <c r="BK21" s="17" t="n"/>
      <c r="BL21" s="17" t="n"/>
      <c r="BM21" s="17" t="n"/>
      <c r="BN21" s="17" t="n"/>
    </row>
    <row r="22" ht="94.5" customHeight="1">
      <c r="A22" s="17" t="inlineStr">
        <is>
          <t>SUP-038</t>
        </is>
      </c>
      <c r="B22" s="17" t="inlineStr">
        <is>
          <t>06 Storage</t>
        </is>
      </c>
      <c r="C22" s="17" t="inlineStr">
        <is>
          <t>Intermediate</t>
        </is>
      </c>
      <c r="D22" s="17" t="n">
        <v>38</v>
      </c>
      <c r="E22" s="17" t="inlineStr">
        <is>
          <t>Claude knowledge</t>
        </is>
      </c>
      <c r="F22" s="18" t="inlineStr">
        <is>
          <t>Signed URLs</t>
        </is>
      </c>
      <c r="G22" s="18" t="inlineStr">
        <is>
          <t>How do you give someone a temporary link to a file in a private bucket?</t>
        </is>
      </c>
      <c r="H22" s="17" t="n"/>
      <c r="I22" s="18" t="inlineStr">
        <is>
          <t>JavaScript method</t>
        </is>
      </c>
      <c r="J22" s="18" t="inlineStr">
        <is>
          <t>High</t>
        </is>
      </c>
      <c r="K22" s="18" t="n">
        <v>4</v>
      </c>
      <c r="L22" s="18" t="inlineStr">
        <is>
          <t>Private files should not be open forever, so Supabase can create a link that works only for a limited time.</t>
        </is>
      </c>
      <c r="M22" s="18" t="inlineStr">
        <is>
          <t>Create the signed URL on demand with a short life, instead of storing it.</t>
        </is>
      </c>
      <c r="N22" s="17" t="n"/>
      <c r="O22" s="18" t="inlineStr">
        <is>
          <t>A signed URL is a visitor pass that stops working after a set time.</t>
        </is>
      </c>
      <c r="P22" s="18" t="inlineStr">
        <is>
          <t>A link with a clock on it that expires.</t>
        </is>
      </c>
      <c r="Q22" s="18" t="inlineStr">
        <is>
          <t>The comfort of sharing a file without making it public.</t>
        </is>
      </c>
      <c r="R22" s="18" t="inlineStr">
        <is>
          <t>createSignedUrl returns a link that lets anyone with it read one private file until it expires.</t>
        </is>
      </c>
      <c r="S22" s="17" t="n"/>
      <c r="T22" s="19" t="inlineStr">
        <is>
          <t>const { data, error } = await supabase.storage
  .from("recordings")
  .createSignedUrl("user-123/lesson1.webm", 60);
if (error) throw error;
console.log(data.signedUrl);</t>
        </is>
      </c>
      <c r="U22" s="19" t="inlineStr">
        <is>
          <t>A long URL that opens the file for the next sixty seconds.</t>
        </is>
      </c>
      <c r="V22" s="18" t="inlineStr">
        <is>
          <t>The second argument is the number of seconds the link stays valid. The caller must have permission to read the file through policies, so a stranger cannot create links to other users' files. Anyone who holds the link can open the file until it expires, so keep lifetimes short and avoid logging links.</t>
        </is>
      </c>
      <c r="W22" s="18" t="inlineStr">
        <is>
          <t>Ask for a signed URL with an expiry in seconds. Use it right away, for example as the source of an audio player, and let it expire.</t>
        </is>
      </c>
      <c r="X22" s="18" t="inlineStr">
        <is>
          <t>It is like a visitor pass that stops working after a set time.</t>
        </is>
      </c>
      <c r="Y22" s="19" t="inlineStr">
        <is>
          <t>supabase.storage.from("bucket").createSignedUrl("path", seconds)</t>
        </is>
      </c>
      <c r="Z22" s="18" t="inlineStr">
        <is>
          <t>createSignedUrl = make a temporary link | path = which file | seconds = how long it lasts</t>
        </is>
      </c>
      <c r="AA22" s="19" t="inlineStr">
        <is>
          <t>await supabase.storage.from("recordings").createSignedUrl("a/b.webm", 60);</t>
        </is>
      </c>
      <c r="AB22" s="19" t="inlineStr">
        <is>
          <t>await supabase.storage.from("reports").createSignedUrl("2026/report.pdf", 300);</t>
        </is>
      </c>
      <c r="AC22" s="19" t="inlineStr">
        <is>
          <t>await supabase.storage.from("recordings").createSignedUrls(["a.webm", "b.webm"], 60);</t>
        </is>
      </c>
      <c r="AD22" s="19" t="inlineStr">
        <is>
          <t>createSignedUploadUrl("path")   // a link that allows one upload</t>
        </is>
      </c>
      <c r="AE22" s="18" t="inlineStr">
        <is>
          <t>private buckets, storage policies, audio and video players</t>
        </is>
      </c>
      <c r="AF22" s="18" t="inlineStr">
        <is>
          <t>public vs private buckets, storage policies, upload</t>
        </is>
      </c>
      <c r="AG22" s="18" t="inlineStr">
        <is>
          <t>Making the bucket public, if the files are not sensitive</t>
        </is>
      </c>
      <c r="AH22" s="17" t="n"/>
      <c r="AI22" s="18" t="inlineStr">
        <is>
          <t>Private downloads | Audio playback | Document sharing</t>
        </is>
      </c>
      <c r="AJ22" s="18" t="inlineStr">
        <is>
          <t>A: I want to play a private recording in the browser. | B: Create a signed URL for a few minutes and use it as the audio source.</t>
        </is>
      </c>
      <c r="AK22" s="18" t="inlineStr">
        <is>
          <t>✗ A signed URL stays valid forever → ✓ A signed URL expires after the time you give it</t>
        </is>
      </c>
      <c r="AL22" s="18" t="inlineStr">
        <is>
          <t>Signed URL vs public URL: a signed URL expires and needs permission to create, a public URL is permanent.</t>
        </is>
      </c>
      <c r="AM22" s="18" t="inlineStr">
        <is>
          <t>Do not create very long-lived signed URLs for sensitive files.</t>
        </is>
      </c>
      <c r="AN22" s="19" t="inlineStr">
        <is>
          <t>await supabase.storage.from("recordings").createSignedUrl("user-123/lesson1.webm");</t>
        </is>
      </c>
      <c r="AO22" s="19" t="inlineStr">
        <is>
          <t>await supabase.storage.from("recordings").createSignedUrl("user-123/lesson1.webm", 60);</t>
        </is>
      </c>
      <c r="AP22" s="18" t="inlineStr">
        <is>
          <t>A signed URL always expires after a while.</t>
        </is>
      </c>
      <c r="AQ22" s="18" t="inlineStr">
        <is>
          <t>Playing a student's private recording through a link that lasts a few minutes.</t>
        </is>
      </c>
      <c r="AR22" s="18" t="inlineStr">
        <is>
          <t>An interviewer may ask: How do you share a private file temporarily?</t>
        </is>
      </c>
      <c r="AS22" s="18" t="inlineStr">
        <is>
          <t>It is like a visitor pass that expires.</t>
        </is>
      </c>
      <c r="AT22" s="18" t="inlineStr">
        <is>
          <t>What is the second argument of createSignedUrl?</t>
        </is>
      </c>
      <c r="AU22" s="18" t="inlineStr">
        <is>
          <t>A) The file size B) The bucket C) The user id D) How many seconds the link lasts</t>
        </is>
      </c>
      <c r="AV22" s="18" t="inlineStr">
        <is>
          <t>D</t>
        </is>
      </c>
      <c r="AW22" s="18" t="inlineStr">
        <is>
          <t>It sets the lifetime of the link in seconds.</t>
        </is>
      </c>
      <c r="AX22" s="19" t="inlineStr">
        <is>
          <t>The second argument of createSignedUrl sets the expiry time in ____ → seconds</t>
        </is>
      </c>
      <c r="AY22" s="18" t="inlineStr">
        <is>
          <t>Create a signed link for reports/a.pdf that lasts five minutes.</t>
        </is>
      </c>
      <c r="AZ22" s="19" t="inlineStr">
        <is>
          <t>await supabase.storage.from("reports").createSignedUrl("a.pdf", 300);</t>
        </is>
      </c>
      <c r="BA22" s="18" t="inlineStr">
        <is>
          <t>Write code that gets a signed URL and puts it in an audio element.</t>
        </is>
      </c>
      <c r="BB22" s="19" t="inlineStr">
        <is>
          <t>Who can open a signed URL?</t>
        </is>
      </c>
      <c r="BC22" s="19" t="inlineStr">
        <is>
          <t>Anyone who holds it, until it expires.</t>
        </is>
      </c>
      <c r="BD22" s="17">
        <f>IF(K22="","",REPT("★",K22)&amp;REPT("☆",5-K22)&amp;" ("&amp;K22&amp;"/5)")</f>
        <v/>
      </c>
      <c r="BE22" s="17">
        <f>IF(S22="","","Meaning: "&amp;S22&amp;"  =  ______   (Answer: "&amp;F22&amp;")")</f>
        <v/>
      </c>
      <c r="BF22" s="17" t="inlineStr">
        <is>
          <t>New</t>
        </is>
      </c>
      <c r="BG22" s="17" t="n"/>
      <c r="BH22" s="17" t="n"/>
      <c r="BI22" s="17" t="n"/>
      <c r="BJ22" s="17" t="n"/>
      <c r="BK22" s="17" t="n"/>
      <c r="BL22" s="17" t="n"/>
      <c r="BM22" s="17" t="n"/>
      <c r="BN22" s="17" t="n"/>
    </row>
    <row r="23" ht="108" customHeight="1">
      <c r="A23" s="17" t="inlineStr">
        <is>
          <t>SUP-039</t>
        </is>
      </c>
      <c r="B23" s="17" t="inlineStr">
        <is>
          <t>06 Storage</t>
        </is>
      </c>
      <c r="C23" s="17" t="inlineStr">
        <is>
          <t>Advanced</t>
        </is>
      </c>
      <c r="D23" s="17" t="n">
        <v>39</v>
      </c>
      <c r="E23" s="17" t="inlineStr">
        <is>
          <t>Claude knowledge</t>
        </is>
      </c>
      <c r="F23" s="18" t="inlineStr">
        <is>
          <t>Storage policies</t>
        </is>
      </c>
      <c r="G23" s="18" t="inlineStr">
        <is>
          <t>Which policies control who may upload, read, update or delete files, and which table do they apply to?</t>
        </is>
      </c>
      <c r="H23" s="17" t="n"/>
      <c r="I23" s="18" t="inlineStr">
        <is>
          <t>SQL statement</t>
        </is>
      </c>
      <c r="J23" s="18" t="inlineStr">
        <is>
          <t>High</t>
        </is>
      </c>
      <c r="K23" s="18" t="n">
        <v>5</v>
      </c>
      <c r="L23" s="18" t="inlineStr">
        <is>
          <t>Files need the same kind of rules as table rows, so Storage keeps file records in a table and lets you write RLS policies on it.</t>
        </is>
      </c>
      <c r="M23" s="18" t="inlineStr">
        <is>
          <t>Use the folder name as the owner, such as a folder named after the user id, and match it in the policy.</t>
        </is>
      </c>
      <c r="N23" s="17" t="n"/>
      <c r="O23" s="18" t="inlineStr">
        <is>
          <t>Storage policies are the rules on the cupboard door, checking who is allowed to put in or take out.</t>
        </is>
      </c>
      <c r="P23" s="18" t="inlineStr">
        <is>
          <t>A policy matching the first folder of a file path with the logged-in user's id.</t>
        </is>
      </c>
      <c r="Q23" s="18" t="inlineStr">
        <is>
          <t>The relief of file access following the same rules as data.</t>
        </is>
      </c>
      <c r="R23" s="18" t="inlineStr">
        <is>
          <t>Storage policies are RLS policies on the storage.objects table that decide which users may act on which files.</t>
        </is>
      </c>
      <c r="S23" s="17" t="n"/>
      <c r="T23" s="19" t="inlineStr">
        <is>
          <t>create policy "Users upload to own folder" on storage.objects
  for insert to authenticated
  with check (
    bucket_id = 'avatars'
    and (storage.foldername(name))[1] = (select auth.uid())::text
  );</t>
        </is>
      </c>
      <c r="U23" s="19" t="inlineStr">
        <is>
          <t>A logged-in user can upload only to a path whose first folder equals their own user id, in the avatars bucket.</t>
        </is>
      </c>
      <c r="V23" s="18" t="inlineStr">
        <is>
          <t>Every file is a row in storage.objects with its bucket_id and name. The helper storage.foldername(name) returns the folder parts of the path, and the first part is at position one. Without a matching policy, uploads and private reads are refused. You can write separate policies for select, insert, update and delete.</t>
        </is>
      </c>
      <c r="W23" s="18" t="inlineStr">
        <is>
          <t>Write a policy on storage.objects that checks the bucket and the folder. Put each user's files in a folder named after their id, and the policy enforces it.</t>
        </is>
      </c>
      <c r="X23" s="18" t="inlineStr">
        <is>
          <t>It is like rules on the cupboard door, checking who may put in or take out.</t>
        </is>
      </c>
      <c r="Y23" s="19" t="inlineStr">
        <is>
          <t>create policy name on storage.objects for operation to role using or with check (condition);</t>
        </is>
      </c>
      <c r="Z23" s="18" t="inlineStr">
        <is>
          <t>storage.objects = table of files | bucket_id = which bucket | storage.foldername(name) = folder parts of the path</t>
        </is>
      </c>
      <c r="AA23" s="19" t="inlineStr">
        <is>
          <t>with check (bucket_id = 'avatars' and (storage.foldername(name))[1] = (select auth.uid())::text)</t>
        </is>
      </c>
      <c r="AB23" s="19" t="inlineStr">
        <is>
          <t>using (bucket_id = 'recordings' and (storage.foldername(name))[1] = (select auth.uid())::text)</t>
        </is>
      </c>
      <c r="AC23" s="19" t="inlineStr">
        <is>
          <t>create policy "Public read avatars" on storage.objects for select using (bucket_id = 'avatars');</t>
        </is>
      </c>
      <c r="AD23" s="19" t="inlineStr">
        <is>
          <t>for delete using (...)   // control who may delete
to anon   // allow logged-out users</t>
        </is>
      </c>
      <c r="AE23" s="18" t="inlineStr">
        <is>
          <t>buckets, auth.uid(), upload, signed URLs</t>
        </is>
      </c>
      <c r="AF23" s="18" t="inlineStr">
        <is>
          <t>Row Level Security, upload, public vs private buckets</t>
        </is>
      </c>
      <c r="AG23" s="18" t="inlineStr">
        <is>
          <t>Uploading through a server that uses the service role</t>
        </is>
      </c>
      <c r="AH23" s="17" t="n"/>
      <c r="AI23" s="18" t="inlineStr">
        <is>
          <t>User folders | Private recordings | Admin-only uploads</t>
        </is>
      </c>
      <c r="AJ23" s="18" t="inlineStr">
        <is>
          <t>A: Users get a policy error when uploading. | B: Add an insert policy on storage.objects that matches the user's folder.</t>
        </is>
      </c>
      <c r="AK23" s="18" t="inlineStr">
        <is>
          <t>✗ Bucket settings alone control who can upload → ✓ Uploads and private reads need policies on storage.objects too</t>
        </is>
      </c>
      <c r="AL23" s="18" t="inlineStr">
        <is>
          <t>Table policy vs storage policy: table policies guard rows, storage policies guard file objects in storage.objects.</t>
        </is>
      </c>
      <c r="AM23" s="18" t="inlineStr">
        <is>
          <t>Do not write storage policies that ignore the bucket id.</t>
        </is>
      </c>
      <c r="AN23" s="19" t="inlineStr">
        <is>
          <t>create policy "upload" on storage.objects for insert with check (true);</t>
        </is>
      </c>
      <c r="AO23" s="19" t="inlineStr">
        <is>
          <t>create policy "upload own" on storage.objects for insert to authenticated with check (bucket_id = 'avatars' and (storage.foldername(name))[1] = (select auth.uid())::text);</t>
        </is>
      </c>
      <c r="AP23" s="18" t="inlineStr">
        <is>
          <t>Folder name equals user id.</t>
        </is>
      </c>
      <c r="AQ23" s="18" t="inlineStr">
        <is>
          <t>Letting each student upload and read only their own recordings.</t>
        </is>
      </c>
      <c r="AR23" s="18" t="inlineStr">
        <is>
          <t>An interviewer may ask: How do you restrict file access per user?</t>
        </is>
      </c>
      <c r="AS23" s="18" t="inlineStr">
        <is>
          <t>It is like rules on a cupboard door.</t>
        </is>
      </c>
      <c r="AT23" s="18" t="inlineStr">
        <is>
          <t>On which table are storage policies written?</t>
        </is>
      </c>
      <c r="AU23" s="18" t="inlineStr">
        <is>
          <t>A) storage.objects B) pg_class C) auth.users D) public.todos</t>
        </is>
      </c>
      <c r="AV23" s="18" t="inlineStr">
        <is>
          <t>A</t>
        </is>
      </c>
      <c r="AW23" s="18" t="inlineStr">
        <is>
          <t>Every file is a row in storage.objects.</t>
        </is>
      </c>
      <c r="AX23" s="19" t="inlineStr">
        <is>
          <t>storage.____(name) returns the folders of a file path → foldername</t>
        </is>
      </c>
      <c r="AY23" s="18" t="inlineStr">
        <is>
          <t>Allow anyone to read files in the public-images bucket.</t>
        </is>
      </c>
      <c r="AZ23" s="19" t="inlineStr">
        <is>
          <t>create policy "Public read" on storage.objects for select using (bucket_id = 'public-images');</t>
        </is>
      </c>
      <c r="BA23" s="18" t="inlineStr">
        <is>
          <t>Write a policy that lets users delete only their own files.</t>
        </is>
      </c>
      <c r="BB23" s="19" t="inlineStr">
        <is>
          <t>Which helper function splits a path into folders?</t>
        </is>
      </c>
      <c r="BC23" s="19" t="inlineStr">
        <is>
          <t>storage.foldername(name)</t>
        </is>
      </c>
      <c r="BD23" s="17">
        <f>IF(K23="","",REPT("★",K23)&amp;REPT("☆",5-K23)&amp;" ("&amp;K23&amp;"/5)")</f>
        <v/>
      </c>
      <c r="BE23" s="17">
        <f>IF(S23="","","Meaning: "&amp;S23&amp;"  =  ______   (Answer: "&amp;F23&amp;")")</f>
        <v/>
      </c>
      <c r="BF23" s="17" t="inlineStr">
        <is>
          <t>New</t>
        </is>
      </c>
      <c r="BG23" s="17" t="n"/>
      <c r="BH23" s="17" t="n"/>
      <c r="BI23" s="17" t="n"/>
      <c r="BJ23" s="17" t="n"/>
      <c r="BK23" s="17" t="n"/>
      <c r="BL23" s="17" t="n"/>
      <c r="BM23" s="17" t="n"/>
      <c r="BN23" s="17" t="n"/>
    </row>
    <row r="24" ht="94.5" customHeight="1">
      <c r="A24" s="17" t="inlineStr">
        <is>
          <t>SUP-040</t>
        </is>
      </c>
      <c r="B24" s="17" t="inlineStr">
        <is>
          <t>07 Realtime and functions</t>
        </is>
      </c>
      <c r="C24" s="17" t="inlineStr">
        <is>
          <t>Intermediate</t>
        </is>
      </c>
      <c r="D24" s="17" t="n">
        <v>40</v>
      </c>
      <c r="E24" s="17" t="inlineStr">
        <is>
          <t>Claude knowledge</t>
        </is>
      </c>
      <c r="F24" s="18" t="inlineStr">
        <is>
          <t>Realtime (Postgres changes)</t>
        </is>
      </c>
      <c r="G24" s="18" t="inlineStr">
        <is>
          <t>How can your app receive a message the moment a row is inserted, updated or deleted in a table?</t>
        </is>
      </c>
      <c r="H24" s="17" t="n"/>
      <c r="I24" s="18" t="inlineStr">
        <is>
          <t>JavaScript method</t>
        </is>
      </c>
      <c r="J24" s="18" t="inlineStr">
        <is>
          <t>High</t>
        </is>
      </c>
      <c r="K24" s="18" t="n">
        <v>4</v>
      </c>
      <c r="L24" s="18" t="inlineStr">
        <is>
          <t>Apps such as chats and dashboards need to update without refreshing, so Supabase streams database changes to subscribed clients over a websocket.</t>
        </is>
      </c>
      <c r="M24" s="18" t="inlineStr">
        <is>
          <t>Enable realtime for the table first, and remember RLS still decides which changes each user receives.</t>
        </is>
      </c>
      <c r="N24" s="17" t="n"/>
      <c r="O24" s="18" t="inlineStr">
        <is>
          <t>Realtime is a doorbell wired to the table that rings whenever something changes.</t>
        </is>
      </c>
      <c r="P24" s="18" t="inlineStr">
        <is>
          <t>A table change sending a signal to open browser windows.</t>
        </is>
      </c>
      <c r="Q24" s="18" t="inlineStr">
        <is>
          <t>The delight of seeing data update live on screen.</t>
        </is>
      </c>
      <c r="R24" s="18" t="inlineStr">
        <is>
          <t>A channel subscribed to postgres_changes calls your function whenever matching rows change.</t>
        </is>
      </c>
      <c r="S24" s="17" t="n"/>
      <c r="T24" s="19" t="inlineStr">
        <is>
          <t>const channel = supabase
  .channel("todos-changes")
  .on("postgres_changes", { event: "INSERT", schema: "public", table: "todos" },
    (payload) =&gt; console.log("New todo:", payload.new))
  .subscribe();</t>
        </is>
      </c>
      <c r="U24" s="19" t="inlineStr">
        <is>
          <t>Each time a todo is inserted, the console prints New todo with the new row.</t>
        </is>
      </c>
      <c r="V24" s="18" t="inlineStr">
        <is>
          <t>The table must be included in the supabase_realtime publication, which you can enable in the dashboard. The event can be INSERT, UPDATE, DELETE or a star for all. Row Level Security applies to what each subscriber receives. Remove the channel when the component unmounts, with removeChannel.</t>
        </is>
      </c>
      <c r="W24" s="18" t="inlineStr">
        <is>
          <t>Turn on realtime for the table, create a channel, listen for changes, and subscribe. Remember to remove the channel when you no longer need it.</t>
        </is>
      </c>
      <c r="X24" s="18" t="inlineStr">
        <is>
          <t>It is like a doorbell wired to the table that rings whenever something changes.</t>
        </is>
      </c>
      <c r="Y24" s="19" t="inlineStr">
        <is>
          <t>supabase.channel(name).on("postgres_changes", filter, callback).subscribe()</t>
        </is>
      </c>
      <c r="Z24" s="18" t="inlineStr">
        <is>
          <t>channel = a named connection | on = listen for changes | filter = event, schema, table | subscribe = start</t>
        </is>
      </c>
      <c r="AA24" s="19" t="inlineStr">
        <is>
          <t>event: "INSERT", schema: "public", table: "todos"</t>
        </is>
      </c>
      <c r="AB24" s="19" t="inlineStr">
        <is>
          <t>event: "*", schema: "public", table: "messages"</t>
        </is>
      </c>
      <c r="AC24" s="19" t="inlineStr">
        <is>
          <t>supabase.removeChannel(channel)</t>
        </is>
      </c>
      <c r="AD24" s="19" t="inlineStr">
        <is>
          <t>filter: "room_id=eq.5"   // only changes for one room</t>
        </is>
      </c>
      <c r="AE24" s="18" t="inlineStr">
        <is>
          <t>websockets, publication, RLS, removeChannel</t>
        </is>
      </c>
      <c r="AF24" s="18" t="inlineStr">
        <is>
          <t>Broadcast and Presence, Row Level Security, triggers</t>
        </is>
      </c>
      <c r="AG24" s="18" t="inlineStr">
        <is>
          <t>Polling the table on a timer</t>
        </is>
      </c>
      <c r="AH24" s="17" t="n"/>
      <c r="AI24" s="18" t="inlineStr">
        <is>
          <t>Chat | Live dashboards | Collaborative apps</t>
        </is>
      </c>
      <c r="AJ24" s="18" t="inlineStr">
        <is>
          <t>A: New messages do not show until I refresh. | B: Subscribe to INSERT changes on the messages table.</t>
        </is>
      </c>
      <c r="AK24" s="18" t="inlineStr">
        <is>
          <t>✗ Realtime works on every table automatically → ✓ A table must be added to the realtime publication, and RLS still limits what each user receives</t>
        </is>
      </c>
      <c r="AL24" s="18" t="inlineStr">
        <is>
          <t>Realtime vs polling: realtime pushes changes as they happen, polling asks repeatedly.</t>
        </is>
      </c>
      <c r="AM24" s="18" t="inlineStr">
        <is>
          <t>Do not forget to remove channels when leaving a page.</t>
        </is>
      </c>
      <c r="AN24" s="19" t="inlineStr">
        <is>
          <t>supabase.on("postgres_changes", {}, callback).subscribe();</t>
        </is>
      </c>
      <c r="AO24" s="19" t="inlineStr">
        <is>
          <t>supabase.channel("todos-changes").on("postgres_changes", { event: "INSERT", schema: "public", table: "todos" }, callback).subscribe();</t>
        </is>
      </c>
      <c r="AP24" s="18" t="inlineStr">
        <is>
          <t>Make a channel, listen, then subscribe.</t>
        </is>
      </c>
      <c r="AQ24" s="18" t="inlineStr">
        <is>
          <t>Showing new chat messages live as other users send them.</t>
        </is>
      </c>
      <c r="AR24" s="18" t="inlineStr">
        <is>
          <t>An interviewer may ask: How does Supabase Realtime deliver database changes?</t>
        </is>
      </c>
      <c r="AS24" s="18" t="inlineStr">
        <is>
          <t>It is like a doorbell wired to the table.</t>
        </is>
      </c>
      <c r="AT24" s="18" t="inlineStr">
        <is>
          <t>What must you do for a table before listening to its changes?</t>
        </is>
      </c>
      <c r="AU24" s="18" t="inlineStr">
        <is>
          <t>A) Rename it B) Make a bucket C) Add it to the realtime publication D) Delete its rows</t>
        </is>
      </c>
      <c r="AV24" s="18" t="inlineStr">
        <is>
          <t>C</t>
        </is>
      </c>
      <c r="AW24" s="18" t="inlineStr">
        <is>
          <t>Only tables in the publication send change events.</t>
        </is>
      </c>
      <c r="AX24" s="19" t="inlineStr">
        <is>
          <t>Stop listening with supabase.____(channel) → removeChannel</t>
        </is>
      </c>
      <c r="AY24" s="18" t="inlineStr">
        <is>
          <t>Listen to every change on the messages table.</t>
        </is>
      </c>
      <c r="AZ24" s="19" t="inlineStr">
        <is>
          <t>supabase.channel("m").on("postgres_changes", { event: "*", schema: "public", table: "messages" }, (p) =&gt; console.log(p)).subscribe();</t>
        </is>
      </c>
      <c r="BA24" s="18" t="inlineStr">
        <is>
          <t>Write a subscription that shows new comments live.</t>
        </is>
      </c>
      <c r="BB24" s="19" t="inlineStr">
        <is>
          <t>Which events can you listen for?</t>
        </is>
      </c>
      <c r="BC24" s="19" t="inlineStr">
        <is>
          <t>INSERT, UPDATE, DELETE, or all of them.</t>
        </is>
      </c>
      <c r="BD24" s="17">
        <f>IF(K24="","",REPT("★",K24)&amp;REPT("☆",5-K24)&amp;" ("&amp;K24&amp;"/5)")</f>
        <v/>
      </c>
      <c r="BE24" s="17">
        <f>IF(S24="","","Meaning: "&amp;S24&amp;"  =  ______   (Answer: "&amp;F24&amp;")")</f>
        <v/>
      </c>
      <c r="BF24" s="17" t="inlineStr">
        <is>
          <t>New</t>
        </is>
      </c>
      <c r="BG24" s="17" t="n"/>
      <c r="BH24" s="17" t="n"/>
      <c r="BI24" s="17" t="n"/>
      <c r="BJ24" s="17" t="n"/>
      <c r="BK24" s="17" t="n"/>
      <c r="BL24" s="17" t="n"/>
      <c r="BM24" s="17" t="n"/>
      <c r="BN24" s="17" t="n"/>
    </row>
    <row r="25" ht="121.5" customHeight="1">
      <c r="A25" s="17" t="inlineStr">
        <is>
          <t>SUP-042</t>
        </is>
      </c>
      <c r="B25" s="17" t="inlineStr">
        <is>
          <t>07 Realtime and functions</t>
        </is>
      </c>
      <c r="C25" s="17" t="inlineStr">
        <is>
          <t>Advanced</t>
        </is>
      </c>
      <c r="D25" s="17" t="n">
        <v>42</v>
      </c>
      <c r="E25" s="17" t="inlineStr">
        <is>
          <t>Claude knowledge</t>
        </is>
      </c>
      <c r="F25" s="18" t="inlineStr">
        <is>
          <t>Edge Functions</t>
        </is>
      </c>
      <c r="G25" s="18" t="inlineStr">
        <is>
          <t>Which Supabase feature runs your own TypeScript server code close to users, such as for secrets or third-party calls?</t>
        </is>
      </c>
      <c r="H25" s="17" t="n"/>
      <c r="I25" s="18" t="inlineStr">
        <is>
          <t>Server-side function</t>
        </is>
      </c>
      <c r="J25" s="18" t="inlineStr">
        <is>
          <t>High</t>
        </is>
      </c>
      <c r="K25" s="18" t="n">
        <v>4</v>
      </c>
      <c r="L25" s="18" t="inlineStr">
        <is>
          <t>Some work cannot happen in the browser, such as using secret keys or receiving webhooks, so Supabase lets you deploy small server-side functions without managing servers.</t>
        </is>
      </c>
      <c r="M25" s="18" t="inlineStr">
        <is>
          <t>Keep secrets in function secrets and call third-party APIs from here, never from the browser.</t>
        </is>
      </c>
      <c r="N25" s="17" t="n"/>
      <c r="O25" s="18" t="inlineStr">
        <is>
          <t>Picture a tiny kitchen beside the dining room that cooks the dishes guests must not prepare themselves.</t>
        </is>
      </c>
      <c r="P25" s="18" t="inlineStr">
        <is>
          <t>A small function box between the browser and the outside world.</t>
        </is>
      </c>
      <c r="Q25" s="18" t="inlineStr">
        <is>
          <t>The relief of server logic with no server to manage.</t>
        </is>
      </c>
      <c r="R25" s="18" t="inlineStr">
        <is>
          <t>An Edge Function is a small TypeScript function that runs on Deno on Supabase's infrastructure and is called over HTTP.</t>
        </is>
      </c>
      <c r="S25" s="17" t="n"/>
      <c r="T25" s="19" t="inlineStr">
        <is>
          <t>Deno.serve(async (req) =&gt; {
  const { name } = await req.json();
  return new Response(JSON.stringify({ message: `Hello ${name}` }), {
    headers: { "Content-Type": "application/json" },
  });
});</t>
        </is>
      </c>
      <c r="U25" s="19" t="inlineStr">
        <is>
          <t>A call with the body {"name": "Asha"} returns {"message": "Hello Asha"}.</t>
        </is>
      </c>
      <c r="V25" s="18" t="inlineStr">
        <is>
          <t>You write the function in your project's supabase/functions folder, and deploy it with supabase functions deploy name. Secrets are set with the CLI and read through Deno.env. From the client you call it with supabase.functions.invoke, which also forwards the user's token. Typical uses are calling payment or email providers, receiving webhooks and running scheduled jobs.</t>
        </is>
      </c>
      <c r="W25" s="18" t="inlineStr">
        <is>
          <t>Write a function, deploy it, and call it from your app. Use it for anything that needs secrets or must run on the server.</t>
        </is>
      </c>
      <c r="X25" s="18" t="inlineStr">
        <is>
          <t>It is like a small kitchen beside the dining room for tasks guests must not do themselves.</t>
        </is>
      </c>
      <c r="Y25" s="19" t="inlineStr">
        <is>
          <t>supabase.functions.invoke("name", { body })</t>
        </is>
      </c>
      <c r="Z25" s="18" t="inlineStr">
        <is>
          <t>Deno.serve = handle requests | invoke = call from the client | secrets = set with the CLI</t>
        </is>
      </c>
      <c r="AA25" s="19" t="inlineStr">
        <is>
          <t>await supabase.functions.invoke("hello", { body: { name: "Asha" } });</t>
        </is>
      </c>
      <c r="AB25" s="19" t="inlineStr">
        <is>
          <t>A function that calls an email provider with a secret key.</t>
        </is>
      </c>
      <c r="AC25" s="19" t="inlineStr">
        <is>
          <t>A function that receives a payment webhook.</t>
        </is>
      </c>
      <c r="AD25" s="19" t="inlineStr">
        <is>
          <t>supabase functions deploy hello   // publish the function
supabase secrets set EMAIL_KEY=...   // store a secret</t>
        </is>
      </c>
      <c r="AE25" s="18" t="inlineStr">
        <is>
          <t>Deno, secrets, CLI, webhooks</t>
        </is>
      </c>
      <c r="AF25" s="18" t="inlineStr">
        <is>
          <t>webhooks, database functions, environment variables</t>
        </is>
      </c>
      <c r="AG25" s="18" t="inlineStr">
        <is>
          <t>Your own server or another serverless platform</t>
        </is>
      </c>
      <c r="AH25" s="17" t="n"/>
      <c r="AI25" s="18" t="inlineStr">
        <is>
          <t>Third-party API calls | Webhook receivers | Scheduled jobs</t>
        </is>
      </c>
      <c r="AJ25" s="18" t="inlineStr">
        <is>
          <t>A: Where should the email API key live? | B: In an edge function secret, called from the app through the function.</t>
        </is>
      </c>
      <c r="AK25" s="18" t="inlineStr">
        <is>
          <t>✗ Edge Functions are the same as database functions → ✓ Edge Functions run TypeScript outside the database, while database functions run inside Postgres</t>
        </is>
      </c>
      <c r="AL25" s="18" t="inlineStr">
        <is>
          <t>Edge Function vs database function: one runs your TypeScript on Deno, the other runs SQL inside Postgres.</t>
        </is>
      </c>
      <c r="AM25" s="18" t="inlineStr">
        <is>
          <t>Do not put secret keys in front-end code, use a function.</t>
        </is>
      </c>
      <c r="AN25" s="19" t="inlineStr">
        <is>
          <t>const key = "my-email-secret"; // inside browser code</t>
        </is>
      </c>
      <c r="AO25" s="19" t="inlineStr">
        <is>
          <t>const key = Deno.env.get("EMAIL_KEY"); // inside an edge function</t>
        </is>
      </c>
      <c r="AP25" s="18" t="inlineStr">
        <is>
          <t>Secrets stay inside the function.</t>
        </is>
      </c>
      <c r="AQ25" s="18" t="inlineStr">
        <is>
          <t>Sending a welcome email from an edge function after signup.</t>
        </is>
      </c>
      <c r="AR25" s="18" t="inlineStr">
        <is>
          <t>An interviewer may ask: When would you use an Edge Function?</t>
        </is>
      </c>
      <c r="AS25" s="18" t="inlineStr">
        <is>
          <t>It is like a small kitchen next to the dining room.</t>
        </is>
      </c>
      <c r="AT25" s="18" t="inlineStr">
        <is>
          <t>Which runtime do Edge Functions use?</t>
        </is>
      </c>
      <c r="AU25" s="18" t="inlineStr">
        <is>
          <t>A) COBOL B) Flash C) Excel D) Deno</t>
        </is>
      </c>
      <c r="AV25" s="18" t="inlineStr">
        <is>
          <t>D</t>
        </is>
      </c>
      <c r="AW25" s="18" t="inlineStr">
        <is>
          <t>Supabase Edge Functions run on Deno.</t>
        </is>
      </c>
      <c r="AX25" s="19" t="inlineStr">
        <is>
          <t>You call a function from the client with supabase.functions.____ → invoke</t>
        </is>
      </c>
      <c r="AY25" s="18" t="inlineStr">
        <is>
          <t>Call a function named hello with the body name set to Ravi.</t>
        </is>
      </c>
      <c r="AZ25" s="19" t="inlineStr">
        <is>
          <t>await supabase.functions.invoke("hello", { body: { name: "Ravi" } });</t>
        </is>
      </c>
      <c r="BA25" s="18" t="inlineStr">
        <is>
          <t>Write the steps to deploy a function and set a secret for it.</t>
        </is>
      </c>
      <c r="BB25" s="19" t="inlineStr">
        <is>
          <t>How do you publish a function?</t>
        </is>
      </c>
      <c r="BC25" s="19" t="inlineStr">
        <is>
          <t>supabase functions deploy &lt;name&gt;</t>
        </is>
      </c>
      <c r="BD25" s="17">
        <f>IF(K25="","",REPT("★",K25)&amp;REPT("☆",5-K25)&amp;" ("&amp;K25&amp;"/5)")</f>
        <v/>
      </c>
      <c r="BE25" s="17">
        <f>IF(S25="","","Meaning: "&amp;S25&amp;"  =  ______   (Answer: "&amp;F25&amp;")")</f>
        <v/>
      </c>
      <c r="BF25" s="17" t="inlineStr">
        <is>
          <t>New</t>
        </is>
      </c>
      <c r="BG25" s="17" t="n"/>
      <c r="BH25" s="17" t="n"/>
      <c r="BI25" s="17" t="n"/>
      <c r="BJ25" s="17" t="n"/>
      <c r="BK25" s="17" t="n"/>
      <c r="BL25" s="17" t="n"/>
      <c r="BM25" s="17" t="n"/>
      <c r="BN25" s="17" t="n"/>
    </row>
    <row r="26" ht="189" customHeight="1">
      <c r="A26" s="17" t="inlineStr">
        <is>
          <t>SUP-043</t>
        </is>
      </c>
      <c r="B26" s="17" t="inlineStr">
        <is>
          <t>07 Realtime and functions</t>
        </is>
      </c>
      <c r="C26" s="17" t="inlineStr">
        <is>
          <t>Advanced</t>
        </is>
      </c>
      <c r="D26" s="17" t="n">
        <v>43</v>
      </c>
      <c r="E26" s="17" t="inlineStr">
        <is>
          <t>Claude knowledge</t>
        </is>
      </c>
      <c r="F26" s="18" t="inlineStr">
        <is>
          <t>Database functions and triggers</t>
        </is>
      </c>
      <c r="G26" s="18" t="inlineStr">
        <is>
          <t>Which two Postgres features let the database run code automatically when a row is inserted, such as creating a profile for each new user?</t>
        </is>
      </c>
      <c r="H26" s="17" t="n"/>
      <c r="I26" s="18" t="inlineStr">
        <is>
          <t>SQL concept</t>
        </is>
      </c>
      <c r="J26" s="18" t="inlineStr">
        <is>
          <t>High</t>
        </is>
      </c>
      <c r="K26" s="18" t="n">
        <v>4</v>
      </c>
      <c r="L26" s="18" t="inlineStr">
        <is>
          <t>Some rules must always happen whenever data changes, whatever the app does, so Postgres lets you attach functions to table events through triggers.</t>
        </is>
      </c>
      <c r="M26" s="18" t="inlineStr">
        <is>
          <t>Use a trigger on auth.users to create a profile row automatically for each new sign-up.</t>
        </is>
      </c>
      <c r="N26" s="17" t="n"/>
      <c r="O26" s="18" t="inlineStr">
        <is>
          <t>A trigger is a tripwire, and the function is the alarm it sets off.</t>
        </is>
      </c>
      <c r="P26" s="18" t="inlineStr">
        <is>
          <t>A new row appearing and a second row being created by itself.</t>
        </is>
      </c>
      <c r="Q26" s="18" t="inlineStr">
        <is>
          <t>The comfort of rules that never get forgotten.</t>
        </is>
      </c>
      <c r="R26" s="18" t="inlineStr">
        <is>
          <t>A trigger runs a function automatically before or after an insert, update or delete on a table.</t>
        </is>
      </c>
      <c r="S26" s="17" t="n"/>
      <c r="T26" s="19" t="inlineStr">
        <is>
          <t>create function public.handle_new_user() returns trigger
language plpgsql security definer set search_path = '' as $$
begin
  insert into public.profiles (id) values (new.id);
  return new;
end;
$$;
create trigger on_auth_user_created
  after insert on auth.users
  for each row execute function public.handle_new_user();</t>
        </is>
      </c>
      <c r="U26" s="19" t="inlineStr">
        <is>
          <t>Each new user in auth.users automatically gets a matching row in public.profiles.</t>
        </is>
      </c>
      <c r="V26" s="18" t="inlineStr">
        <is>
          <t>The function returns trigger and can read the new row through new. It is security definer so it can write to your table, and setting search_path avoids hijacking risks. The trigger says when to run it, such as after insert, and for each row. Triggers work whatever client changed the data, so rules cannot be skipped.</t>
        </is>
      </c>
      <c r="W26" s="18" t="inlineStr">
        <is>
          <t>Write a function, then attach it with a trigger to a table event. From then on the database runs it every time the event occurs.</t>
        </is>
      </c>
      <c r="X26" s="18" t="inlineStr">
        <is>
          <t>It is like a tripwire that sets off an alarm automatically.</t>
        </is>
      </c>
      <c r="Y26" s="19" t="inlineStr">
        <is>
          <t>create trigger name after insert on table for each row execute function fn();</t>
        </is>
      </c>
      <c r="Z26" s="18" t="inlineStr">
        <is>
          <t>function = the code to run | trigger = when to run it | new = the row that was added</t>
        </is>
      </c>
      <c r="AA26" s="19" t="inlineStr">
        <is>
          <t>create trigger on_auth_user_created after insert on auth.users for each row execute function public.handle_new_user();</t>
        </is>
      </c>
      <c r="AB26" s="19" t="inlineStr">
        <is>
          <t>A trigger that sets updated_at before each update.</t>
        </is>
      </c>
      <c r="AC26" s="19" t="inlineStr">
        <is>
          <t>A trigger that writes a row into an audit log after each delete.</t>
        </is>
      </c>
      <c r="AD26" s="19" t="inlineStr">
        <is>
          <t>before update   // run before the change
for each statement   // once per statement, not per row</t>
        </is>
      </c>
      <c r="AE26" s="18" t="inlineStr">
        <is>
          <t>plpgsql, security definer, auth.users, profiles</t>
        </is>
      </c>
      <c r="AF26" s="18" t="inlineStr">
        <is>
          <t>RPC, Supabase Auth, database webhooks</t>
        </is>
      </c>
      <c r="AG26" s="18" t="inlineStr">
        <is>
          <t>Doing the same step in application code</t>
        </is>
      </c>
      <c r="AH26" s="17" t="n"/>
      <c r="AI26" s="18" t="inlineStr">
        <is>
          <t>Profile creation | Audit logs | Timestamps</t>
        </is>
      </c>
      <c r="AJ26" s="18" t="inlineStr">
        <is>
          <t>A: How do I create a profile for every new user? | B: Add a trigger on auth.users that inserts into profiles.</t>
        </is>
      </c>
      <c r="AK26" s="18" t="inlineStr">
        <is>
          <t>✗ Triggers only run when my app code calls them → ✓ Triggers run inside the database whenever the event happens, whichever client caused it</t>
        </is>
      </c>
      <c r="AL26" s="18" t="inlineStr">
        <is>
          <t>Function vs trigger: a function holds the code, a trigger decides when it runs.</t>
        </is>
      </c>
      <c r="AM26" s="18" t="inlineStr">
        <is>
          <t>Do not write security definer functions without setting the search_path.</t>
        </is>
      </c>
      <c r="AN26" s="19" t="inlineStr">
        <is>
          <t>create trigger t on auth.users execute function public.handle_new_user();</t>
        </is>
      </c>
      <c r="AO26" s="19" t="inlineStr">
        <is>
          <t>create trigger on_auth_user_created after insert on auth.users for each row execute function public.handle_new_user();</t>
        </is>
      </c>
      <c r="AP26" s="18" t="inlineStr">
        <is>
          <t>Function holds the code, trigger fires it.</t>
        </is>
      </c>
      <c r="AQ26" s="18" t="inlineStr">
        <is>
          <t>Creating a profile row for each learner at sign-up.</t>
        </is>
      </c>
      <c r="AR26" s="18" t="inlineStr">
        <is>
          <t>An interviewer may ask: What is a trigger in Postgres?</t>
        </is>
      </c>
      <c r="AS26" s="18" t="inlineStr">
        <is>
          <t>It is like a tripwire that sets off an alarm.</t>
        </is>
      </c>
      <c r="AT26" s="18" t="inlineStr">
        <is>
          <t>What does a trigger do?</t>
        </is>
      </c>
      <c r="AU26" s="18" t="inlineStr">
        <is>
          <t>A) Creates a bucket B) Renames a column C) Runs a function automatically on a table event D) Sends an email directly</t>
        </is>
      </c>
      <c r="AV26" s="18" t="inlineStr">
        <is>
          <t>C</t>
        </is>
      </c>
      <c r="AW26" s="18" t="inlineStr">
        <is>
          <t>A trigger executes a function when a table event occurs.</t>
        </is>
      </c>
      <c r="AX26" s="19" t="inlineStr">
        <is>
          <t>Inside a row trigger, the row that was just added is available as ____ → new</t>
        </is>
      </c>
      <c r="AY26" s="18" t="inlineStr">
        <is>
          <t>Name the clause that runs a trigger after a row is inserted.</t>
        </is>
      </c>
      <c r="AZ26" s="19" t="inlineStr">
        <is>
          <t>after insert on table_name for each row execute function fn();</t>
        </is>
      </c>
      <c r="BA26" s="18" t="inlineStr">
        <is>
          <t>Write a trigger plan that updates updated_at on every change.</t>
        </is>
      </c>
      <c r="BB26" s="19" t="inlineStr">
        <is>
          <t>What does security definer do for a function?</t>
        </is>
      </c>
      <c r="BC26" s="19" t="inlineStr">
        <is>
          <t>It runs the function with the owner's rights instead of the caller's.</t>
        </is>
      </c>
      <c r="BD26" s="17">
        <f>IF(K26="","",REPT("★",K26)&amp;REPT("☆",5-K26)&amp;" ("&amp;K26&amp;"/5)")</f>
        <v/>
      </c>
      <c r="BE26" s="17">
        <f>IF(S26="","","Meaning: "&amp;S26&amp;"  =  ______   (Answer: "&amp;F26&amp;")")</f>
        <v/>
      </c>
      <c r="BF26" s="17" t="inlineStr">
        <is>
          <t>New</t>
        </is>
      </c>
      <c r="BG26" s="17" t="n"/>
      <c r="BH26" s="17" t="n"/>
      <c r="BI26" s="17" t="n"/>
      <c r="BJ26" s="17" t="n"/>
      <c r="BK26" s="17" t="n"/>
      <c r="BL26" s="17" t="n"/>
      <c r="BM26" s="17" t="n"/>
      <c r="BN26" s="17" t="n"/>
    </row>
    <row r="27" ht="94.5" customHeight="1">
      <c r="A27" s="17" t="inlineStr">
        <is>
          <t>SUP-047</t>
        </is>
      </c>
      <c r="B27" s="17" t="inlineStr">
        <is>
          <t>08 Production and advanced</t>
        </is>
      </c>
      <c r="C27" s="17" t="inlineStr">
        <is>
          <t>Intermediate</t>
        </is>
      </c>
      <c r="D27" s="17" t="n">
        <v>47</v>
      </c>
      <c r="E27" s="17" t="inlineStr">
        <is>
          <t>Claude knowledge</t>
        </is>
      </c>
      <c r="F27" s="18" t="inlineStr">
        <is>
          <t>Local development with the CLI</t>
        </is>
      </c>
      <c r="G27" s="18" t="inlineStr">
        <is>
          <t>How do you run a copy of Supabase on your own computer so you can build and test safely?</t>
        </is>
      </c>
      <c r="H27" s="17" t="n"/>
      <c r="I27" s="18" t="inlineStr">
        <is>
          <t>Workflow</t>
        </is>
      </c>
      <c r="J27" s="18" t="inlineStr">
        <is>
          <t>High</t>
        </is>
      </c>
      <c r="K27" s="18" t="n">
        <v>4</v>
      </c>
      <c r="L27" s="18" t="inlineStr">
        <is>
          <t>Experimenting against a live project is risky, so the CLI starts the whole Supabase stack locally in containers.</t>
        </is>
      </c>
      <c r="M27" s="18" t="inlineStr">
        <is>
          <t>Develop and test migrations locally first, then push them to the remote project.</t>
        </is>
      </c>
      <c r="N27" s="17" t="n"/>
      <c r="O27" s="18" t="inlineStr">
        <is>
          <t>Local development is a rehearsal stage with the same set as the real theatre.</t>
        </is>
      </c>
      <c r="P27" s="18" t="inlineStr">
        <is>
          <t>A laptop running a database, auth and storage in containers.</t>
        </is>
      </c>
      <c r="Q27" s="18" t="inlineStr">
        <is>
          <t>The freedom to break things without consequences.</t>
        </is>
      </c>
      <c r="R27" s="18" t="inlineStr">
        <is>
          <t>supabase start runs a local copy of the Supabase stack so you can develop without touching the live project.</t>
        </is>
      </c>
      <c r="S27" s="17" t="n"/>
      <c r="T27" s="19" t="inlineStr">
        <is>
          <t>supabase init
supabase start
supabase db reset
supabase stop</t>
        </is>
      </c>
      <c r="U27" s="19" t="inlineStr">
        <is>
          <t>A local database, API and dashboard start on your computer, and the CLI prints their addresses and local keys.</t>
        </is>
      </c>
      <c r="V27" s="18" t="inlineStr">
        <is>
          <t>The CLI needs a container runtime such as Docker. supabase init creates the supabase folder, start launches the services, db reset rebuilds the local database from your migrations and seed file, and stop shuts everything down. The local keys are separate from the real project, so nothing live is affected.</t>
        </is>
      </c>
      <c r="W27" s="18" t="inlineStr">
        <is>
          <t>Install the CLI and Docker, then init and start. You get a private copy of Supabase to experiment on, and migrations tested there can be pushed to production.</t>
        </is>
      </c>
      <c r="X27" s="18" t="inlineStr">
        <is>
          <t>It is like a rehearsal stage with the same set as the real theatre.</t>
        </is>
      </c>
      <c r="Y27" s="19" t="inlineStr">
        <is>
          <t>supabase init  |  supabase start  |  supabase stop</t>
        </is>
      </c>
      <c r="Z27" s="18" t="inlineStr">
        <is>
          <t>init = create the folder | start = launch the local stack | db reset = rebuild from migrations</t>
        </is>
      </c>
      <c r="AA27" s="19" t="inlineStr">
        <is>
          <t>supabase start</t>
        </is>
      </c>
      <c r="AB27" s="19" t="inlineStr">
        <is>
          <t>supabase db reset</t>
        </is>
      </c>
      <c r="AC27" s="19" t="inlineStr">
        <is>
          <t>supabase stop</t>
        </is>
      </c>
      <c r="AD27" s="19" t="inlineStr">
        <is>
          <t>supabase status   // show local URLs and keys
supabase link   // connect to a remote project</t>
        </is>
      </c>
      <c r="AE27" s="18" t="inlineStr">
        <is>
          <t>Docker, migrations, seed files, supabase db push</t>
        </is>
      </c>
      <c r="AF27" s="18" t="inlineStr">
        <is>
          <t>migrations, backups, environments</t>
        </is>
      </c>
      <c r="AG27" s="18" t="inlineStr">
        <is>
          <t>A separate development project in the cloud</t>
        </is>
      </c>
      <c r="AH27" s="17" t="n"/>
      <c r="AI27" s="18" t="inlineStr">
        <is>
          <t>Daily development | Testing migrations | Teams</t>
        </is>
      </c>
      <c r="AJ27" s="18" t="inlineStr">
        <is>
          <t>A: I do not want to test on the live project. | B: Run supabase start and work against the local copy.</t>
        </is>
      </c>
      <c r="AK27" s="18" t="inlineStr">
        <is>
          <t>✗ The local Supabase uses the same keys as my live project → ✓ Local services have their own keys and data, so they are separate from production</t>
        </is>
      </c>
      <c r="AL27" s="18" t="inlineStr">
        <is>
          <t>supabase start vs supabase link: start runs a local stack, link connects the CLI to a remote project.</t>
        </is>
      </c>
      <c r="AM27" s="18" t="inlineStr">
        <is>
          <t>Do not paste local keys into production settings.</t>
        </is>
      </c>
      <c r="AN27" s="19" t="inlineStr">
        <is>
          <t>supabase run local</t>
        </is>
      </c>
      <c r="AO27" s="19" t="inlineStr">
        <is>
          <t>supabase start</t>
        </is>
      </c>
      <c r="AP27" s="18" t="inlineStr">
        <is>
          <t>Start the stage, then rehearse.</t>
        </is>
      </c>
      <c r="AQ27" s="18" t="inlineStr">
        <is>
          <t>Testing a new migration locally before pushing it to production.</t>
        </is>
      </c>
      <c r="AR27" s="18" t="inlineStr">
        <is>
          <t>An interviewer may ask: How do you develop against Supabase without touching production?</t>
        </is>
      </c>
      <c r="AS27" s="18" t="inlineStr">
        <is>
          <t>It is like a rehearsal stage with the same set.</t>
        </is>
      </c>
      <c r="AT27" s="18" t="inlineStr">
        <is>
          <t>Which command starts the local Supabase stack?</t>
        </is>
      </c>
      <c r="AU27" s="18" t="inlineStr">
        <is>
          <t>A) supabase run B) supabase start C) supabase push D) supabase deploy</t>
        </is>
      </c>
      <c r="AV27" s="18" t="inlineStr">
        <is>
          <t>B</t>
        </is>
      </c>
      <c r="AW27" s="18" t="inlineStr">
        <is>
          <t>supabase start launches the local services.</t>
        </is>
      </c>
      <c r="AX27" s="19" t="inlineStr">
        <is>
          <t>supabase db ____ rebuilds the local database from migrations → reset</t>
        </is>
      </c>
      <c r="AY27" s="18" t="inlineStr">
        <is>
          <t>Start the local stack and then stop it.</t>
        </is>
      </c>
      <c r="AZ27" s="19" t="inlineStr">
        <is>
          <t>supabase start &amp;&amp; supabase stop</t>
        </is>
      </c>
      <c r="BA27" s="18" t="inlineStr">
        <is>
          <t>Write the commands to set up a local project from scratch.</t>
        </is>
      </c>
      <c r="BB27" s="19" t="inlineStr">
        <is>
          <t>Which tool does the local stack need to run its services?</t>
        </is>
      </c>
      <c r="BC27" s="19" t="inlineStr">
        <is>
          <t>A container runtime such as Docker.</t>
        </is>
      </c>
      <c r="BD27" s="17">
        <f>IF(K27="","",REPT("★",K27)&amp;REPT("☆",5-K27)&amp;" ("&amp;K27&amp;"/5)")</f>
        <v/>
      </c>
      <c r="BE27" s="17">
        <f>IF(S27="","","Meaning: "&amp;S27&amp;"  =  ______   (Answer: "&amp;F27&amp;")")</f>
        <v/>
      </c>
      <c r="BF27" s="17" t="inlineStr">
        <is>
          <t>New</t>
        </is>
      </c>
      <c r="BG27" s="17" t="n"/>
      <c r="BH27" s="17" t="n"/>
      <c r="BI27" s="17" t="n"/>
      <c r="BJ27" s="17" t="n"/>
      <c r="BK27" s="17" t="n"/>
      <c r="BL27" s="17" t="n"/>
      <c r="BM27" s="17" t="n"/>
      <c r="BN27" s="17" t="n"/>
    </row>
    <row r="28" ht="135" customHeight="1">
      <c r="A28" s="17" t="inlineStr">
        <is>
          <t>SUP-048</t>
        </is>
      </c>
      <c r="B28" s="17" t="inlineStr">
        <is>
          <t>08 Production and advanced</t>
        </is>
      </c>
      <c r="C28" s="17" t="inlineStr">
        <is>
          <t>Advanced</t>
        </is>
      </c>
      <c r="D28" s="17" t="n">
        <v>48</v>
      </c>
      <c r="E28" s="17" t="inlineStr">
        <is>
          <t>Claude knowledge</t>
        </is>
      </c>
      <c r="F28" s="18" t="inlineStr">
        <is>
          <t>pgvector (AI embeddings and similarity search)</t>
        </is>
      </c>
      <c r="G28" s="18" t="inlineStr">
        <is>
          <t>Which Postgres extension lets you store embeddings and search for the most similar items by meaning?</t>
        </is>
      </c>
      <c r="H28" s="17" t="n"/>
      <c r="I28" s="18" t="inlineStr">
        <is>
          <t>Postgres extension</t>
        </is>
      </c>
      <c r="J28" s="18" t="inlineStr">
        <is>
          <t>Medium</t>
        </is>
      </c>
      <c r="K28" s="18" t="n">
        <v>4</v>
      </c>
      <c r="L28" s="18" t="inlineStr">
        <is>
          <t>AI apps turn text into lists of numbers called embeddings, and finding similar ones needs a database that can store and compare them, which pgvector adds to Postgres.</t>
        </is>
      </c>
      <c r="M28" s="18" t="inlineStr">
        <is>
          <t>Make the vector size match the embedding model, and add an index when the table grows.</t>
        </is>
      </c>
      <c r="N28" s="17" t="n"/>
      <c r="O28" s="18" t="inlineStr">
        <is>
          <t>Each text becomes a point on a map, and similarity search finds the nearest points.</t>
        </is>
      </c>
      <c r="P28" s="18" t="inlineStr">
        <is>
          <t>Dots on a map with a query dot and its nearest neighbours highlighted.</t>
        </is>
      </c>
      <c r="Q28" s="18" t="inlineStr">
        <is>
          <t>The thrill of search that understands meaning rather than exact words.</t>
        </is>
      </c>
      <c r="R28" s="18" t="inlineStr">
        <is>
          <t>pgvector adds a vector column type and distance operators to Postgres, so you can store embeddings and find the nearest ones.</t>
        </is>
      </c>
      <c r="S28" s="17" t="n"/>
      <c r="T28" s="19" t="inlineStr">
        <is>
          <t>create extension if not exists vector;
create table documents (
  id bigint generated always as identity primary key,
  content text,
  embedding vector(1536)
);
select id, content from documents
order by embedding &lt;=&gt; '[0.1, 0.2, ...]'::vector limit 5;</t>
        </is>
      </c>
      <c r="U28" s="19" t="inlineStr">
        <is>
          <t>The five documents whose embeddings are closest in meaning to the query embedding.</t>
        </is>
      </c>
      <c r="V28" s="18" t="inlineStr">
        <is>
          <t>The number in vector(1536) is the embedding size, which must match your model. The operator &lt;=&gt; is cosine distance, and others measure Euclidean distance or inner product. You create the embeddings with a model outside the database, store them, and search with a query embedding. For larger tables, add an HNSW or IVFFlat index, and wrap the search in a function you call with rpc.</t>
        </is>
      </c>
      <c r="W28" s="18" t="inlineStr">
        <is>
          <t>Turn text into embeddings with a model, store them in a vector column, and order by distance to the query embedding to get the closest matches.</t>
        </is>
      </c>
      <c r="X28" s="18" t="inlineStr">
        <is>
          <t>It is like placing each text as a dot on a map and finding the dots nearest to your question.</t>
        </is>
      </c>
      <c r="Y28" s="19" t="inlineStr">
        <is>
          <t>embedding vector(n)  |  order by embedding &lt;=&gt; query_embedding</t>
        </is>
      </c>
      <c r="Z28" s="18" t="inlineStr">
        <is>
          <t>vector(n) = n numbers per item | &lt;=&gt; = cosine distance | limit = how many results</t>
        </is>
      </c>
      <c r="AA28" s="19" t="inlineStr">
        <is>
          <t>create extension if not exists vector;</t>
        </is>
      </c>
      <c r="AB28" s="19" t="inlineStr">
        <is>
          <t>alter table documents add column embedding vector(1536);</t>
        </is>
      </c>
      <c r="AC28" s="19" t="inlineStr">
        <is>
          <t>create index on documents using hnsw (embedding vector_cosine_ops);</t>
        </is>
      </c>
      <c r="AD28" s="19" t="inlineStr">
        <is>
          <t>&lt;-&gt;   // Euclidean distance
&lt;#&gt;   // negative inner product</t>
        </is>
      </c>
      <c r="AE28" s="18" t="inlineStr">
        <is>
          <t>embeddings, rpc, HNSW index, AI models</t>
        </is>
      </c>
      <c r="AF28" s="18" t="inlineStr">
        <is>
          <t>RPC, indexes, SQL functions</t>
        </is>
      </c>
      <c r="AG28" s="18" t="inlineStr">
        <is>
          <t>A dedicated vector database</t>
        </is>
      </c>
      <c r="AH28" s="17" t="n"/>
      <c r="AI28" s="18" t="inlineStr">
        <is>
          <t>Semantic search | Chat with your documents | Recommendations</t>
        </is>
      </c>
      <c r="AJ28" s="18" t="inlineStr">
        <is>
          <t>A: How do we search lesson notes by meaning? | B: Store embeddings with pgvector and order by distance to the query's embedding.</t>
        </is>
      </c>
      <c r="AK28" s="18" t="inlineStr">
        <is>
          <t>✗ pgvector creates embeddings from text by itself → ✓ pgvector only stores and compares vectors, and a separate model creates the embeddings</t>
        </is>
      </c>
      <c r="AL28" s="18" t="inlineStr">
        <is>
          <t>Embedding model vs pgvector: the model creates the vectors, pgvector stores and searches them.</t>
        </is>
      </c>
      <c r="AM28" s="18" t="inlineStr">
        <is>
          <t>Do not mix embeddings of different sizes in one column.</t>
        </is>
      </c>
      <c r="AN28" s="19" t="inlineStr">
        <is>
          <t>embedding vector order by &lt;=&gt; query limit 5;</t>
        </is>
      </c>
      <c r="AO28" s="19" t="inlineStr">
        <is>
          <t>select id, content from documents order by embedding &lt;=&gt; query_embedding limit 5;</t>
        </is>
      </c>
      <c r="AP28" s="18" t="inlineStr">
        <is>
          <t>Smaller distance means closer meaning.</t>
        </is>
      </c>
      <c r="AQ28" s="18" t="inlineStr">
        <is>
          <t>Searching lesson notes by meaning using stored embeddings.</t>
        </is>
      </c>
      <c r="AR28" s="18" t="inlineStr">
        <is>
          <t>An interviewer may ask: How would you add semantic search to Postgres?</t>
        </is>
      </c>
      <c r="AS28" s="18" t="inlineStr">
        <is>
          <t>It is like finding the dots nearest to your question on a map.</t>
        </is>
      </c>
      <c r="AT28" s="18" t="inlineStr">
        <is>
          <t>What does the number in vector(1536) set?</t>
        </is>
      </c>
      <c r="AU28" s="18" t="inlineStr">
        <is>
          <t>A) The password length B) The number of rows C) The table limit D) The embedding size</t>
        </is>
      </c>
      <c r="AV28" s="18" t="inlineStr">
        <is>
          <t>D</t>
        </is>
      </c>
      <c r="AW28" s="18" t="inlineStr">
        <is>
          <t>It is the number of values in each embedding.</t>
        </is>
      </c>
      <c r="AX28" s="19" t="inlineStr">
        <is>
          <t>create extension if not exists ____; → vector</t>
        </is>
      </c>
      <c r="AY28" s="18" t="inlineStr">
        <is>
          <t>Add a vector column of size 768 named embedding.</t>
        </is>
      </c>
      <c r="AZ28" s="19" t="inlineStr">
        <is>
          <t>alter table documents add column embedding vector(768);</t>
        </is>
      </c>
      <c r="BA28" s="18" t="inlineStr">
        <is>
          <t>Design a table that stores notes and their embeddings.</t>
        </is>
      </c>
      <c r="BB28" s="19" t="inlineStr">
        <is>
          <t>Which operator measures cosine distance?</t>
        </is>
      </c>
      <c r="BC28" s="19" t="inlineStr">
        <is>
          <t>&lt;=&gt;</t>
        </is>
      </c>
      <c r="BD28" s="17">
        <f>IF(K28="","",REPT("★",K28)&amp;REPT("☆",5-K28)&amp;" ("&amp;K28&amp;"/5)")</f>
        <v/>
      </c>
      <c r="BE28" s="17">
        <f>IF(S28="","","Meaning: "&amp;S28&amp;"  =  ______   (Answer: "&amp;F28&amp;")")</f>
        <v/>
      </c>
      <c r="BF28" s="17" t="inlineStr">
        <is>
          <t>New</t>
        </is>
      </c>
      <c r="BG28" s="17" t="n"/>
      <c r="BH28" s="17" t="n"/>
      <c r="BI28" s="17" t="n"/>
      <c r="BJ28" s="17" t="n"/>
      <c r="BK28" s="17" t="n"/>
      <c r="BL28" s="17" t="n"/>
      <c r="BM28" s="17" t="n"/>
      <c r="BN28" s="17" t="n"/>
    </row>
    <row r="29" ht="94.5" customHeight="1">
      <c r="A29" s="17" t="inlineStr">
        <is>
          <t>SUP-049</t>
        </is>
      </c>
      <c r="B29" s="17" t="inlineStr">
        <is>
          <t>08 Production and advanced</t>
        </is>
      </c>
      <c r="C29" s="17" t="inlineStr">
        <is>
          <t>Advanced</t>
        </is>
      </c>
      <c r="D29" s="17" t="n">
        <v>49</v>
      </c>
      <c r="E29" s="17" t="inlineStr">
        <is>
          <t>Claude knowledge</t>
        </is>
      </c>
      <c r="F29" s="18" t="inlineStr">
        <is>
          <t>Query performance with EXPLAIN</t>
        </is>
      </c>
      <c r="G29" s="18" t="inlineStr">
        <is>
          <t>Which Postgres command shows how a query will run and whether it scans the whole table or uses an index?</t>
        </is>
      </c>
      <c r="H29" s="17" t="n"/>
      <c r="I29" s="18" t="inlineStr">
        <is>
          <t>SQL command</t>
        </is>
      </c>
      <c r="J29" s="18" t="inlineStr">
        <is>
          <t>Medium</t>
        </is>
      </c>
      <c r="K29" s="18" t="n">
        <v>4</v>
      </c>
      <c r="L29" s="18" t="inlineStr">
        <is>
          <t>Slow queries are hard to fix by guessing, so Postgres can describe the plan it uses and the time each step takes.</t>
        </is>
      </c>
      <c r="M29" s="18" t="inlineStr">
        <is>
          <t>Look for Seq Scan on large tables, which often signals a missing index.</t>
        </is>
      </c>
      <c r="N29" s="17" t="n"/>
      <c r="O29" s="18" t="inlineStr">
        <is>
          <t>EXPLAIN is asking the driver to describe the route before and after the journey.</t>
        </is>
      </c>
      <c r="P29" s="18" t="inlineStr">
        <is>
          <t>A query plan tree with steps and timings.</t>
        </is>
      </c>
      <c r="Q29" s="18" t="inlineStr">
        <is>
          <t>The satisfaction of finding exactly why a query is slow.</t>
        </is>
      </c>
      <c r="R29" s="18" t="inlineStr">
        <is>
          <t>EXPLAIN shows a query's execution plan, and EXPLAIN ANALYZE also runs it and reports real timings.</t>
        </is>
      </c>
      <c r="S29" s="17" t="n"/>
      <c r="T29" s="19" t="inlineStr">
        <is>
          <t>explain analyze select * from todos where user_id = '2f1c9b8e-0000-4000-8000-000000000000';</t>
        </is>
      </c>
      <c r="U29" s="19" t="inlineStr">
        <is>
          <t>A plan such as Seq Scan on todos with a long execution time, or Index Scan using todos_user_id_idx once an index exists.</t>
        </is>
      </c>
      <c r="V29" s="18" t="inlineStr">
        <is>
          <t>A Seq Scan reads every row, and an Index Scan jumps to matching rows. ANALYZE executes the query for real, so be careful with statements that change data. In Supabase you can run it in the SQL Editor. After adding an index, run it again to confirm the plan changed and the time dropped.</t>
        </is>
      </c>
      <c r="W29" s="18" t="inlineStr">
        <is>
          <t>Put explain analyze before your query to see how it runs. If you see a sequential scan on a big table, an index may help.</t>
        </is>
      </c>
      <c r="X29" s="18" t="inlineStr">
        <is>
          <t>It is like asking the driver to describe the route before and after the journey.</t>
        </is>
      </c>
      <c r="Y29" s="19" t="inlineStr">
        <is>
          <t>explain analyze &lt;query&gt;;</t>
        </is>
      </c>
      <c r="Z29" s="18" t="inlineStr">
        <is>
          <t>explain = show the plan | analyze = also run it and time it</t>
        </is>
      </c>
      <c r="AA29" s="19" t="inlineStr">
        <is>
          <t>explain select * from todos where done = false;</t>
        </is>
      </c>
      <c r="AB29" s="19" t="inlineStr">
        <is>
          <t>explain analyze select * from todos where user_id = 'some-id';</t>
        </is>
      </c>
      <c r="AC29" s="19" t="inlineStr">
        <is>
          <t>create index todos_done_idx on todos (done);</t>
        </is>
      </c>
      <c r="AD29" s="19" t="inlineStr">
        <is>
          <t>explain (analyze, buffers) ...   // more detail
Seq Scan vs Index Scan   // the first thing to look for</t>
        </is>
      </c>
      <c r="AE29" s="18" t="inlineStr">
        <is>
          <t>indexes, SQL Editor, RLS policies</t>
        </is>
      </c>
      <c r="AF29" s="18" t="inlineStr">
        <is>
          <t>indexes, Row Level Security, performance</t>
        </is>
      </c>
      <c r="AG29" s="18" t="inlineStr">
        <is>
          <t>The query performance tools in the dashboard</t>
        </is>
      </c>
      <c r="AH29" s="17" t="n"/>
      <c r="AI29" s="18" t="inlineStr">
        <is>
          <t>Slow queries | Index tuning | Policy performance</t>
        </is>
      </c>
      <c r="AJ29" s="18" t="inlineStr">
        <is>
          <t>A: This list takes seconds to load. | B: Run explain analyze, and if it shows a sequential scan, add an index.</t>
        </is>
      </c>
      <c r="AK29" s="18" t="inlineStr">
        <is>
          <t>✗ EXPLAIN ANALYZE only describes the query without running it → ✓ EXPLAIN ANALYZE actually runs the query, so avoid it on statements that change data</t>
        </is>
      </c>
      <c r="AL29" s="18" t="inlineStr">
        <is>
          <t>EXPLAIN vs EXPLAIN ANALYZE: explain shows the estimated plan, analyze runs it and shows real timings.</t>
        </is>
      </c>
      <c r="AM29" s="18" t="inlineStr">
        <is>
          <t>Do not use explain analyze on an unsafe delete.</t>
        </is>
      </c>
      <c r="AN29" s="19" t="inlineStr">
        <is>
          <t>explain todos where user_id = 'some-id';</t>
        </is>
      </c>
      <c r="AO29" s="19" t="inlineStr">
        <is>
          <t>explain analyze select * from todos where user_id = 'some-id';</t>
        </is>
      </c>
      <c r="AP29" s="18" t="inlineStr">
        <is>
          <t>Look for Seq Scan on big tables.</t>
        </is>
      </c>
      <c r="AQ29" s="18" t="inlineStr">
        <is>
          <t>Finding a missing index by reading the plan of a slow policy-filtered query.</t>
        </is>
      </c>
      <c r="AR29" s="18" t="inlineStr">
        <is>
          <t>An interviewer may ask: How do you investigate a slow query?</t>
        </is>
      </c>
      <c r="AS29" s="18" t="inlineStr">
        <is>
          <t>It is like asking the driver to describe the route.</t>
        </is>
      </c>
      <c r="AT29" s="18" t="inlineStr">
        <is>
          <t>What does a Seq Scan on a large table often suggest?</t>
        </is>
      </c>
      <c r="AU29" s="18" t="inlineStr">
        <is>
          <t>A) A faster query B) Too many columns C) A wrong password D) A missing index</t>
        </is>
      </c>
      <c r="AV29" s="18" t="inlineStr">
        <is>
          <t>D</t>
        </is>
      </c>
      <c r="AW29" s="18" t="inlineStr">
        <is>
          <t>A sequential scan reads every row, so an index may help.</t>
        </is>
      </c>
      <c r="AX29" s="19" t="inlineStr">
        <is>
          <t>explain ____ runs the query and reports timings → analyze</t>
        </is>
      </c>
      <c r="AY29" s="18" t="inlineStr">
        <is>
          <t>Show the execution plan and timings for selecting all rows from todos.</t>
        </is>
      </c>
      <c r="AZ29" s="19" t="inlineStr">
        <is>
          <t>explain analyze select * from todos;</t>
        </is>
      </c>
      <c r="BA29" s="18" t="inlineStr">
        <is>
          <t>Run explain analyze on one of your queries and write what the plan shows.</t>
        </is>
      </c>
      <c r="BB29" s="19" t="inlineStr">
        <is>
          <t>Which scan type suggests an index is being used?</t>
        </is>
      </c>
      <c r="BC29" s="19" t="inlineStr">
        <is>
          <t>Index Scan</t>
        </is>
      </c>
      <c r="BD29" s="17">
        <f>IF(K29="","",REPT("★",K29)&amp;REPT("☆",5-K29)&amp;" ("&amp;K29&amp;"/5)")</f>
        <v/>
      </c>
      <c r="BE29" s="17">
        <f>IF(S29="","","Meaning: "&amp;S29&amp;"  =  ______   (Answer: "&amp;F29&amp;")")</f>
        <v/>
      </c>
      <c r="BF29" s="17" t="inlineStr">
        <is>
          <t>New</t>
        </is>
      </c>
      <c r="BG29" s="17" t="n"/>
      <c r="BH29" s="17" t="n"/>
      <c r="BI29" s="17" t="n"/>
      <c r="BJ29" s="17" t="n"/>
      <c r="BK29" s="17" t="n"/>
      <c r="BL29" s="17" t="n"/>
      <c r="BM29" s="17" t="n"/>
      <c r="BN29" s="17" t="n"/>
    </row>
    <row r="30" ht="189" customHeight="1">
      <c r="A30" s="17" t="inlineStr">
        <is>
          <t>SUP-051</t>
        </is>
      </c>
      <c r="B30" s="17" t="inlineStr">
        <is>
          <t>09 Prisma with Supabase</t>
        </is>
      </c>
      <c r="C30" s="17" t="inlineStr">
        <is>
          <t>Advanced</t>
        </is>
      </c>
      <c r="D30" s="17" t="n">
        <v>51</v>
      </c>
      <c r="E30" s="17" t="inlineStr">
        <is>
          <t>Claude knowledge</t>
        </is>
      </c>
      <c r="F30" s="18" t="inlineStr">
        <is>
          <t>Prisma connection strings for Supabase</t>
        </is>
      </c>
      <c r="G30" s="18" t="inlineStr">
        <is>
          <t>Which two connection strings does Prisma need for Supabase, one for runtime queries and one for migrations?</t>
        </is>
      </c>
      <c r="H30" s="17" t="n"/>
      <c r="I30" s="18" t="inlineStr">
        <is>
          <t>Configuration</t>
        </is>
      </c>
      <c r="J30" s="18" t="inlineStr">
        <is>
          <t>High</t>
        </is>
      </c>
      <c r="K30" s="18" t="n">
        <v>5</v>
      </c>
      <c r="L30" s="18" t="inlineStr">
        <is>
          <t>Prisma needs a pooled connection for serverless runtime queries but a direct or session one for migrations, so it supports two URLs in its datasource.</t>
        </is>
      </c>
      <c r="M30" s="18" t="inlineStr">
        <is>
          <t>Put DATABASE_URL in the .env file that Prisma reads, and copy both strings from the dashboard's connect panel.</t>
        </is>
      </c>
      <c r="N30" s="17" t="n"/>
      <c r="O30" s="18" t="inlineStr">
        <is>
          <t>One string is the busy front door for queries, and the other is the staff entrance for migrations.</t>
        </is>
      </c>
      <c r="P30" s="18" t="inlineStr">
        <is>
          <t>Two lines in an env file feeding two fields in the Prisma datasource.</t>
        </is>
      </c>
      <c r="Q30" s="18" t="inlineStr">
        <is>
          <t>The relief of migrations that finally run without errors.</t>
        </is>
      </c>
      <c r="R30" s="18" t="inlineStr">
        <is>
          <t>DATABASE_URL points at the transaction pooler for queries, and DIRECT_URL points at a direct or session connection for migrations.</t>
        </is>
      </c>
      <c r="S30" s="17" t="n"/>
      <c r="T30" s="19" t="inlineStr">
        <is>
          <t># .env
DATABASE_URL="postgresql://postgres.PROJECTREF:PASSWORD@aws-0-region.pooler.supabase.com:6543/postgres?pgbouncer=true&amp;connection_limit=1"
DIRECT_URL="postgresql://postgres.PROJECTREF:PASSWORD@aws-0-region.pooler.supabase.com:5432/postgres"
// schema.prisma
datasource db {
  provider  = "postgresql"
  url       = env("DATABASE_URL")
  directUrl = env("DIRECT_URL")
}</t>
        </is>
      </c>
      <c r="U30" s="19" t="inlineStr">
        <is>
          <t>Prisma uses the pooled URL for queries and the direct URL when running migrations.</t>
        </is>
      </c>
      <c r="V30" s="18" t="inlineStr">
        <is>
          <t>The pooled URL goes through the transaction pooler on port 6543, with pgbouncer=true so Prisma avoids prepared statements, and connection_limit=1 to prevent too many connections in serverless functions. The direct URL is used by Prisma Migrate. Prisma reads .env, not .env.local. Copy exact strings from your dashboard, because hosts and formats can differ and the direct host may not resolve on IPv4 networks.</t>
        </is>
      </c>
      <c r="W30" s="18" t="inlineStr">
        <is>
          <t>Use the pooler string for everyday queries and the other string for migrations. Both go in the env file Prisma reads, and the schema file points at them.</t>
        </is>
      </c>
      <c r="X30" s="18" t="inlineStr">
        <is>
          <t>One string is the busy front door for queries, and the other is the staff entrance for migrations.</t>
        </is>
      </c>
      <c r="Y30" s="19" t="inlineStr">
        <is>
          <t>datasource db { url = env("DATABASE_URL") directUrl = env("DIRECT_URL") }</t>
        </is>
      </c>
      <c r="Z30" s="18" t="inlineStr">
        <is>
          <t>DATABASE_URL = pooled, for queries | DIRECT_URL = for migrations | pgbouncer=true = no prepared statements | connection_limit=1 = one connection per instance</t>
        </is>
      </c>
      <c r="AA30" s="19" t="inlineStr">
        <is>
          <t>DATABASE_URL with port 6543 and pgbouncer=true</t>
        </is>
      </c>
      <c r="AB30" s="19" t="inlineStr">
        <is>
          <t>DIRECT_URL with port 5432</t>
        </is>
      </c>
      <c r="AC30" s="19" t="inlineStr">
        <is>
          <t>A missing DATABASE_URL error caused by putting it in .env.local</t>
        </is>
      </c>
      <c r="AD30" s="19" t="inlineStr">
        <is>
          <t>?pgbouncer=true&amp;connection_limit=1   // the usual pooled options</t>
        </is>
      </c>
      <c r="AE30" s="18" t="inlineStr">
        <is>
          <t>Prisma Migrate, transaction pooler, env files</t>
        </is>
      </c>
      <c r="AF30" s="18" t="inlineStr">
        <is>
          <t>connection pooling, Prisma and RLS, environment variables</t>
        </is>
      </c>
      <c r="AG30" s="18" t="inlineStr">
        <is>
          <t>supabase-js for data access instead of an ORM</t>
        </is>
      </c>
      <c r="AH30" s="17" t="n"/>
      <c r="AI30" s="18" t="inlineStr">
        <is>
          <t>Next.js and Prisma projects | Serverless hosting | Migrations</t>
        </is>
      </c>
      <c r="AJ30" s="18" t="inlineStr">
        <is>
          <t>A: Prisma cannot find DATABASE_URL. | B: Prisma reads the .env file, not .env.local, so move it there.</t>
        </is>
      </c>
      <c r="AK30" s="18" t="inlineStr">
        <is>
          <t>✗ Prisma CLI reads environment variables from .env.local → ✓ The Prisma CLI reads .env, so DATABASE_URL must be in that file</t>
        </is>
      </c>
      <c r="AL30" s="18" t="inlineStr">
        <is>
          <t>DATABASE_URL vs DIRECT_URL: the first is pooled for queries, the second is direct for migrations.</t>
        </is>
      </c>
      <c r="AM30" s="18" t="inlineStr">
        <is>
          <t>Do not run migrations through the pooled transaction URL.</t>
        </is>
      </c>
      <c r="AN30" s="19" t="inlineStr">
        <is>
          <t>DATABASE_URL="postgresql://postgres:PASSWORD@db.PROJECTREF.supabase.co:5432/postgres"  # used for serverless queries</t>
        </is>
      </c>
      <c r="AO30" s="19" t="inlineStr">
        <is>
          <t>DATABASE_URL="postgresql://postgres.PROJECTREF:PASSWORD@aws-0-region.pooler.supabase.com:6543/postgres?pgbouncer=true&amp;connection_limit=1"</t>
        </is>
      </c>
      <c r="AP30" s="18" t="inlineStr">
        <is>
          <t>Pooled for queries, direct for migrations.</t>
        </is>
      </c>
      <c r="AQ30" s="18" t="inlineStr">
        <is>
          <t>Setting both URLs so Prisma Migrate and serverless queries both work.</t>
        </is>
      </c>
      <c r="AR30" s="18" t="inlineStr">
        <is>
          <t>An interviewer may ask: Why does Prisma need two URLs with Supabase?</t>
        </is>
      </c>
      <c r="AS30" s="18" t="inlineStr">
        <is>
          <t>It is like a front door for visitors and a staff entrance for workers.</t>
        </is>
      </c>
      <c r="AT30" s="18" t="inlineStr">
        <is>
          <t>Which string should Prisma Migrate use?</t>
        </is>
      </c>
      <c r="AU30" s="18" t="inlineStr">
        <is>
          <t>A) The anon key B) DIRECT_URL C) The project URL D) DATABASE_URL pooled</t>
        </is>
      </c>
      <c r="AV30" s="18" t="inlineStr">
        <is>
          <t>B</t>
        </is>
      </c>
      <c r="AW30" s="18" t="inlineStr">
        <is>
          <t>Migrations need a direct or session connection, not the transaction pooler.</t>
        </is>
      </c>
      <c r="AX30" s="19" t="inlineStr">
        <is>
          <t>The pooled string usually adds pgbouncer=true and connection_limit=____ → 1</t>
        </is>
      </c>
      <c r="AY30" s="18" t="inlineStr">
        <is>
          <t>Point the Prisma datasource at the two environment variables.</t>
        </is>
      </c>
      <c r="AZ30" s="19" t="inlineStr">
        <is>
          <t>datasource db { provider = "postgresql" url = env("DATABASE_URL") directUrl = env("DIRECT_URL") }</t>
        </is>
      </c>
      <c r="BA30" s="18" t="inlineStr">
        <is>
          <t>Write the two env lines with placeholders for your project.</t>
        </is>
      </c>
      <c r="BB30" s="19" t="inlineStr">
        <is>
          <t>Which file does Prisma read for environment variables?</t>
        </is>
      </c>
      <c r="BC30" s="19" t="inlineStr">
        <is>
          <t>.env</t>
        </is>
      </c>
      <c r="BD30" s="17">
        <f>IF(K30="","",REPT("★",K30)&amp;REPT("☆",5-K30)&amp;" ("&amp;K30&amp;"/5)")</f>
        <v/>
      </c>
      <c r="BE30" s="17">
        <f>IF(S30="","","Meaning: "&amp;S30&amp;"  =  ______   (Answer: "&amp;F30&amp;")")</f>
        <v/>
      </c>
      <c r="BF30" s="17" t="inlineStr">
        <is>
          <t>New</t>
        </is>
      </c>
      <c r="BG30" s="17" t="n"/>
      <c r="BH30" s="17" t="n"/>
      <c r="BI30" s="17" t="n"/>
      <c r="BJ30" s="17" t="n"/>
      <c r="BK30" s="17" t="n"/>
      <c r="BL30" s="17" t="n"/>
      <c r="BM30" s="17" t="n"/>
      <c r="BN30" s="17" t="n"/>
    </row>
  </sheetData>
  <autoFilter ref="A2:BN30"/>
  <mergeCells count="6">
    <mergeCell ref="AT1:BC1"/>
    <mergeCell ref="BD1:BE1"/>
    <mergeCell ref="F1:Q1"/>
    <mergeCell ref="A1:E1"/>
    <mergeCell ref="BF1:BN1"/>
    <mergeCell ref="R1:AS1"/>
  </mergeCells>
  <dataValidations count="2">
    <dataValidation sqref="BF3:BF30" showDropDown="0" showInputMessage="0" showErrorMessage="0" allowBlank="1" type="list">
      <formula1>"New,Learning,Known"</formula1>
    </dataValidation>
    <dataValidation sqref="BM3:BM30"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SUP-006</t>
        </is>
      </c>
    </row>
    <row r="4">
      <c r="A4" s="23" t="inlineStr">
        <is>
          <t>FRONT · Recognition (pehchano)</t>
        </is>
      </c>
    </row>
    <row r="5" ht="30" customHeight="1">
      <c r="A5" s="24" t="inlineStr">
        <is>
          <t>ID</t>
        </is>
      </c>
      <c r="B5" s="17">
        <f>INDEX('Code concept (56-pt) cards'!$A$3:$BN$30,MATCH($B$2,'Code concept (56-pt) cards'!$A$3:$A$30,0),MATCH("ID",'Code concept (56-pt) cards'!$A$2:$BN$2,0))&amp;""</f>
        <v/>
      </c>
    </row>
    <row r="6" ht="30" customHeight="1">
      <c r="A6" s="24" t="inlineStr">
        <is>
          <t>Topic</t>
        </is>
      </c>
      <c r="B6" s="17">
        <f>INDEX('Code concept (56-pt) cards'!$A$3:$BN$30,MATCH($B$2,'Code concept (56-pt) cards'!$A$3:$A$30,0),MATCH("Topic",'Code concept (56-pt) cards'!$A$2:$BN$2,0))&amp;""</f>
        <v/>
      </c>
    </row>
    <row r="7" ht="30" customHeight="1">
      <c r="A7" s="24" t="inlineStr">
        <is>
          <t>Level</t>
        </is>
      </c>
      <c r="B7" s="17">
        <f>INDEX('Code concept (56-pt) cards'!$A$3:$BN$30,MATCH($B$2,'Code concept (56-pt) cards'!$A$3:$A$30,0),MATCH("Level",'Code concept (56-pt) cards'!$A$2:$BN$2,0))&amp;""</f>
        <v/>
      </c>
    </row>
    <row r="8" ht="30" customHeight="1">
      <c r="A8" s="24" t="inlineStr">
        <is>
          <t>Concept</t>
        </is>
      </c>
      <c r="B8" s="17">
        <f>INDEX('Code concept (56-pt) cards'!$A$3:$BN$30,MATCH($B$2,'Code concept (56-pt) cards'!$A$3:$A$30,0),MATCH("Concept",'Code concept (56-pt) cards'!$A$2:$BN$2,0))&amp;""</f>
        <v/>
      </c>
    </row>
    <row r="9" ht="30" customHeight="1">
      <c r="A9" s="24" t="inlineStr">
        <is>
          <t>Recall cue</t>
        </is>
      </c>
      <c r="B9" s="17">
        <f>INDEX('Code concept (56-pt) cards'!$A$3:$BN$30,MATCH($B$2,'Code concept (56-pt) cards'!$A$3:$A$30,0),MATCH("Recall cue",'Code concept (56-pt) cards'!$A$2:$BN$2,0))&amp;""</f>
        <v/>
      </c>
    </row>
    <row r="10" ht="30" customHeight="1">
      <c r="A10" s="24" t="inlineStr">
        <is>
          <t>Read aloud</t>
        </is>
      </c>
      <c r="B10" s="17">
        <f>INDEX('Code concept (56-pt) cards'!$A$3:$BN$30,MATCH($B$2,'Code concept (56-pt) cards'!$A$3:$A$30,0),MATCH("Read aloud",'Code concept (56-pt) cards'!$A$2:$BN$2,0))&amp;""</f>
        <v/>
      </c>
    </row>
    <row r="11" ht="30" customHeight="1">
      <c r="A11" s="24" t="inlineStr">
        <is>
          <t>Type</t>
        </is>
      </c>
      <c r="B11" s="17">
        <f>INDEX('Code concept (56-pt) cards'!$A$3:$BN$30,MATCH($B$2,'Code concept (56-pt) cards'!$A$3:$A$30,0),MATCH("Type",'Code concept (56-pt) cards'!$A$2:$BN$2,0))&amp;""</f>
        <v/>
      </c>
    </row>
    <row r="12" ht="30" customHeight="1">
      <c r="A12" s="24" t="inlineStr">
        <is>
          <t>How often used</t>
        </is>
      </c>
      <c r="B12" s="17">
        <f>INDEX('Code concept (56-pt) cards'!$A$3:$BN$30,MATCH($B$2,'Code concept (56-pt) cards'!$A$3:$A$30,0),MATCH("How often used",'Code concept (56-pt) cards'!$A$2:$BN$2,0))&amp;""</f>
        <v/>
      </c>
    </row>
    <row r="13" ht="30" customHeight="1">
      <c r="A13" s="24" t="inlineStr">
        <is>
          <t>Importance (1-5)</t>
        </is>
      </c>
      <c r="B13" s="17">
        <f>INDEX('Code concept (56-pt) cards'!$A$3:$BN$30,MATCH($B$2,'Code concept (56-pt) cards'!$A$3:$A$30,0),MATCH("Importance (1-5)",'Code concept (56-pt) cards'!$A$2:$BN$2,0))&amp;""</f>
        <v/>
      </c>
    </row>
    <row r="14" ht="30" customHeight="1">
      <c r="A14" s="24" t="inlineStr">
        <is>
          <t>Origin / why it exists</t>
        </is>
      </c>
      <c r="B14" s="17">
        <f>INDEX('Code concept (56-pt) cards'!$A$3:$BN$30,MATCH($B$2,'Code concept (56-pt) cards'!$A$3:$A$30,0),MATCH("Origin / why it exists",'Code concept (56-pt) cards'!$A$2:$BN$2,0))&amp;""</f>
        <v/>
      </c>
    </row>
    <row r="15" ht="30" customHeight="1">
      <c r="A15" s="24" t="inlineStr">
        <is>
          <t>Pro tip</t>
        </is>
      </c>
      <c r="B15" s="17">
        <f>INDEX('Code concept (56-pt) cards'!$A$3:$BN$30,MATCH($B$2,'Code concept (56-pt) cards'!$A$3:$A$30,0),MATCH("Pro tip",'Code concept (56-pt) cards'!$A$2:$BN$2,0))&amp;""</f>
        <v/>
      </c>
    </row>
    <row r="16" ht="30" customHeight="1">
      <c r="A16" s="24" t="inlineStr">
        <is>
          <t>Typing hint</t>
        </is>
      </c>
      <c r="B16" s="17">
        <f>INDEX('Code concept (56-pt) cards'!$A$3:$BN$30,MATCH($B$2,'Code concept (56-pt) cards'!$A$3:$A$30,0),MATCH("Typing hint",'Code concept (56-pt) cards'!$A$2:$BN$2,0))&amp;""</f>
        <v/>
      </c>
    </row>
    <row r="17" ht="30" customHeight="1">
      <c r="A17" s="24" t="inlineStr">
        <is>
          <t>Memory story</t>
        </is>
      </c>
      <c r="B17" s="17">
        <f>INDEX('Code concept (56-pt) cards'!$A$3:$BN$30,MATCH($B$2,'Code concept (56-pt) cards'!$A$3:$A$30,0),MATCH("Memory story",'Code concept (56-pt) cards'!$A$2:$BN$2,0))&amp;""</f>
        <v/>
      </c>
    </row>
    <row r="18" ht="30" customHeight="1">
      <c r="A18" s="24" t="inlineStr">
        <is>
          <t>Picture it</t>
        </is>
      </c>
      <c r="B18" s="17">
        <f>INDEX('Code concept (56-pt) cards'!$A$3:$BN$30,MATCH($B$2,'Code concept (56-pt) cards'!$A$3:$A$30,0),MATCH("Picture it",'Code concept (56-pt) cards'!$A$2:$BN$2,0))&amp;""</f>
        <v/>
      </c>
    </row>
    <row r="19" ht="30" customHeight="1">
      <c r="A19" s="24" t="inlineStr">
        <is>
          <t>Emotion hook</t>
        </is>
      </c>
      <c r="B19" s="17">
        <f>INDEX('Code concept (56-pt) cards'!$A$3:$BN$30,MATCH($B$2,'Code concept (56-pt) cards'!$A$3:$A$30,0),MATCH("Emotion hook",'Code concept (56-pt) cards'!$A$2:$BN$2,0))&amp;""</f>
        <v/>
      </c>
    </row>
    <row r="20" ht="30" customHeight="1">
      <c r="A20" s="24" t="inlineStr">
        <is>
          <t>Importance ★</t>
        </is>
      </c>
      <c r="B20" s="17">
        <f>INDEX('Code concept (56-pt) cards'!$A$3:$BN$30,MATCH($B$2,'Code concept (56-pt) cards'!$A$3:$A$30,0),MATCH("Importance ★",'Code concept (56-pt) cards'!$A$2:$BN$2,0))&amp;""</f>
        <v/>
      </c>
    </row>
    <row r="21">
      <c r="A21" s="25" t="inlineStr">
        <is>
          <t>BACK · Understanding (samjho)</t>
        </is>
      </c>
    </row>
    <row r="22" ht="30" customHeight="1">
      <c r="A22" s="24" t="inlineStr">
        <is>
          <t>Meaning (short)</t>
        </is>
      </c>
      <c r="B22" s="17">
        <f>INDEX('Code concept (56-pt) cards'!$A$3:$BN$30,MATCH($B$2,'Code concept (56-pt) cards'!$A$3:$A$30,0),MATCH("Meaning (short)",'Code concept (56-pt) cards'!$A$2:$BN$2,0))&amp;""</f>
        <v/>
      </c>
    </row>
    <row r="23" ht="30" customHeight="1">
      <c r="A23" s="24" t="inlineStr">
        <is>
          <t>Meaning in learner's language</t>
        </is>
      </c>
      <c r="B23" s="17">
        <f>INDEX('Code concept (56-pt) cards'!$A$3:$BN$30,MATCH($B$2,'Code concept (56-pt) cards'!$A$3:$A$30,0),MATCH("Meaning in learner's language",'Code concept (56-pt) cards'!$A$2:$BN$2,0))&amp;""</f>
        <v/>
      </c>
    </row>
    <row r="24" ht="135" customHeight="1">
      <c r="A24" s="24" t="inlineStr">
        <is>
          <t>Code</t>
        </is>
      </c>
      <c r="B24" s="26">
        <f>INDEX('Code concept (56-pt) cards'!$A$3:$BN$30,MATCH($B$2,'Code concept (56-pt) cards'!$A$3:$A$30,0),MATCH("Code",'Code concept (56-pt) cards'!$A$2:$BN$2,0))&amp;""</f>
        <v/>
      </c>
    </row>
    <row r="25" ht="30" customHeight="1">
      <c r="A25" s="24" t="inlineStr">
        <is>
          <t>Output</t>
        </is>
      </c>
      <c r="B25" s="26">
        <f>INDEX('Code concept (56-pt) cards'!$A$3:$BN$30,MATCH($B$2,'Code concept (56-pt) cards'!$A$3:$A$30,0),MATCH("Output",'Code concept (56-pt) cards'!$A$2:$BN$2,0))&amp;""</f>
        <v/>
      </c>
    </row>
    <row r="26" ht="54" customHeight="1">
      <c r="A26" s="24" t="inlineStr">
        <is>
          <t>Explanation</t>
        </is>
      </c>
      <c r="B26" s="17">
        <f>INDEX('Code concept (56-pt) cards'!$A$3:$BN$30,MATCH($B$2,'Code concept (56-pt) cards'!$A$3:$A$30,0),MATCH("Explanation",'Code concept (56-pt) cards'!$A$2:$BN$2,0))&amp;""</f>
        <v/>
      </c>
    </row>
    <row r="27" ht="30" customHeight="1">
      <c r="A27" s="24" t="inlineStr">
        <is>
          <t>Simple explanation (Hinglish)</t>
        </is>
      </c>
      <c r="B27" s="17">
        <f>INDEX('Code concept (56-pt) cards'!$A$3:$BN$30,MATCH($B$2,'Code concept (56-pt) cards'!$A$3:$A$30,0),MATCH("Simple explanation (Hinglish)",'Code concept (56-pt) cards'!$A$2:$BN$2,0))&amp;""</f>
        <v/>
      </c>
    </row>
    <row r="28" ht="30" customHeight="1">
      <c r="A28" s="24" t="inlineStr">
        <is>
          <t>Real-life analogy</t>
        </is>
      </c>
      <c r="B28" s="17">
        <f>INDEX('Code concept (56-pt) cards'!$A$3:$BN$30,MATCH($B$2,'Code concept (56-pt) cards'!$A$3:$A$30,0),MATCH("Real-life analogy",'Code concept (56-pt) cards'!$A$2:$BN$2,0))&amp;""</f>
        <v/>
      </c>
    </row>
    <row r="29" ht="30" customHeight="1">
      <c r="A29" s="24" t="inlineStr">
        <is>
          <t>Syntax pattern</t>
        </is>
      </c>
      <c r="B29" s="26">
        <f>INDEX('Code concept (56-pt) cards'!$A$3:$BN$30,MATCH($B$2,'Code concept (56-pt) cards'!$A$3:$A$30,0),MATCH("Syntax pattern",'Code concept (56-pt) cards'!$A$2:$BN$2,0))&amp;""</f>
        <v/>
      </c>
    </row>
    <row r="30" ht="30" customHeight="1">
      <c r="A30" s="24" t="inlineStr">
        <is>
          <t>Anatomy</t>
        </is>
      </c>
      <c r="B30" s="17">
        <f>INDEX('Code concept (56-pt) cards'!$A$3:$BN$30,MATCH($B$2,'Code concept (56-pt) cards'!$A$3:$A$30,0),MATCH("Anatomy",'Code concept (56-pt) cards'!$A$2:$BN$2,0))&amp;""</f>
        <v/>
      </c>
    </row>
    <row r="31" ht="30" customHeight="1">
      <c r="A31" s="24" t="inlineStr">
        <is>
          <t>Example 1</t>
        </is>
      </c>
      <c r="B31" s="26">
        <f>INDEX('Code concept (56-pt) cards'!$A$3:$BN$30,MATCH($B$2,'Code concept (56-pt) cards'!$A$3:$A$30,0),MATCH("Example 1",'Code concept (56-pt) cards'!$A$2:$BN$2,0))&amp;""</f>
        <v/>
      </c>
    </row>
    <row r="32" ht="30" customHeight="1">
      <c r="A32" s="24" t="inlineStr">
        <is>
          <t>Example 2</t>
        </is>
      </c>
      <c r="B32" s="26">
        <f>INDEX('Code concept (56-pt) cards'!$A$3:$BN$30,MATCH($B$2,'Code concept (56-pt) cards'!$A$3:$A$30,0),MATCH("Example 2",'Code concept (56-pt) cards'!$A$2:$BN$2,0))&amp;""</f>
        <v/>
      </c>
    </row>
    <row r="33" ht="30" customHeight="1">
      <c r="A33" s="24" t="inlineStr">
        <is>
          <t>Example 3</t>
        </is>
      </c>
      <c r="B33" s="26">
        <f>INDEX('Code concept (56-pt) cards'!$A$3:$BN$30,MATCH($B$2,'Code concept (56-pt) cards'!$A$3:$A$30,0),MATCH("Example 3",'Code concept (56-pt) cards'!$A$2:$BN$2,0))&amp;""</f>
        <v/>
      </c>
    </row>
    <row r="34" ht="30" customHeight="1">
      <c r="A34" s="24" t="inlineStr">
        <is>
          <t>Variation</t>
        </is>
      </c>
      <c r="B34" s="26">
        <f>INDEX('Code concept (56-pt) cards'!$A$3:$BN$30,MATCH($B$2,'Code concept (56-pt) cards'!$A$3:$A$30,0),MATCH("Variation",'Code concept (56-pt) cards'!$A$2:$BN$2,0))&amp;""</f>
        <v/>
      </c>
    </row>
    <row r="35" ht="30" customHeight="1">
      <c r="A35" s="24" t="inlineStr">
        <is>
          <t>Used with</t>
        </is>
      </c>
      <c r="B35" s="17">
        <f>INDEX('Code concept (56-pt) cards'!$A$3:$BN$30,MATCH($B$2,'Code concept (56-pt) cards'!$A$3:$A$30,0),MATCH("Used with",'Code concept (56-pt) cards'!$A$2:$BN$2,0))&amp;""</f>
        <v/>
      </c>
    </row>
    <row r="36" ht="30" customHeight="1">
      <c r="A36" s="24" t="inlineStr">
        <is>
          <t>Related concepts</t>
        </is>
      </c>
      <c r="B36" s="17">
        <f>INDEX('Code concept (56-pt) cards'!$A$3:$BN$30,MATCH($B$2,'Code concept (56-pt) cards'!$A$3:$A$30,0),MATCH("Related concepts",'Code concept (56-pt) cards'!$A$2:$BN$2,0))&amp;""</f>
        <v/>
      </c>
    </row>
    <row r="37" ht="30" customHeight="1">
      <c r="A37" s="24" t="inlineStr">
        <is>
          <t>Alternatives</t>
        </is>
      </c>
      <c r="B37" s="17">
        <f>INDEX('Code concept (56-pt) cards'!$A$3:$BN$30,MATCH($B$2,'Code concept (56-pt) cards'!$A$3:$A$30,0),MATCH("Alternatives",'Code concept (56-pt) cards'!$A$2:$BN$2,0))&amp;""</f>
        <v/>
      </c>
    </row>
    <row r="38" ht="30" customHeight="1">
      <c r="A38" s="24" t="inlineStr">
        <is>
          <t>Family / group</t>
        </is>
      </c>
      <c r="B38" s="17">
        <f>INDEX('Code concept (56-pt) cards'!$A$3:$BN$30,MATCH($B$2,'Code concept (56-pt) cards'!$A$3:$A$30,0),MATCH("Family / group",'Code concept (56-pt) cards'!$A$2:$BN$2,0))&amp;""</f>
        <v/>
      </c>
    </row>
    <row r="39" ht="30" customHeight="1">
      <c r="A39" s="24" t="inlineStr">
        <is>
          <t>Where it is used</t>
        </is>
      </c>
      <c r="B39" s="17">
        <f>INDEX('Code concept (56-pt) cards'!$A$3:$BN$30,MATCH($B$2,'Code concept (56-pt) cards'!$A$3:$A$30,0),MATCH("Where it is used",'Code concept (56-pt) cards'!$A$2:$BN$2,0))&amp;""</f>
        <v/>
      </c>
    </row>
    <row r="40" ht="30" customHeight="1">
      <c r="A40" s="24" t="inlineStr">
        <is>
          <t>Mini conversation</t>
        </is>
      </c>
      <c r="B40" s="17">
        <f>INDEX('Code concept (56-pt) cards'!$A$3:$BN$30,MATCH($B$2,'Code concept (56-pt) cards'!$A$3:$A$30,0),MATCH("Mini conversation",'Code concept (56-pt) cards'!$A$2:$BN$2,0))&amp;""</f>
        <v/>
      </c>
    </row>
    <row r="41" ht="30" customHeight="1">
      <c r="A41" s="24" t="inlineStr">
        <is>
          <t>Common mistake</t>
        </is>
      </c>
      <c r="B41" s="17">
        <f>INDEX('Code concept (56-pt) cards'!$A$3:$BN$30,MATCH($B$2,'Code concept (56-pt) cards'!$A$3:$A$30,0),MATCH("Common mistake",'Code concept (56-pt) cards'!$A$2:$BN$2,0))&amp;""</f>
        <v/>
      </c>
    </row>
    <row r="42" ht="30" customHeight="1">
      <c r="A42" s="24" t="inlineStr">
        <is>
          <t>Commonly confused with</t>
        </is>
      </c>
      <c r="B42" s="17">
        <f>INDEX('Code concept (56-pt) cards'!$A$3:$BN$30,MATCH($B$2,'Code concept (56-pt) cards'!$A$3:$A$30,0),MATCH("Commonly confused with",'Code concept (56-pt) cards'!$A$2:$BN$2,0))&amp;""</f>
        <v/>
      </c>
    </row>
    <row r="43" ht="30" customHeight="1">
      <c r="A43" s="24" t="inlineStr">
        <is>
          <t>Avoid / don't</t>
        </is>
      </c>
      <c r="B43" s="17">
        <f>INDEX('Code concept (56-pt) cards'!$A$3:$BN$30,MATCH($B$2,'Code concept (56-pt) cards'!$A$3:$A$30,0),MATCH("Avoid / don't",'Code concept (56-pt) cards'!$A$2:$BN$2,0))&amp;""</f>
        <v/>
      </c>
    </row>
    <row r="44" ht="30" customHeight="1">
      <c r="A44" s="24" t="inlineStr">
        <is>
          <t>Wrong code</t>
        </is>
      </c>
      <c r="B44" s="26">
        <f>INDEX('Code concept (56-pt) cards'!$A$3:$BN$30,MATCH($B$2,'Code concept (56-pt) cards'!$A$3:$A$30,0),MATCH("Wrong code",'Code concept (56-pt) cards'!$A$2:$BN$2,0))&amp;""</f>
        <v/>
      </c>
    </row>
    <row r="45" ht="30" customHeight="1">
      <c r="A45" s="24" t="inlineStr">
        <is>
          <t>Right code</t>
        </is>
      </c>
      <c r="B45" s="26">
        <f>INDEX('Code concept (56-pt) cards'!$A$3:$BN$30,MATCH($B$2,'Code concept (56-pt) cards'!$A$3:$A$30,0),MATCH("Right code",'Code concept (56-pt) cards'!$A$2:$BN$2,0))&amp;""</f>
        <v/>
      </c>
    </row>
    <row r="46" ht="30" customHeight="1">
      <c r="A46" s="24" t="inlineStr">
        <is>
          <t>Memory trick</t>
        </is>
      </c>
      <c r="B46" s="17">
        <f>INDEX('Code concept (56-pt) cards'!$A$3:$BN$30,MATCH($B$2,'Code concept (56-pt) cards'!$A$3:$A$30,0),MATCH("Memory trick",'Code concept (56-pt) cards'!$A$2:$BN$2,0))&amp;""</f>
        <v/>
      </c>
    </row>
    <row r="47" ht="30" customHeight="1">
      <c r="A47" s="24" t="inlineStr">
        <is>
          <t>Real life: project / work</t>
        </is>
      </c>
      <c r="B47" s="17">
        <f>INDEX('Code concept (56-pt) cards'!$A$3:$BN$30,MATCH($B$2,'Code concept (56-pt) cards'!$A$3:$A$30,0),MATCH("Real life: project / work",'Code concept (56-pt) cards'!$A$2:$BN$2,0))&amp;""</f>
        <v/>
      </c>
    </row>
    <row r="48" ht="30" customHeight="1">
      <c r="A48" s="24" t="inlineStr">
        <is>
          <t>Real life: interview / exam</t>
        </is>
      </c>
      <c r="B48" s="17">
        <f>INDEX('Code concept (56-pt) cards'!$A$3:$BN$30,MATCH($B$2,'Code concept (56-pt) cards'!$A$3:$A$30,0),MATCH("Real life: interview / exam",'Code concept (56-pt) cards'!$A$2:$BN$2,0))&amp;""</f>
        <v/>
      </c>
    </row>
    <row r="49" ht="30" customHeight="1">
      <c r="A49" s="24" t="inlineStr">
        <is>
          <t>Real life: daily life</t>
        </is>
      </c>
      <c r="B49" s="17">
        <f>INDEX('Code concept (56-pt) cards'!$A$3:$BN$30,MATCH($B$2,'Code concept (56-pt) cards'!$A$3:$A$30,0),MATCH("Real life: daily life",'Code concept (56-pt) cards'!$A$2:$BN$2,0))&amp;""</f>
        <v/>
      </c>
    </row>
    <row r="50">
      <c r="A50" s="27" t="inlineStr">
        <is>
          <t>PRACTICE · Khud karo</t>
        </is>
      </c>
    </row>
    <row r="51" ht="30" customHeight="1">
      <c r="A51" s="24" t="inlineStr">
        <is>
          <t>MCQ question</t>
        </is>
      </c>
      <c r="B51" s="17">
        <f>INDEX('Code concept (56-pt) cards'!$A$3:$BN$30,MATCH($B$2,'Code concept (56-pt) cards'!$A$3:$A$30,0),MATCH("MCQ question",'Code concept (56-pt) cards'!$A$2:$BN$2,0))&amp;""</f>
        <v/>
      </c>
    </row>
    <row r="52" ht="30" customHeight="1">
      <c r="A52" s="24" t="inlineStr">
        <is>
          <t>MCQ options</t>
        </is>
      </c>
      <c r="B52" s="17">
        <f>INDEX('Code concept (56-pt) cards'!$A$3:$BN$30,MATCH($B$2,'Code concept (56-pt) cards'!$A$3:$A$30,0),MATCH("MCQ options",'Code concept (56-pt) cards'!$A$2:$BN$2,0))&amp;""</f>
        <v/>
      </c>
    </row>
    <row r="53" ht="30" customHeight="1">
      <c r="A53" s="24" t="inlineStr">
        <is>
          <t>MCQ answer</t>
        </is>
      </c>
      <c r="B53" s="17">
        <f>INDEX('Code concept (56-pt) cards'!$A$3:$BN$30,MATCH($B$2,'Code concept (56-pt) cards'!$A$3:$A$30,0),MATCH("MCQ answer",'Code concept (56-pt) cards'!$A$2:$BN$2,0))&amp;""</f>
        <v/>
      </c>
    </row>
    <row r="54" ht="30" customHeight="1">
      <c r="A54" s="24" t="inlineStr">
        <is>
          <t>Why that answer</t>
        </is>
      </c>
      <c r="B54" s="17">
        <f>INDEX('Code concept (56-pt) cards'!$A$3:$BN$30,MATCH($B$2,'Code concept (56-pt) cards'!$A$3:$A$30,0),MATCH("Why that answer",'Code concept (56-pt) cards'!$A$2:$BN$2,0))&amp;""</f>
        <v/>
      </c>
    </row>
    <row r="55" ht="30" customHeight="1">
      <c r="A55" s="24" t="inlineStr">
        <is>
          <t>Fill the blank</t>
        </is>
      </c>
      <c r="B55" s="26">
        <f>INDEX('Code concept (56-pt) cards'!$A$3:$BN$30,MATCH($B$2,'Code concept (56-pt) cards'!$A$3:$A$30,0),MATCH("Fill the blank",'Code concept (56-pt) cards'!$A$2:$BN$2,0))&amp;""</f>
        <v/>
      </c>
    </row>
    <row r="56" ht="30" customHeight="1">
      <c r="A56" s="24" t="inlineStr">
        <is>
          <t>Try it yourself</t>
        </is>
      </c>
      <c r="B56" s="17">
        <f>INDEX('Code concept (56-pt) cards'!$A$3:$BN$30,MATCH($B$2,'Code concept (56-pt) cards'!$A$3:$A$30,0),MATCH("Try it yourself",'Code concept (56-pt) cards'!$A$2:$BN$2,0))&amp;""</f>
        <v/>
      </c>
    </row>
    <row r="57" ht="30" customHeight="1">
      <c r="A57" s="24" t="inlineStr">
        <is>
          <t>Task answer</t>
        </is>
      </c>
      <c r="B57" s="26">
        <f>INDEX('Code concept (56-pt) cards'!$A$3:$BN$30,MATCH($B$2,'Code concept (56-pt) cards'!$A$3:$A$30,0),MATCH("Task answer",'Code concept (56-pt) cards'!$A$2:$BN$2,0))&amp;""</f>
        <v/>
      </c>
    </row>
    <row r="58" ht="30" customHeight="1">
      <c r="A58" s="24" t="inlineStr">
        <is>
          <t>Write your own</t>
        </is>
      </c>
      <c r="B58" s="17">
        <f>INDEX('Code concept (56-pt) cards'!$A$3:$BN$30,MATCH($B$2,'Code concept (56-pt) cards'!$A$3:$A$30,0),MATCH("Write your own",'Code concept (56-pt) cards'!$A$2:$BN$2,0))&amp;""</f>
        <v/>
      </c>
    </row>
    <row r="59" ht="30" customHeight="1">
      <c r="A59" s="24" t="inlineStr">
        <is>
          <t>Practice question</t>
        </is>
      </c>
      <c r="B59" s="26">
        <f>INDEX('Code concept (56-pt) cards'!$A$3:$BN$30,MATCH($B$2,'Code concept (56-pt) cards'!$A$3:$A$30,0),MATCH("Practice question",'Code concept (56-pt) cards'!$A$2:$BN$2,0))&amp;""</f>
        <v/>
      </c>
    </row>
    <row r="60" ht="30" customHeight="1">
      <c r="A60" s="24" t="inlineStr">
        <is>
          <t>Practice answer</t>
        </is>
      </c>
      <c r="B60" s="26">
        <f>INDEX('Code concept (56-pt) cards'!$A$3:$BN$30,MATCH($B$2,'Code concept (56-pt) cards'!$A$3:$A$30,0),MATCH("Practice answer",'Code concept (56-pt) cards'!$A$2:$BN$2,0))&amp;""</f>
        <v/>
      </c>
    </row>
    <row r="61" ht="30" customHeight="1">
      <c r="A61" s="24" t="inlineStr">
        <is>
          <t>Quick recall (reverse)</t>
        </is>
      </c>
      <c r="B61" s="17">
        <f>INDEX('Code concept (56-pt) cards'!$A$3:$BN$30,MATCH($B$2,'Code concept (56-pt) cards'!$A$3:$A$30,0),MATCH("Quick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cards'!$A$3:$A$30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2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94.5" customHeight="1">
      <c r="A3" s="17" t="inlineStr">
        <is>
          <t>SUP-001</t>
        </is>
      </c>
      <c r="B3" s="17" t="inlineStr">
        <is>
          <t>01 Basics</t>
        </is>
      </c>
      <c r="C3" s="17" t="inlineStr">
        <is>
          <t>Beginner</t>
        </is>
      </c>
      <c r="D3" s="17" t="n">
        <v>1</v>
      </c>
      <c r="E3" s="17" t="inlineStr">
        <is>
          <t>Claude knowledge</t>
        </is>
      </c>
      <c r="F3" s="18" t="inlineStr">
        <is>
          <t>Supabase</t>
        </is>
      </c>
      <c r="G3" s="18" t="inlineStr">
        <is>
          <t>Which open-source platform gives you a PostgreSQL database, login, file storage and a ready-made API in one project?</t>
        </is>
      </c>
      <c r="H3" s="18" t="inlineStr">
        <is>
          <t>Backend platform</t>
        </is>
      </c>
      <c r="I3" s="18" t="inlineStr">
        <is>
          <t>Very high</t>
        </is>
      </c>
      <c r="J3" s="18" t="n">
        <v>5</v>
      </c>
      <c r="K3" s="18" t="inlineStr">
        <is>
          <t>Building a backend means setting up a database, authentication and storage separately, so Supabase packaged these around PostgreSQL as an open-source alternative to Firebase.</t>
        </is>
      </c>
      <c r="L3" s="18" t="inlineStr">
        <is>
          <t>Think of it as a Postgres database with extra services wrapped around it, since that makes every part easier to understand.</t>
        </is>
      </c>
      <c r="M3" s="18" t="inlineStr">
        <is>
          <t>Supabase is a ready-furnished flat where the kitchen, lock and storeroom are already fitted, and you just move in.</t>
        </is>
      </c>
      <c r="N3" s="18" t="inlineStr">
        <is>
          <t>One project box containing a database, a login lock, a file cabinet and a live-updates signal.</t>
        </is>
      </c>
      <c r="O3" s="18" t="inlineStr">
        <is>
          <t>The excitement of launching a full backend in an afternoon.</t>
        </is>
      </c>
      <c r="P3" s="18" t="inlineStr">
        <is>
          <t>Supabase is an open-source backend platform built on PostgreSQL that provides a database, authentication, storage, realtime updates, functions and automatic APIs.</t>
        </is>
      </c>
      <c r="Q3" s="17" t="n"/>
      <c r="R3" s="18" t="inlineStr">
        <is>
          <t>When you create a project you get a real Postgres database. Supabase adds an auto-generated REST API over your tables, an authentication service, file storage, realtime subscriptions, edge functions and a dashboard. Your app talks to all of it through client libraries such as supabase-js.</t>
        </is>
      </c>
      <c r="S3" s="18" t="inlineStr">
        <is>
          <t>Supabase gives your app a database, user login, file storage and an API without you building a server first. You can still use plain SQL because it is real PostgreSQL underneath.</t>
        </is>
      </c>
      <c r="T3" s="18" t="inlineStr">
        <is>
          <t>It is like a ready-furnished flat where the kitchen, lock and storeroom are already fitted.</t>
        </is>
      </c>
      <c r="U3" s="18" t="inlineStr">
        <is>
          <t>Supabase = Postgres + Auth + Storage + Realtime + Functions + auto API</t>
        </is>
      </c>
      <c r="V3" s="18" t="inlineStr">
        <is>
          <t>A to-do app that stores tasks in a Supabase table and lets users log in.</t>
        </is>
      </c>
      <c r="W3" s="18" t="inlineStr">
        <is>
          <t>A photo app that keeps pictures in Supabase Storage.</t>
        </is>
      </c>
      <c r="X3" s="18" t="inlineStr">
        <is>
          <t>A chat app that shows new messages live through Realtime.</t>
        </is>
      </c>
      <c r="Y3" s="18" t="inlineStr">
        <is>
          <t>PostgreSQL, Firebase, Row Level Security, supabase-js</t>
        </is>
      </c>
      <c r="Z3" s="18" t="inlineStr">
        <is>
          <t>backend-as-a-service, Postgres, Auth, Storage, Realtime</t>
        </is>
      </c>
      <c r="AA3" s="18" t="inlineStr">
        <is>
          <t>Web and mobile apps | Prototypes and startups | Education projects</t>
        </is>
      </c>
      <c r="AB3" s="18" t="inlineStr">
        <is>
          <t>A: Do I need to build my own server for login and data? | B: Not necessarily, Supabase provides the database, login and API for you.</t>
        </is>
      </c>
      <c r="AC3" s="18" t="inlineStr">
        <is>
          <t>✗ Supabase is a new kind of database that is not SQL → ✓ Supabase is built on PostgreSQL, so standard SQL works as it does anywhere</t>
        </is>
      </c>
      <c r="AD3" s="18" t="inlineStr">
        <is>
          <t>Supabase vs a plain database: a database stores data, Supabase adds login, storage, APIs and realtime around it.</t>
        </is>
      </c>
      <c r="AE3" s="18" t="inlineStr">
        <is>
          <t>Do not treat Supabase as magic, learn the Postgres underneath.</t>
        </is>
      </c>
      <c r="AF3" s="18" t="inlineStr">
        <is>
          <t>Supabase is Postgres plus the extras you need.</t>
        </is>
      </c>
      <c r="AG3" s="18" t="inlineStr">
        <is>
          <t>Using Supabase for the database, login and file storage of a learning app.</t>
        </is>
      </c>
      <c r="AH3" s="18" t="inlineStr">
        <is>
          <t>An interviewer may ask: What is Supabase and how does it differ from Firebase?</t>
        </is>
      </c>
      <c r="AI3" s="18" t="inlineStr">
        <is>
          <t>It is like moving into a flat that is already furnished.</t>
        </is>
      </c>
      <c r="AJ3" s="18" t="inlineStr">
        <is>
          <t>Which database does Supabase use underneath?</t>
        </is>
      </c>
      <c r="AK3" s="18" t="inlineStr">
        <is>
          <t>A) Redis B) MongoDB C) MySQL D) PostgreSQL</t>
        </is>
      </c>
      <c r="AL3" s="18" t="inlineStr">
        <is>
          <t>D</t>
        </is>
      </c>
      <c r="AM3" s="18" t="inlineStr">
        <is>
          <t>Supabase is built on PostgreSQL.</t>
        </is>
      </c>
      <c r="AN3" s="18" t="inlineStr">
        <is>
          <t>Supabase is an open-source alternative to ____ → Firebase</t>
        </is>
      </c>
      <c r="AO3" s="18" t="inlineStr">
        <is>
          <t>What do you get when you create a Supabase project? → A Postgres database with auth, storage, an API and more</t>
        </is>
      </c>
      <c r="AP3" s="18" t="inlineStr">
        <is>
          <t>Explain what Supabase is in three lines.</t>
        </is>
      </c>
      <c r="AQ3" s="18" t="inlineStr">
        <is>
          <t>List the backend features your own app idea needs and tick which Supabase provides.</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81" customHeight="1">
      <c r="A4" s="17" t="inlineStr">
        <is>
          <t>SUP-002</t>
        </is>
      </c>
      <c r="B4" s="17" t="inlineStr">
        <is>
          <t>01 Basics</t>
        </is>
      </c>
      <c r="C4" s="17" t="inlineStr">
        <is>
          <t>Beginner</t>
        </is>
      </c>
      <c r="D4" s="17" t="n">
        <v>2</v>
      </c>
      <c r="E4" s="17" t="inlineStr">
        <is>
          <t>Claude knowledge</t>
        </is>
      </c>
      <c r="F4" s="18" t="inlineStr">
        <is>
          <t>Project and dashboard</t>
        </is>
      </c>
      <c r="G4" s="18" t="inlineStr">
        <is>
          <t>What is the container for one app's database, auth and storage called, and where do you manage it?</t>
        </is>
      </c>
      <c r="H4" s="18" t="inlineStr">
        <is>
          <t>Core concept</t>
        </is>
      </c>
      <c r="I4" s="18" t="inlineStr">
        <is>
          <t>Very high</t>
        </is>
      </c>
      <c r="J4" s="18" t="n">
        <v>4</v>
      </c>
      <c r="K4" s="18" t="inlineStr">
        <is>
          <t>Each app needs its own isolated database and settings, so Supabase groups everything into a project with a web dashboard for managing it.</t>
        </is>
      </c>
      <c r="L4" s="18" t="inlineStr">
        <is>
          <t>Create separate projects for development and production so test data never mixes with real data.</t>
        </is>
      </c>
      <c r="M4" s="18" t="inlineStr">
        <is>
          <t>A project is one apartment in the building, and the dashboard is its control panel.</t>
        </is>
      </c>
      <c r="N4" s="18" t="inlineStr">
        <is>
          <t>A web page with a left menu listing Table Editor, SQL Editor, Authentication and Storage.</t>
        </is>
      </c>
      <c r="O4" s="18" t="inlineStr">
        <is>
          <t>The comfort of seeing everything about your backend in one place.</t>
        </is>
      </c>
      <c r="P4" s="18" t="inlineStr">
        <is>
          <t>A project is one isolated Supabase backend with its own database, auth, storage and keys, managed through the web dashboard.</t>
        </is>
      </c>
      <c r="Q4" s="17" t="n"/>
      <c r="R4" s="18" t="inlineStr">
        <is>
          <t>The dashboard has a Table Editor for browsing data, an SQL Editor for running queries, sections for Authentication, Storage, Edge Functions and Realtime, and project settings with API keys and connection details. A project lives in one region and has its own URL.</t>
        </is>
      </c>
      <c r="S4" s="18" t="inlineStr">
        <is>
          <t>Make one project per app. Inside the dashboard you create tables, manage users, see files and copy the keys your app needs.</t>
        </is>
      </c>
      <c r="T4" s="18" t="inlineStr">
        <is>
          <t>A project is one apartment in a building and the dashboard is its control panel.</t>
        </is>
      </c>
      <c r="U4" s="18" t="inlineStr">
        <is>
          <t>One app (or environment) = one project = one dashboard</t>
        </is>
      </c>
      <c r="V4" s="18" t="inlineStr">
        <is>
          <t>A project called learning-app-dev for testing.</t>
        </is>
      </c>
      <c r="W4" s="18" t="inlineStr">
        <is>
          <t>A separate project called learning-app-prod for real users.</t>
        </is>
      </c>
      <c r="X4" s="18" t="inlineStr">
        <is>
          <t>Using the Table Editor to look at rows without writing SQL.</t>
        </is>
      </c>
      <c r="Y4" s="18" t="inlineStr">
        <is>
          <t>API keys, environments, SQL Editor, Table Editor</t>
        </is>
      </c>
      <c r="Z4" s="18" t="inlineStr">
        <is>
          <t>project, dashboard, region, organisation</t>
        </is>
      </c>
      <c r="AA4" s="18" t="inlineStr">
        <is>
          <t>Starting every app | Switching environments | Team access</t>
        </is>
      </c>
      <c r="AB4" s="18" t="inlineStr">
        <is>
          <t>A: Should test and real data share one project? | B: No, make separate projects for development and production.</t>
        </is>
      </c>
      <c r="AC4" s="18" t="inlineStr">
        <is>
          <t>✗ One Supabase project can safely serve all my apps and environments → ✓ Use a separate project for each app and environment so data and keys stay isolated</t>
        </is>
      </c>
      <c r="AD4" s="18" t="inlineStr">
        <is>
          <t>Project vs organisation: a project is one backend, an organisation groups projects and members.</t>
        </is>
      </c>
      <c r="AE4" s="18" t="inlineStr">
        <is>
          <t>Do not test destructive changes on the production project.</t>
        </is>
      </c>
      <c r="AF4" s="18" t="inlineStr">
        <is>
          <t>One project per app and per environment.</t>
        </is>
      </c>
      <c r="AG4" s="18" t="inlineStr">
        <is>
          <t>Keeping a dev project and a prod project and moving changes between them with migrations.</t>
        </is>
      </c>
      <c r="AH4" s="18" t="inlineStr">
        <is>
          <t>An interviewer may ask: How do you separate development and production in Supabase?</t>
        </is>
      </c>
      <c r="AI4" s="18" t="inlineStr">
        <is>
          <t>It is like one apartment with its own control panel.</t>
        </is>
      </c>
      <c r="AJ4" s="18" t="inlineStr">
        <is>
          <t>What is the best practice for development and production data?</t>
        </is>
      </c>
      <c r="AK4" s="18" t="inlineStr">
        <is>
          <t>A) Use separate projects B) Use one project for both C) Share one table D) Use one key everywhere</t>
        </is>
      </c>
      <c r="AL4" s="18" t="inlineStr">
        <is>
          <t>A</t>
        </is>
      </c>
      <c r="AM4" s="18" t="inlineStr">
        <is>
          <t>Separate projects keep test and real data and keys isolated.</t>
        </is>
      </c>
      <c r="AN4" s="18" t="inlineStr">
        <is>
          <t>You browse rows in the dashboard's ____ Editor → Table</t>
        </is>
      </c>
      <c r="AO4" s="18" t="inlineStr">
        <is>
          <t>Where do you copy a project's URL and keys from? → From the project settings in the dashboard</t>
        </is>
      </c>
      <c r="AP4" s="18" t="inlineStr">
        <is>
          <t>Explain a Supabase project and its dashboard in three lines.</t>
        </is>
      </c>
      <c r="AQ4" s="18" t="inlineStr">
        <is>
          <t>Name two projects you would create for one app and say why.</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94.5" customHeight="1">
      <c r="A5" s="17" t="inlineStr">
        <is>
          <t>SUP-003</t>
        </is>
      </c>
      <c r="B5" s="17" t="inlineStr">
        <is>
          <t>01 Basics</t>
        </is>
      </c>
      <c r="C5" s="17" t="inlineStr">
        <is>
          <t>Beginner</t>
        </is>
      </c>
      <c r="D5" s="17" t="n">
        <v>3</v>
      </c>
      <c r="E5" s="17" t="inlineStr">
        <is>
          <t>Claude knowledge</t>
        </is>
      </c>
      <c r="F5" s="18" t="inlineStr">
        <is>
          <t>Supabase vs Firebase</t>
        </is>
      </c>
      <c r="G5" s="18" t="inlineStr">
        <is>
          <t>Which two backend platforms differ mainly in using SQL relational tables versus a NoSQL document database?</t>
        </is>
      </c>
      <c r="H5" s="18" t="inlineStr">
        <is>
          <t>Comparison</t>
        </is>
      </c>
      <c r="I5" s="18" t="inlineStr">
        <is>
          <t>High</t>
        </is>
      </c>
      <c r="J5" s="18" t="n">
        <v>3</v>
      </c>
      <c r="K5" s="18" t="inlineStr">
        <is>
          <t>Firebase made backends easy but locked developers into a NoSQL model, so Supabase offered a similar developer experience built on open-source PostgreSQL.</t>
        </is>
      </c>
      <c r="L5" s="18" t="inlineStr">
        <is>
          <t>Pick Supabase when your data is relational and you like SQL, and Firebase when a document model and its tools fit better.</t>
        </is>
      </c>
      <c r="M5" s="18" t="inlineStr">
        <is>
          <t>Firebase stores data in folders of documents, while Supabase stores it in tables with relationships, like a spreadsheet with rules.</t>
        </is>
      </c>
      <c r="N5" s="18" t="inlineStr">
        <is>
          <t>A tree of nested documents on one side and linked tables on the other.</t>
        </is>
      </c>
      <c r="O5" s="18" t="inlineStr">
        <is>
          <t>The confidence of choosing a tool that matches your data.</t>
        </is>
      </c>
      <c r="P5" s="18" t="inlineStr">
        <is>
          <t>Supabase uses PostgreSQL relational tables, SQL and open-source components, while Firebase uses NoSQL document databases and Google's proprietary services.</t>
        </is>
      </c>
      <c r="Q5" s="17" t="n"/>
      <c r="R5" s="18" t="inlineStr">
        <is>
          <t>Supabase offers joins, constraints, SQL and Row Level Security, and it can be self-hosted. Firebase offers Firestore and a Realtime Database with a very polished mobile toolkit and tight Google integration. Data portability is easier with Postgres because you can export it with standard tools.</t>
        </is>
      </c>
      <c r="S5" s="18" t="inlineStr">
        <is>
          <t>If your data fits neatly in related tables, Supabase feels natural. Firebase is document-based, which suits different shapes of data.</t>
        </is>
      </c>
      <c r="T5" s="18" t="inlineStr">
        <is>
          <t>Firebase is folders of documents, and Supabase is tables with relationships, like linked spreadsheets.</t>
        </is>
      </c>
      <c r="U5" s="18" t="inlineStr">
        <is>
          <t>Supabase = SQL and tables. Firebase = documents and collections.</t>
        </is>
      </c>
      <c r="V5" s="18" t="inlineStr">
        <is>
          <t>A shop with products, orders and customers fits Supabase tables well.</t>
        </is>
      </c>
      <c r="W5" s="18" t="inlineStr">
        <is>
          <t>A chat app with nested message documents may fit Firestore well.</t>
        </is>
      </c>
      <c r="X5" s="18" t="inlineStr">
        <is>
          <t>A team that already knows SQL moving quickly with Supabase.</t>
        </is>
      </c>
      <c r="Y5" s="18" t="inlineStr">
        <is>
          <t>PostgreSQL, SQL, NoSQL, vendor lock-in</t>
        </is>
      </c>
      <c r="Z5" s="18" t="inlineStr">
        <is>
          <t>SQL, NoSQL, document, relational, open source</t>
        </is>
      </c>
      <c r="AA5" s="18" t="inlineStr">
        <is>
          <t>Choosing a backend | Migration planning | Architecture discussions</t>
        </is>
      </c>
      <c r="AB5" s="18" t="inlineStr">
        <is>
          <t>A: Why choose Supabase over Firebase? | B: Our data is relational and the team knows SQL, and we like that it is open source.</t>
        </is>
      </c>
      <c r="AC5" s="18" t="inlineStr">
        <is>
          <t>✗ Supabase and Firebase are the same product with different names → ✓ They differ in database type, openness and how you query and secure data</t>
        </is>
      </c>
      <c r="AD5" s="18" t="inlineStr">
        <is>
          <t>Supabase vs Firebase: relational SQL on Postgres versus NoSQL documents on Google's platform.</t>
        </is>
      </c>
      <c r="AE5" s="18" t="inlineStr">
        <is>
          <t>Do not choose a tool only because it is popular, check your data shape first.</t>
        </is>
      </c>
      <c r="AF5" s="18" t="inlineStr">
        <is>
          <t>Supabase is SQL tables, Firebase is documents.</t>
        </is>
      </c>
      <c r="AG5" s="18" t="inlineStr">
        <is>
          <t>Choosing Supabase for an app with orders, products and customers that need joins.</t>
        </is>
      </c>
      <c r="AH5" s="18" t="inlineStr">
        <is>
          <t>An interviewer may ask: When would you pick Supabase over Firebase?</t>
        </is>
      </c>
      <c r="AI5" s="18" t="inlineStr">
        <is>
          <t>It is like linked spreadsheets versus folders of documents.</t>
        </is>
      </c>
      <c r="AJ5" s="18" t="inlineStr">
        <is>
          <t>Which kind of database does Supabase use?</t>
        </is>
      </c>
      <c r="AK5" s="18" t="inlineStr">
        <is>
          <t>A) Graph only B) Key-value only C) Relational SQL D) Document NoSQL</t>
        </is>
      </c>
      <c r="AL5" s="18" t="inlineStr">
        <is>
          <t>C</t>
        </is>
      </c>
      <c r="AM5" s="18" t="inlineStr">
        <is>
          <t>Supabase uses PostgreSQL, a relational SQL database.</t>
        </is>
      </c>
      <c r="AN5" s="18" t="inlineStr">
        <is>
          <t>Firebase's Firestore is a ____ database → document</t>
        </is>
      </c>
      <c r="AO5" s="18" t="inlineStr">
        <is>
          <t>Your data has orders linked to customers and products. Which fits naturally? → Supabase with relational tables</t>
        </is>
      </c>
      <c r="AP5" s="18" t="inlineStr">
        <is>
          <t>Explain the difference between Supabase and Firebase in three lines.</t>
        </is>
      </c>
      <c r="AQ5" s="18" t="inlineStr">
        <is>
          <t>Write which of your data needs joins and which would fit documents.</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121.5" customHeight="1">
      <c r="A6" s="17" t="inlineStr">
        <is>
          <t>SUP-004</t>
        </is>
      </c>
      <c r="B6" s="17" t="inlineStr">
        <is>
          <t>01 Basics</t>
        </is>
      </c>
      <c r="C6" s="17" t="inlineStr">
        <is>
          <t>Beginner</t>
        </is>
      </c>
      <c r="D6" s="17" t="n">
        <v>4</v>
      </c>
      <c r="E6" s="17" t="inlineStr">
        <is>
          <t>Claude knowledge</t>
        </is>
      </c>
      <c r="F6" s="18" t="inlineStr">
        <is>
          <t>Project URL and API keys</t>
        </is>
      </c>
      <c r="G6" s="18" t="inlineStr">
        <is>
          <t>Which two values from your project settings does your app need in order to connect to Supabase?</t>
        </is>
      </c>
      <c r="H6" s="18" t="inlineStr">
        <is>
          <t>Connection basics</t>
        </is>
      </c>
      <c r="I6" s="18" t="inlineStr">
        <is>
          <t>Very high</t>
        </is>
      </c>
      <c r="J6" s="18" t="n">
        <v>5</v>
      </c>
      <c r="K6" s="18" t="inlineStr">
        <is>
          <t>The client library must know which project to talk to and prove it is allowed to, so every project has a unique URL and keys.</t>
        </is>
      </c>
      <c r="L6" s="18" t="inlineStr">
        <is>
          <t>Copy the URL and keys from the project settings and keep them in environment variables.</t>
        </is>
      </c>
      <c r="M6" s="18" t="inlineStr">
        <is>
          <t>The URL is the address of your project's front door, and the key is the pass you show at that door.</t>
        </is>
      </c>
      <c r="N6" s="18" t="inlineStr">
        <is>
          <t>A settings page showing a long URL and a long key string with copy buttons.</t>
        </is>
      </c>
      <c r="O6" s="18" t="inlineStr">
        <is>
          <t>The satisfaction of the first successful connection.</t>
        </is>
      </c>
      <c r="P6" s="18" t="inlineStr">
        <is>
          <t>The project URL is the web address of your Supabase project, and API keys are credentials that your app sends to access it.</t>
        </is>
      </c>
      <c r="Q6" s="17" t="n"/>
      <c r="R6" s="18" t="inlineStr">
        <is>
          <t>The URL looks like https://yourref.supabase.co. The client key, formerly called the anon key and now also offered as a publishable key, is meant for browsers and apps and relies on Row Level Security to limit access. The service role or secret key has full power and must stay on the server. Key naming has been changing, so check your dashboard for the current names.</t>
        </is>
      </c>
      <c r="S6" s="18" t="inlineStr">
        <is>
          <t>Your app needs the project URL and a public client key to connect. Keep the powerful server key away from front-end code.</t>
        </is>
      </c>
      <c r="T6" s="18" t="inlineStr">
        <is>
          <t>The URL is the address of your front door and the key is the pass you show there.</t>
        </is>
      </c>
      <c r="U6" s="18" t="inlineStr">
        <is>
          <t>createClient(URL, client key)</t>
        </is>
      </c>
      <c r="V6" s="18" t="inlineStr">
        <is>
          <t>A URL such as https://abcd1234.supabase.co.</t>
        </is>
      </c>
      <c r="W6" s="18" t="inlineStr">
        <is>
          <t>A client key used in browser code with RLS protecting data.</t>
        </is>
      </c>
      <c r="X6" s="18" t="inlineStr">
        <is>
          <t>A server-only secret key used in a backend script.</t>
        </is>
      </c>
      <c r="Y6" s="18" t="inlineStr">
        <is>
          <t>anon key vs service role key, environment variables, createClient</t>
        </is>
      </c>
      <c r="Z6" s="18" t="inlineStr">
        <is>
          <t>URL, anon key, publishable key, service role, secret key</t>
        </is>
      </c>
      <c r="AA6" s="18" t="inlineStr">
        <is>
          <t>Every Supabase app | Configuration | Deployment</t>
        </is>
      </c>
      <c r="AB6" s="18" t="inlineStr">
        <is>
          <t>A: Where do I find the keys? | B: In the project settings, under the API section of the dashboard.</t>
        </is>
      </c>
      <c r="AC6" s="18" t="inlineStr">
        <is>
          <t>✗ Every Supabase key is safe to put in front-end code → ✓ Only the client key is meant for front-end use, and the service role or secret key must stay on the server</t>
        </is>
      </c>
      <c r="AD6" s="18" t="inlineStr">
        <is>
          <t>Client key vs service role key: the client key is limited by RLS, the service role key bypasses it.</t>
        </is>
      </c>
      <c r="AE6" s="18" t="inlineStr">
        <is>
          <t>Do not commit keys to a public repository.</t>
        </is>
      </c>
      <c r="AF6" s="18" t="inlineStr">
        <is>
          <t>URL says where, key says who.</t>
        </is>
      </c>
      <c r="AG6" s="18" t="inlineStr">
        <is>
          <t>Putting the URL and client key in environment variables of a web app.</t>
        </is>
      </c>
      <c r="AH6" s="18" t="inlineStr">
        <is>
          <t>An interviewer may ask: What do you need to connect an app to Supabase?</t>
        </is>
      </c>
      <c r="AI6" s="18" t="inlineStr">
        <is>
          <t>It is like an address plus a pass for the door.</t>
        </is>
      </c>
      <c r="AJ6" s="18" t="inlineStr">
        <is>
          <t>Which two values does createClient need?</t>
        </is>
      </c>
      <c r="AK6" s="18" t="inlineStr">
        <is>
          <t>A) Table name and column B) Project URL and a client key C) Region and bucket D) Username and password</t>
        </is>
      </c>
      <c r="AL6" s="18" t="inlineStr">
        <is>
          <t>B</t>
        </is>
      </c>
      <c r="AM6" s="18" t="inlineStr">
        <is>
          <t>The client needs the project URL and a key.</t>
        </is>
      </c>
      <c r="AN6" s="18" t="inlineStr">
        <is>
          <t>The web address of your Supabase project is called the project ____ → URL</t>
        </is>
      </c>
      <c r="AO6" s="18" t="inlineStr">
        <is>
          <t>Where do you find a project's keys? → In the API section of the project settings</t>
        </is>
      </c>
      <c r="AP6" s="18" t="inlineStr">
        <is>
          <t>Explain the project URL and keys in three lines.</t>
        </is>
      </c>
      <c r="AQ6" s="18" t="inlineStr">
        <is>
          <t>Write the two values you would put into your app's environment file.</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21.5" customHeight="1">
      <c r="A7" s="17" t="inlineStr">
        <is>
          <t>SUP-005</t>
        </is>
      </c>
      <c r="B7" s="17" t="inlineStr">
        <is>
          <t>01 Basics</t>
        </is>
      </c>
      <c r="C7" s="17" t="inlineStr">
        <is>
          <t>Intermediate</t>
        </is>
      </c>
      <c r="D7" s="17" t="n">
        <v>5</v>
      </c>
      <c r="E7" s="17" t="inlineStr">
        <is>
          <t>Claude knowledge</t>
        </is>
      </c>
      <c r="F7" s="18" t="inlineStr">
        <is>
          <t>anon key vs service role key</t>
        </is>
      </c>
      <c r="G7" s="18" t="inlineStr">
        <is>
          <t>Which key is safe to expose in a browser because Row Level Security limits it, and which one bypasses all rules?</t>
        </is>
      </c>
      <c r="H7" s="18" t="inlineStr">
        <is>
          <t>Security concept</t>
        </is>
      </c>
      <c r="I7" s="18" t="inlineStr">
        <is>
          <t>Very high</t>
        </is>
      </c>
      <c r="J7" s="18" t="n">
        <v>5</v>
      </c>
      <c r="K7" s="18" t="inlineStr">
        <is>
          <t>A browser app must talk to the database directly, so Supabase gives it a limited key that the database rules control, and keeps a separate all-powerful key for trusted servers.</t>
        </is>
      </c>
      <c r="L7" s="18" t="inlineStr">
        <is>
          <t>If a key can bypass RLS, treat it like a master password and never ship it to the browser.</t>
        </is>
      </c>
      <c r="M7" s="18" t="inlineStr">
        <is>
          <t>The anon key is a visitor badge that opens only the doors your rules allow, and the service role key is the master key of the building.</t>
        </is>
      </c>
      <c r="N7" s="18" t="inlineStr">
        <is>
          <t>A badge with limited doors beside a master key labelled server only.</t>
        </is>
      </c>
      <c r="O7" s="18" t="inlineStr">
        <is>
          <t>The alarm of realising which key you pasted into front-end code.</t>
        </is>
      </c>
      <c r="P7" s="18" t="inlineStr">
        <is>
          <t>The anon (client) key identifies unauthenticated or logged-in app users and is subject to Row Level Security, while the service role (secret) key has full access and bypasses RLS.</t>
        </is>
      </c>
      <c r="Q7" s="17" t="n"/>
      <c r="R7" s="18" t="inlineStr">
        <is>
          <t>With the anon key, requests run as the anon or authenticated database role, so policies decide what rows are visible. The service role key runs with a role that bypasses RLS, so it can read and write everything. It belongs only in trusted server code, such as edge functions or backend jobs. Naming is moving towards publishable and secret keys, but the roles are the same idea.</t>
        </is>
      </c>
      <c r="S7" s="18" t="inlineStr">
        <is>
          <t>Use the anon key in the app, because RLS guards your data. Use the service role key only on your own server, because it ignores the rules.</t>
        </is>
      </c>
      <c r="T7" s="18" t="inlineStr">
        <is>
          <t>The anon key is a visitor badge and the service role key is the master key of the building.</t>
        </is>
      </c>
      <c r="U7" s="18" t="inlineStr">
        <is>
          <t>anon or publishable key = browser, controlled by RLS. service role or secret key = server only, bypasses RLS.</t>
        </is>
      </c>
      <c r="V7" s="18" t="inlineStr">
        <is>
          <t>A browser app using the anon key to fetch a user's own tasks.</t>
        </is>
      </c>
      <c r="W7" s="18" t="inlineStr">
        <is>
          <t>A scheduled job using the service role key to clean old rows.</t>
        </is>
      </c>
      <c r="X7" s="18" t="inlineStr">
        <is>
          <t>A leaked service role key forcing an immediate rotation.</t>
        </is>
      </c>
      <c r="Y7" s="18" t="inlineStr">
        <is>
          <t>Row Level Security, environment variables, Auth, secrets</t>
        </is>
      </c>
      <c r="Z7" s="18" t="inlineStr">
        <is>
          <t>anon, authenticated, service_role, publishable, secret</t>
        </is>
      </c>
      <c r="AA7" s="18" t="inlineStr">
        <is>
          <t>Every Supabase app | Security reviews | Backend jobs</t>
        </is>
      </c>
      <c r="AB7" s="18" t="inlineStr">
        <is>
          <t>A: Can I use the service role key in my React app? | B: No, anyone could read it and bypass all your security rules.</t>
        </is>
      </c>
      <c r="AC7" s="18" t="inlineStr">
        <is>
          <t>✗ The service role key is fine in the browser because the site is private → ✓ Anything in front-end code can be read, so the service role key must never be there</t>
        </is>
      </c>
      <c r="AD7" s="18" t="inlineStr">
        <is>
          <t>anon vs service role: anon is limited by RLS, service role bypasses it.</t>
        </is>
      </c>
      <c r="AE7" s="18" t="inlineStr">
        <is>
          <t>Never put the service role key in front-end code or a public repository.</t>
        </is>
      </c>
      <c r="AF7" s="18" t="inlineStr">
        <is>
          <t>Anon for the app, service role for the server.</t>
        </is>
      </c>
      <c r="AG7" s="18" t="inlineStr">
        <is>
          <t>Keeping the service role key only in a server-side job and the anon key in the web app.</t>
        </is>
      </c>
      <c r="AH7" s="18" t="inlineStr">
        <is>
          <t>An interviewer may ask: What is the difference between the anon key and the service role key?</t>
        </is>
      </c>
      <c r="AI7" s="18" t="inlineStr">
        <is>
          <t>It is like a visitor badge versus the master key of a building.</t>
        </is>
      </c>
      <c r="AJ7" s="18" t="inlineStr">
        <is>
          <t>Which key bypasses Row Level Security?</t>
        </is>
      </c>
      <c r="AK7" s="18" t="inlineStr">
        <is>
          <t>A) The anon key B) The service role key C) The project URL D) The region</t>
        </is>
      </c>
      <c r="AL7" s="18" t="inlineStr">
        <is>
          <t>B</t>
        </is>
      </c>
      <c r="AM7" s="18" t="inlineStr">
        <is>
          <t>The service role key has full access and ignores RLS.</t>
        </is>
      </c>
      <c r="AN7" s="18" t="inlineStr">
        <is>
          <t>The key that is safe for browsers is the ____ key → anon</t>
        </is>
      </c>
      <c r="AO7" s="18" t="inlineStr">
        <is>
          <t>A scheduled cleanup job needs full access. Which key should it use? → The service role key, only in server-side code</t>
        </is>
      </c>
      <c r="AP7" s="18" t="inlineStr">
        <is>
          <t>Explain the two keys in three lines.</t>
        </is>
      </c>
      <c r="AQ7" s="18" t="inlineStr">
        <is>
          <t>Write where each key would live in a web app and a backend job.</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81" customHeight="1">
      <c r="A8" s="17" t="inlineStr">
        <is>
          <t>SUP-007</t>
        </is>
      </c>
      <c r="B8" s="17" t="inlineStr">
        <is>
          <t>02 Database</t>
        </is>
      </c>
      <c r="C8" s="17" t="inlineStr">
        <is>
          <t>Beginner</t>
        </is>
      </c>
      <c r="D8" s="17" t="n">
        <v>7</v>
      </c>
      <c r="E8" s="17" t="inlineStr">
        <is>
          <t>Claude knowledge</t>
        </is>
      </c>
      <c r="F8" s="18" t="inlineStr">
        <is>
          <t>Tables, rows and columns</t>
        </is>
      </c>
      <c r="G8" s="18" t="inlineStr">
        <is>
          <t>In a Supabase database, what do you call the grid that stores data in columns for each field and rows for each record?</t>
        </is>
      </c>
      <c r="H8" s="18" t="inlineStr">
        <is>
          <t>Database concept</t>
        </is>
      </c>
      <c r="I8" s="18" t="inlineStr">
        <is>
          <t>Very high</t>
        </is>
      </c>
      <c r="J8" s="18" t="n">
        <v>5</v>
      </c>
      <c r="K8" s="18" t="inlineStr">
        <is>
          <t>Relational databases organise data in tables because a grid of rows and columns is easy to search, sort and link to other tables.</t>
        </is>
      </c>
      <c r="L8" s="18" t="inlineStr">
        <is>
          <t>Give each table a clear plural name, such as todos or profiles, and keep one kind of thing per table.</t>
        </is>
      </c>
      <c r="M8" s="18" t="inlineStr">
        <is>
          <t>A table is a spreadsheet where each column has a strict type and each row is one record.</t>
        </is>
      </c>
      <c r="N8" s="18" t="inlineStr">
        <is>
          <t>A grid with headers across the top and each line below holding one record.</t>
        </is>
      </c>
      <c r="O8" s="18" t="inlineStr">
        <is>
          <t>The tidiness of seeing data in a neat grid.</t>
        </is>
      </c>
      <c r="P8" s="18" t="inlineStr">
        <is>
          <t>A table stores records as rows, and each column holds one kind of value for those records, such as a title or a date.</t>
        </is>
      </c>
      <c r="Q8" s="17" t="n"/>
      <c r="R8" s="18" t="inlineStr">
        <is>
          <t>You can create tables in the Table Editor with clicks or in the SQL Editor with SQL. Each column has a name and a data type, and may have rules such as not null or a default value. Supabase shows the table through its API automatically.</t>
        </is>
      </c>
      <c r="S8" s="18" t="inlineStr">
        <is>
          <t>A table is like a spreadsheet. Each column is a field such as title, and each row is one item, such as one to-do.</t>
        </is>
      </c>
      <c r="T8" s="18" t="inlineStr">
        <is>
          <t>It is like a spreadsheet with strict column types.</t>
        </is>
      </c>
      <c r="U8" s="18" t="inlineStr">
        <is>
          <t>Table = columns (fields) + rows (records)</t>
        </is>
      </c>
      <c r="V8" s="18" t="inlineStr">
        <is>
          <t>A todos table with the columns id, title and done.</t>
        </is>
      </c>
      <c r="W8" s="18" t="inlineStr">
        <is>
          <t>A profiles table with one row for each user.</t>
        </is>
      </c>
      <c r="X8" s="18" t="inlineStr">
        <is>
          <t>A products table with name, price and stock columns.</t>
        </is>
      </c>
      <c r="Y8" s="18" t="inlineStr">
        <is>
          <t>data types, primary key, SQL Editor, Table Editor</t>
        </is>
      </c>
      <c r="Z8" s="18" t="inlineStr">
        <is>
          <t>table, row, column, record, field</t>
        </is>
      </c>
      <c r="AA8" s="18" t="inlineStr">
        <is>
          <t>Every Supabase app | Data modelling | Admin screens</t>
        </is>
      </c>
      <c r="AB8" s="18" t="inlineStr">
        <is>
          <t>A: Where do I store my tasks? | B: Make a todos table with a title column and a done column.</t>
        </is>
      </c>
      <c r="AC8" s="18" t="inlineStr">
        <is>
          <t>✗ A table can hold any shape of data in any row → ✓ Every row follows the table's column structure and types</t>
        </is>
      </c>
      <c r="AD8" s="18" t="inlineStr">
        <is>
          <t>Row vs column: a row is one record, a column is one field across all records.</t>
        </is>
      </c>
      <c r="AE8" s="18" t="inlineStr">
        <is>
          <t>Do not put unrelated data into one giant table.</t>
        </is>
      </c>
      <c r="AF8" s="18" t="inlineStr">
        <is>
          <t>Columns are fields, rows are records.</t>
        </is>
      </c>
      <c r="AG8" s="18" t="inlineStr">
        <is>
          <t>Designing tables for students, lessons and progress in a learning app.</t>
        </is>
      </c>
      <c r="AH8" s="18" t="inlineStr">
        <is>
          <t>An interviewer may ask: What is the difference between a row and a column?</t>
        </is>
      </c>
      <c r="AI8" s="18" t="inlineStr">
        <is>
          <t>It is like a spreadsheet with strict column types.</t>
        </is>
      </c>
      <c r="AJ8" s="18" t="inlineStr">
        <is>
          <t>What does one row in a table represent?</t>
        </is>
      </c>
      <c r="AK8" s="18" t="inlineStr">
        <is>
          <t>A) One field name B) One database C) One record D) One user key</t>
        </is>
      </c>
      <c r="AL8" s="18" t="inlineStr">
        <is>
          <t>C</t>
        </is>
      </c>
      <c r="AM8" s="18" t="inlineStr">
        <is>
          <t>A row stores one complete record.</t>
        </is>
      </c>
      <c r="AN8" s="18" t="inlineStr">
        <is>
          <t>Each ____ in a table has a name and a data type → column</t>
        </is>
      </c>
      <c r="AO8" s="18" t="inlineStr">
        <is>
          <t>How would you store tasks with a title and a done status? → Make a todos table with a title column and a done column</t>
        </is>
      </c>
      <c r="AP8" s="18" t="inlineStr">
        <is>
          <t>Explain tables, rows and columns in three lines.</t>
        </is>
      </c>
      <c r="AQ8" s="18" t="inlineStr">
        <is>
          <t>Sketch a table for a library with five columns.</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94.5" customHeight="1">
      <c r="A9" s="17" t="inlineStr">
        <is>
          <t>SUP-008</t>
        </is>
      </c>
      <c r="B9" s="17" t="inlineStr">
        <is>
          <t>02 Database</t>
        </is>
      </c>
      <c r="C9" s="17" t="inlineStr">
        <is>
          <t>Beginner</t>
        </is>
      </c>
      <c r="D9" s="17" t="n">
        <v>8</v>
      </c>
      <c r="E9" s="17" t="inlineStr">
        <is>
          <t>Claude knowledge</t>
        </is>
      </c>
      <c r="F9" s="18" t="inlineStr">
        <is>
          <t>Common Postgres data types</t>
        </is>
      </c>
      <c r="G9" s="18" t="inlineStr">
        <is>
          <t>Which types such as text, integer, boolean, timestamptz, uuid and jsonb decide what each column may hold?</t>
        </is>
      </c>
      <c r="H9" s="18" t="inlineStr">
        <is>
          <t>Database concept</t>
        </is>
      </c>
      <c r="I9" s="18" t="inlineStr">
        <is>
          <t>Very high</t>
        </is>
      </c>
      <c r="J9" s="18" t="n">
        <v>4</v>
      </c>
      <c r="K9" s="18" t="inlineStr">
        <is>
          <t>A database must know whether a column holds words, numbers or times so it can store them efficiently and compare them correctly.</t>
        </is>
      </c>
      <c r="L9" s="18" t="inlineStr">
        <is>
          <t>Use timestamptz for times so they carry a timezone, and uuid for ids that must be hard to guess.</t>
        </is>
      </c>
      <c r="M9" s="18" t="inlineStr">
        <is>
          <t>Data types are the labelled shelves in a store, each built for one kind of goods.</t>
        </is>
      </c>
      <c r="N9" s="18" t="inlineStr">
        <is>
          <t>Shelves labelled text, number, date and true or false.</t>
        </is>
      </c>
      <c r="O9" s="18" t="inlineStr">
        <is>
          <t>The relief of a database that rejects bad values early.</t>
        </is>
      </c>
      <c r="P9" s="18" t="inlineStr">
        <is>
          <t>A data type defines the kind of value a column accepts, such as text, whole numbers, true or false, dates with time zones, unique ids or JSON.</t>
        </is>
      </c>
      <c r="Q9" s="17" t="n"/>
      <c r="R9" s="18" t="inlineStr">
        <is>
          <t>Common types are text for words, integer and bigint for whole numbers, numeric for exact decimals, boolean for true or false, timestamptz for date and time with timezone, uuid for unique identifiers, and jsonb for flexible JSON data. Choosing the right type enables sorting, maths and validation.</t>
        </is>
      </c>
      <c r="S9" s="18" t="inlineStr">
        <is>
          <t>Pick a type for each column so Postgres knows what it holds. Words go in text, yes or no in boolean, and time in timestamptz.</t>
        </is>
      </c>
      <c r="T9" s="18" t="inlineStr">
        <is>
          <t>Types are shelves in a store, each built for one kind of goods.</t>
        </is>
      </c>
      <c r="U9" s="18" t="inlineStr">
        <is>
          <t>words = text, whole numbers = integer, yes or no = boolean, date and time = timestamptz, unique id = uuid, flexible data = jsonb</t>
        </is>
      </c>
      <c r="V9" s="18" t="inlineStr">
        <is>
          <t>A title column of type text.</t>
        </is>
      </c>
      <c r="W9" s="18" t="inlineStr">
        <is>
          <t>A created_at column of type timestamptz.</t>
        </is>
      </c>
      <c r="X9" s="18" t="inlineStr">
        <is>
          <t>A settings column of type jsonb that stores a JSON object.</t>
        </is>
      </c>
      <c r="Y9" s="18" t="inlineStr">
        <is>
          <t>tables and columns, primary key, constraints</t>
        </is>
      </c>
      <c r="Z9" s="18" t="inlineStr">
        <is>
          <t>text, integer, boolean, timestamptz, uuid, jsonb</t>
        </is>
      </c>
      <c r="AA9" s="18" t="inlineStr">
        <is>
          <t>Creating tables | Validating data | Choosing ids</t>
        </is>
      </c>
      <c r="AB9" s="18" t="inlineStr">
        <is>
          <t>A: Which type should I use for created time? | B: Use timestamptz so the time keeps its timezone.</t>
        </is>
      </c>
      <c r="AC9" s="18" t="inlineStr">
        <is>
          <t>✗ Storing every value as text is simpler and just as good → ✓ Proper types allow correct sorting, maths and validation, and save space</t>
        </is>
      </c>
      <c r="AD9" s="18" t="inlineStr">
        <is>
          <t>timestamp vs timestamptz: timestamptz keeps timezone information, plain timestamp does not.</t>
        </is>
      </c>
      <c r="AE9" s="18" t="inlineStr">
        <is>
          <t>Do not store dates as text.</t>
        </is>
      </c>
      <c r="AF9" s="18" t="inlineStr">
        <is>
          <t>Pick the type that fits the value.</t>
        </is>
      </c>
      <c r="AG9" s="18" t="inlineStr">
        <is>
          <t>Using uuid for user ids, timestamptz for times and jsonb for flexible settings.</t>
        </is>
      </c>
      <c r="AH9" s="18" t="inlineStr">
        <is>
          <t>An interviewer may ask: When would you use jsonb in Postgres?</t>
        </is>
      </c>
      <c r="AI9" s="18" t="inlineStr">
        <is>
          <t>It is like shelves in a store, each built for one kind of goods.</t>
        </is>
      </c>
      <c r="AJ9" s="18" t="inlineStr">
        <is>
          <t>Which type is best for a yes or no column?</t>
        </is>
      </c>
      <c r="AK9" s="18" t="inlineStr">
        <is>
          <t>A) uuid B) text C) jsonb D) boolean</t>
        </is>
      </c>
      <c r="AL9" s="18" t="inlineStr">
        <is>
          <t>D</t>
        </is>
      </c>
      <c r="AM9" s="18" t="inlineStr">
        <is>
          <t>boolean stores true or false.</t>
        </is>
      </c>
      <c r="AN9" s="18" t="inlineStr">
        <is>
          <t>A column holding unique identifiers often uses the ____ type → uuid</t>
        </is>
      </c>
      <c r="AO9" s="18" t="inlineStr">
        <is>
          <t>Which type fits a date and time with timezone? → timestamptz</t>
        </is>
      </c>
      <c r="AP9" s="18" t="inlineStr">
        <is>
          <t>Explain data types in three lines.</t>
        </is>
      </c>
      <c r="AQ9" s="18" t="inlineStr">
        <is>
          <t>Choose a type for each column of a table for events.</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81" customHeight="1">
      <c r="A10" s="17" t="inlineStr">
        <is>
          <t>SUP-009</t>
        </is>
      </c>
      <c r="B10" s="17" t="inlineStr">
        <is>
          <t>02 Database</t>
        </is>
      </c>
      <c r="C10" s="17" t="inlineStr">
        <is>
          <t>Beginner</t>
        </is>
      </c>
      <c r="D10" s="17" t="n">
        <v>9</v>
      </c>
      <c r="E10" s="17" t="inlineStr">
        <is>
          <t>Claude knowledge</t>
        </is>
      </c>
      <c r="F10" s="18" t="inlineStr">
        <is>
          <t>Primary key and foreign key</t>
        </is>
      </c>
      <c r="G10" s="18" t="inlineStr">
        <is>
          <t>Which column uniquely identifies each row, and which column points to a row in another table?</t>
        </is>
      </c>
      <c r="H10" s="18" t="inlineStr">
        <is>
          <t>Database concept</t>
        </is>
      </c>
      <c r="I10" s="18" t="inlineStr">
        <is>
          <t>Very high</t>
        </is>
      </c>
      <c r="J10" s="18" t="n">
        <v>5</v>
      </c>
      <c r="K10" s="18" t="inlineStr">
        <is>
          <t>Rows need unique identities and tables need reliable links, so relational databases use primary keys to identify rows and foreign keys to connect them.</t>
        </is>
      </c>
      <c r="L10" s="18" t="inlineStr">
        <is>
          <t>Give every table a primary key, and add a foreign key wherever one table refers to another.</t>
        </is>
      </c>
      <c r="M10" s="18" t="inlineStr">
        <is>
          <t>A primary key is a person's national ID number, and a foreign key is that number written on another form to refer to them.</t>
        </is>
      </c>
      <c r="N10" s="18" t="inlineStr">
        <is>
          <t>One table with an id column and another with a column linking back to it by a line.</t>
        </is>
      </c>
      <c r="O10" s="18" t="inlineStr">
        <is>
          <t>The confidence of data that cannot point to something missing.</t>
        </is>
      </c>
      <c r="P10" s="18" t="inlineStr">
        <is>
          <t>A primary key is a column whose value uniquely identifies each row, and a foreign key is a column that refers to the primary key of another table.</t>
        </is>
      </c>
      <c r="Q10" s="17" t="n"/>
      <c r="R10" s="18" t="inlineStr">
        <is>
          <t>A primary key must be unique and not null. A foreign key enforces that the referenced row exists, so you cannot add a todo for a user that is not in the table. You can choose what happens on delete, such as cascade, which removes dependent rows, or restrict.</t>
        </is>
      </c>
      <c r="S10" s="18" t="inlineStr">
        <is>
          <t>The primary key names each row. A foreign key says which row of another table this one belongs to, and the database keeps that link valid.</t>
        </is>
      </c>
      <c r="T10" s="18" t="inlineStr">
        <is>
          <t>A primary key is a national ID number, and a foreign key is that number written on another form.</t>
        </is>
      </c>
      <c r="U10" s="18" t="inlineStr">
        <is>
          <t>todos.user_id (foreign key) → profiles.id (primary key)</t>
        </is>
      </c>
      <c r="V10" s="18" t="inlineStr">
        <is>
          <t>profiles.id as the primary key of the profiles table.</t>
        </is>
      </c>
      <c r="W10" s="18" t="inlineStr">
        <is>
          <t>todos.user_id referencing profiles.id.</t>
        </is>
      </c>
      <c r="X10" s="18" t="inlineStr">
        <is>
          <t>A foreign key with on delete cascade that removes a user's todos when the user is deleted.</t>
        </is>
      </c>
      <c r="Y10" s="18" t="inlineStr">
        <is>
          <t>tables and columns, joins, constraints, Auth users</t>
        </is>
      </c>
      <c r="Z10" s="18" t="inlineStr">
        <is>
          <t>primary key, foreign key, reference, cascade, constraint</t>
        </is>
      </c>
      <c r="AA10" s="18" t="inlineStr">
        <is>
          <t>Data modelling | Joins | Integrity rules</t>
        </is>
      </c>
      <c r="AB10" s="18" t="inlineStr">
        <is>
          <t>A: Can a todo exist for a user that does not exist? | B: Not with a foreign key, since the database checks the user exists.</t>
        </is>
      </c>
      <c r="AC10" s="18" t="inlineStr">
        <is>
          <t>✗ A foreign key only labels the relationship and does not enforce it → ✓ A foreign key makes the database reject rows that refer to a missing row</t>
        </is>
      </c>
      <c r="AD10" s="18" t="inlineStr">
        <is>
          <t>Primary vs foreign key: the primary key identifies a row, the foreign key refers to another table's row.</t>
        </is>
      </c>
      <c r="AE10" s="18" t="inlineStr">
        <is>
          <t>Do not leave out foreign keys when tables are clearly related.</t>
        </is>
      </c>
      <c r="AF10" s="18" t="inlineStr">
        <is>
          <t>A primary key identifies and a foreign key refers.</t>
        </is>
      </c>
      <c r="AG10" s="18" t="inlineStr">
        <is>
          <t>Linking each lesson row to its course through a foreign key.</t>
        </is>
      </c>
      <c r="AH10" s="18" t="inlineStr">
        <is>
          <t>An interviewer may ask: What happens if you delete a row that other rows reference?</t>
        </is>
      </c>
      <c r="AI10" s="18" t="inlineStr">
        <is>
          <t>It is like an ID number written on another form to refer to a person.</t>
        </is>
      </c>
      <c r="AJ10" s="18" t="inlineStr">
        <is>
          <t>Which key refers to a row in another table?</t>
        </is>
      </c>
      <c r="AK10" s="18" t="inlineStr">
        <is>
          <t>A) Anon key B) Service key C) Foreign key D) Primary key</t>
        </is>
      </c>
      <c r="AL10" s="18" t="inlineStr">
        <is>
          <t>C</t>
        </is>
      </c>
      <c r="AM10" s="18" t="inlineStr">
        <is>
          <t>A foreign key points to the primary key of another table.</t>
        </is>
      </c>
      <c r="AN10" s="18" t="inlineStr">
        <is>
          <t>A column that uniquely identifies each row is the ____ key → primary</t>
        </is>
      </c>
      <c r="AO10" s="18" t="inlineStr">
        <is>
          <t>How do you stop todos from pointing to missing users? → Add a foreign key to the users or profiles table</t>
        </is>
      </c>
      <c r="AP10" s="18" t="inlineStr">
        <is>
          <t>Explain primary and foreign keys in three lines.</t>
        </is>
      </c>
      <c r="AQ10" s="18" t="inlineStr">
        <is>
          <t>Design the keys for tables of courses and lessons.</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108" customHeight="1">
      <c r="A11" s="17" t="inlineStr">
        <is>
          <t>SUP-015</t>
        </is>
      </c>
      <c r="B11" s="17" t="inlineStr">
        <is>
          <t>03 API and client</t>
        </is>
      </c>
      <c r="C11" s="17" t="inlineStr">
        <is>
          <t>Beginner</t>
        </is>
      </c>
      <c r="D11" s="17" t="n">
        <v>15</v>
      </c>
      <c r="E11" s="17" t="inlineStr">
        <is>
          <t>Claude knowledge</t>
        </is>
      </c>
      <c r="F11" s="18" t="inlineStr">
        <is>
          <t>Auto-generated REST API (PostgREST)</t>
        </is>
      </c>
      <c r="G11" s="18" t="inlineStr">
        <is>
          <t>Which Supabase component turns your tables into ready-to-use HTTP endpoints without any backend code?</t>
        </is>
      </c>
      <c r="H11" s="18" t="inlineStr">
        <is>
          <t>API concept</t>
        </is>
      </c>
      <c r="I11" s="18" t="inlineStr">
        <is>
          <t>Very high</t>
        </is>
      </c>
      <c r="J11" s="18" t="n">
        <v>5</v>
      </c>
      <c r="K11" s="18" t="inlineStr">
        <is>
          <t>Writing endpoints for every table is repetitive, so Supabase uses PostgREST to build a REST API directly from the database structure.</t>
        </is>
      </c>
      <c r="L11" s="18" t="inlineStr">
        <is>
          <t>Use the client library for normal work, and remember the same API can be called with plain HTTP when needed.</t>
        </is>
      </c>
      <c r="M11" s="18" t="inlineStr">
        <is>
          <t>PostgREST is a translator that turns every table into an address you can call over the web.</t>
        </is>
      </c>
      <c r="N11" s="18" t="inlineStr">
        <is>
          <t>A table on one side and a matching URL path with GET and POST arrows on the other.</t>
        </is>
      </c>
      <c r="O11" s="18" t="inlineStr">
        <is>
          <t>The delight of an API appearing the moment a table exists.</t>
        </is>
      </c>
      <c r="P11" s="18" t="inlineStr">
        <is>
          <t>PostgREST is the service that automatically exposes your Postgres tables and views as a REST API, with access controlled by database roles and Row Level Security.</t>
        </is>
      </c>
      <c r="Q11" s="17" t="n"/>
      <c r="R11" s="18" t="inlineStr">
        <is>
          <t>A table named todos becomes available at a path such as /rest/v1/todos. GET reads rows, POST inserts, PATCH updates and DELETE removes, and query parameters filter and sort. Requests are made as a database role, so RLS policies decide which rows are visible. The supabase-js library builds these calls for you.</t>
        </is>
      </c>
      <c r="S11" s="18" t="inlineStr">
        <is>
          <t>Make a table and the API exists. You read and write it with normal HTTP calls or with supabase-js, and the database rules decide who can see what.</t>
        </is>
      </c>
      <c r="T11" s="18" t="inlineStr">
        <is>
          <t>It is like a translator that turns every table into a web address.</t>
        </is>
      </c>
      <c r="U11" s="18" t="inlineStr">
        <is>
          <t>Table → /rest/v1/table_name → GET, POST, PATCH, DELETE</t>
        </is>
      </c>
      <c r="V11" s="18" t="inlineStr">
        <is>
          <t>GET /rest/v1/todos returns the rows of the todos table.</t>
        </is>
      </c>
      <c r="W11" s="18" t="inlineStr">
        <is>
          <t>POST /rest/v1/todos with a JSON body inserts a row.</t>
        </is>
      </c>
      <c r="X11" s="18" t="inlineStr">
        <is>
          <t>GET /rest/v1/todos?done=eq.false filters the rows.</t>
        </is>
      </c>
      <c r="Y11" s="18" t="inlineStr">
        <is>
          <t>supabase-js, Row Level Security, REST, filters</t>
        </is>
      </c>
      <c r="Z11" s="18" t="inlineStr">
        <is>
          <t>PostgREST, REST, endpoint, role, schema</t>
        </is>
      </c>
      <c r="AA11" s="18" t="inlineStr">
        <is>
          <t>Every Supabase app | Quick prototypes | Mobile and web clients</t>
        </is>
      </c>
      <c r="AB11" s="18" t="inlineStr">
        <is>
          <t>A: Do I need to write endpoints for my tables? | B: No, Supabase generates the REST API from your tables automatically.</t>
        </is>
      </c>
      <c r="AC11" s="18" t="inlineStr">
        <is>
          <t>✗ The auto API is open to everyone once a table exists → ✓ Access is controlled by database roles and Row Level Security, so enable RLS on exposed tables</t>
        </is>
      </c>
      <c r="AD11" s="18" t="inlineStr">
        <is>
          <t>PostgREST vs a custom backend: PostgREST exposes tables with rules in the database, a custom backend codes every endpoint.</t>
        </is>
      </c>
      <c r="AE11" s="18" t="inlineStr">
        <is>
          <t>Do not expose a table to the API without RLS.</t>
        </is>
      </c>
      <c r="AF11" s="18" t="inlineStr">
        <is>
          <t>A table becomes an endpoint.</t>
        </is>
      </c>
      <c r="AG11" s="18" t="inlineStr">
        <is>
          <t>Reading and writing tasks from a web app with no custom server code.</t>
        </is>
      </c>
      <c r="AH11" s="18" t="inlineStr">
        <is>
          <t>An interviewer may ask: How does Supabase provide an API for your tables?</t>
        </is>
      </c>
      <c r="AI11" s="18" t="inlineStr">
        <is>
          <t>It is like a translator turning tables into web addresses.</t>
        </is>
      </c>
      <c r="AJ11" s="18" t="inlineStr">
        <is>
          <t>What makes the REST API of a Supabase project?</t>
        </is>
      </c>
      <c r="AK11" s="18" t="inlineStr">
        <is>
          <t>A) PostgREST B) CSS C) Excel D) Docker only</t>
        </is>
      </c>
      <c r="AL11" s="18" t="inlineStr">
        <is>
          <t>A</t>
        </is>
      </c>
      <c r="AM11" s="18" t="inlineStr">
        <is>
          <t>PostgREST generates the REST API from your Postgres schema.</t>
        </is>
      </c>
      <c r="AN11" s="18" t="inlineStr">
        <is>
          <t>A GET request on a table's endpoint ____ its rows → reads</t>
        </is>
      </c>
      <c r="AO11" s="18" t="inlineStr">
        <is>
          <t>How do you stop strangers reading a table through the API? → Enable Row Level Security with suitable policies</t>
        </is>
      </c>
      <c r="AP11" s="18" t="inlineStr">
        <is>
          <t>Explain the automatic REST API in three lines.</t>
        </is>
      </c>
      <c r="AQ11" s="18" t="inlineStr">
        <is>
          <t>Write the HTTP calls you would use to list and create tasks.</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108" customHeight="1">
      <c r="A12" s="17" t="inlineStr">
        <is>
          <t>SUP-022</t>
        </is>
      </c>
      <c r="B12" s="17" t="inlineStr">
        <is>
          <t>04 Auth</t>
        </is>
      </c>
      <c r="C12" s="17" t="inlineStr">
        <is>
          <t>Beginner</t>
        </is>
      </c>
      <c r="D12" s="17" t="n">
        <v>22</v>
      </c>
      <c r="E12" s="17" t="inlineStr">
        <is>
          <t>Claude knowledge</t>
        </is>
      </c>
      <c r="F12" s="18" t="inlineStr">
        <is>
          <t>Supabase Auth</t>
        </is>
      </c>
      <c r="G12" s="18" t="inlineStr">
        <is>
          <t>Which built-in Supabase service handles sign-up, login, passwords, social providers and user accounts?</t>
        </is>
      </c>
      <c r="H12" s="18" t="inlineStr">
        <is>
          <t>Authentication</t>
        </is>
      </c>
      <c r="I12" s="18" t="inlineStr">
        <is>
          <t>Very high</t>
        </is>
      </c>
      <c r="J12" s="18" t="n">
        <v>5</v>
      </c>
      <c r="K12" s="18" t="inlineStr">
        <is>
          <t>Almost every app needs accounts, and building secure login yourself is hard to get right, so Supabase includes an authentication service that is tied directly to the database.</t>
        </is>
      </c>
      <c r="L12" s="18" t="inlineStr">
        <is>
          <t>Users are stored in the auth.users table, so link your own profiles table to it by id.</t>
        </is>
      </c>
      <c r="M12" s="18" t="inlineStr">
        <is>
          <t>Supabase Auth is the front-desk security that checks identities and hands out passes to the rest of the building.</t>
        </is>
      </c>
      <c r="N12" s="18" t="inlineStr">
        <is>
          <t>A login form connected to a users table and a pass being handed to the app.</t>
        </is>
      </c>
      <c r="O12" s="18" t="inlineStr">
        <is>
          <t>The relief of not building password handling from scratch.</t>
        </is>
      </c>
      <c r="P12" s="18" t="inlineStr">
        <is>
          <t>Supabase Auth is the service that registers users, verifies their identity by password, magic link or social provider, and issues tokens that the database and API trust.</t>
        </is>
      </c>
      <c r="Q12" s="17" t="n"/>
      <c r="R12" s="18" t="inlineStr">
        <is>
          <t>Users are stored in a protected auth.users table. After login, the client holds a session with an access token (a JWT) and a refresh token. The database reads the token to know who is calling, which is what lets Row Level Security policies use auth.uid(). You can enable providers and email settings in the dashboard.</t>
        </is>
      </c>
      <c r="S12" s="18" t="inlineStr">
        <is>
          <t>Auth creates and checks user accounts for you. After login your app holds a token, and the database uses it to know which user is asking.</t>
        </is>
      </c>
      <c r="T12" s="18" t="inlineStr">
        <is>
          <t>It is like front-desk security that checks identities and hands out passes to the rest of the building.</t>
        </is>
      </c>
      <c r="U12" s="18" t="inlineStr">
        <is>
          <t>Sign up or log in → session with a token → database knows auth.uid()</t>
        </is>
      </c>
      <c r="V12" s="18" t="inlineStr">
        <is>
          <t>A user signing up with email and password.</t>
        </is>
      </c>
      <c r="W12" s="18" t="inlineStr">
        <is>
          <t>A user logging in with a GitHub account.</t>
        </is>
      </c>
      <c r="X12" s="18" t="inlineStr">
        <is>
          <t>A profiles table whose id equals the user's id in auth.users.</t>
        </is>
      </c>
      <c r="Y12" s="18" t="inlineStr">
        <is>
          <t>sessions and JWT, Row Level Security, OAuth, magic links</t>
        </is>
      </c>
      <c r="Z12" s="18" t="inlineStr">
        <is>
          <t>auth.users, session, token, provider, JWT</t>
        </is>
      </c>
      <c r="AA12" s="18" t="inlineStr">
        <is>
          <t>Any app with accounts | Per-user data | Social login</t>
        </is>
      </c>
      <c r="AB12" s="18" t="inlineStr">
        <is>
          <t>A: Where are my users stored? | B: In the auth.users table, and you link your profiles table to it.</t>
        </is>
      </c>
      <c r="AC12" s="18" t="inlineStr">
        <is>
          <t>✗ I should store passwords in my own table → ✓ Supabase Auth stores and hashes credentials for you in auth.users, and your tables should only reference the user id</t>
        </is>
      </c>
      <c r="AD12" s="18" t="inlineStr">
        <is>
          <t>auth.users vs profiles: auth.users holds account and login data, your profiles table holds app-specific details.</t>
        </is>
      </c>
      <c r="AE12" s="18" t="inlineStr">
        <is>
          <t>Do not copy passwords or secrets into your own tables.</t>
        </is>
      </c>
      <c r="AF12" s="18" t="inlineStr">
        <is>
          <t>Auth gives each user an id, link to it.</t>
        </is>
      </c>
      <c r="AG12" s="18" t="inlineStr">
        <is>
          <t>Creating a profiles table linked to auth.users for each learner.</t>
        </is>
      </c>
      <c r="AH12" s="18" t="inlineStr">
        <is>
          <t>An interviewer may ask: How does Supabase know which user is making a request?</t>
        </is>
      </c>
      <c r="AI12" s="18" t="inlineStr">
        <is>
          <t>It is like front-desk security handing out passes.</t>
        </is>
      </c>
      <c r="AJ12" s="18" t="inlineStr">
        <is>
          <t>Where does Supabase store registered users?</t>
        </is>
      </c>
      <c r="AK12" s="18" t="inlineStr">
        <is>
          <t>A) public.profiles only B) todos C) storage.objects D) auth.users</t>
        </is>
      </c>
      <c r="AL12" s="18" t="inlineStr">
        <is>
          <t>D</t>
        </is>
      </c>
      <c r="AM12" s="18" t="inlineStr">
        <is>
          <t>The auth schema holds the users table managed by Supabase Auth.</t>
        </is>
      </c>
      <c r="AN12" s="18" t="inlineStr">
        <is>
          <t>After login, the client holds a session containing an access ____ → token</t>
        </is>
      </c>
      <c r="AO12" s="18" t="inlineStr">
        <is>
          <t>How do you store extra details about each user? → Create a profiles table linked to the user's id</t>
        </is>
      </c>
      <c r="AP12" s="18" t="inlineStr">
        <is>
          <t>Explain Supabase Auth in three lines.</t>
        </is>
      </c>
      <c r="AQ12" s="18" t="inlineStr">
        <is>
          <t>Design a profiles table that links to auth.users.</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108" customHeight="1">
      <c r="A13" s="17" t="inlineStr">
        <is>
          <t>SUP-026</t>
        </is>
      </c>
      <c r="B13" s="17" t="inlineStr">
        <is>
          <t>04 Auth</t>
        </is>
      </c>
      <c r="C13" s="17" t="inlineStr">
        <is>
          <t>Intermediate</t>
        </is>
      </c>
      <c r="D13" s="17" t="n">
        <v>26</v>
      </c>
      <c r="E13" s="17" t="inlineStr">
        <is>
          <t>Claude knowledge</t>
        </is>
      </c>
      <c r="F13" s="18" t="inlineStr">
        <is>
          <t>Sessions and JWT in Supabase</t>
        </is>
      </c>
      <c r="G13" s="18" t="inlineStr">
        <is>
          <t>What does the client hold after login that proves who the user is on each request, and why does it expire?</t>
        </is>
      </c>
      <c r="H13" s="18" t="inlineStr">
        <is>
          <t>Authentication concept</t>
        </is>
      </c>
      <c r="I13" s="18" t="inlineStr">
        <is>
          <t>High</t>
        </is>
      </c>
      <c r="J13" s="18" t="n">
        <v>4</v>
      </c>
      <c r="K13" s="18" t="inlineStr">
        <is>
          <t>The database needs proof of identity on every call, so Supabase gives each logged-in user a signed, short-lived token and a refresh token to renew it.</t>
        </is>
      </c>
      <c r="L13" s="18" t="inlineStr">
        <is>
          <t>Let the client library refresh sessions for you, and avoid storing tokens by hand.</t>
        </is>
      </c>
      <c r="M13" s="18" t="inlineStr">
        <is>
          <t>The session is a wristband that expires, and the refresh token is how you get a new one without queuing again.</t>
        </is>
      </c>
      <c r="N13" s="18" t="inlineStr">
        <is>
          <t>A session object holding a short-lived token and a longer-lived refresh token.</t>
        </is>
      </c>
      <c r="O13" s="18" t="inlineStr">
        <is>
          <t>The understanding that explains why login seems to last.</t>
        </is>
      </c>
      <c r="P13" s="18" t="inlineStr">
        <is>
          <t>A session holds an access token (a signed JWT) that proves the user's identity, and a refresh token used to get new access tokens when the old one expires.</t>
        </is>
      </c>
      <c r="Q13" s="17" t="n"/>
      <c r="R13" s="18" t="inlineStr">
        <is>
          <t>The JWT contains claims such as the user id (sub) and role, and an expiry time. Supabase sends it with each request, and the database reads it to apply Row Level Security through auth.uid(). Access tokens are short-lived, often around an hour by default, and the library refreshes them automatically using the refresh token.</t>
        </is>
      </c>
      <c r="S13" s="18" t="inlineStr">
        <is>
          <t>After login you hold a session. Its token tells the database who you are, expires soon, and is renewed automatically with the refresh token.</t>
        </is>
      </c>
      <c r="T13" s="18" t="inlineStr">
        <is>
          <t>The session is an event wristband that expires, and the refresh token gets you a new one without queuing again.</t>
        </is>
      </c>
      <c r="U13" s="18" t="inlineStr">
        <is>
          <t>Session = access token (JWT) + refresh token</t>
        </is>
      </c>
      <c r="V13" s="18" t="inlineStr">
        <is>
          <t>A token whose sub claim is the user's id.</t>
        </is>
      </c>
      <c r="W13" s="18" t="inlineStr">
        <is>
          <t>The library renewing the token before it expires.</t>
        </is>
      </c>
      <c r="X13" s="18" t="inlineStr">
        <is>
          <t>A policy using auth.uid(), which is read from the token.</t>
        </is>
      </c>
      <c r="Y13" s="18" t="inlineStr">
        <is>
          <t>JWT, Row Level Security, getUser vs getSession</t>
        </is>
      </c>
      <c r="Z13" s="18" t="inlineStr">
        <is>
          <t>session, access token, refresh token, JWT, expiry</t>
        </is>
      </c>
      <c r="AA13" s="18" t="inlineStr">
        <is>
          <t>Every logged-in request | RLS policies | Mobile and web apps</t>
        </is>
      </c>
      <c r="AB13" s="18" t="inlineStr">
        <is>
          <t>A: Why does the user stay logged in after an hour? | B: The library refreshes the access token with the refresh token.</t>
        </is>
      </c>
      <c r="AC13" s="18" t="inlineStr">
        <is>
          <t>✗ The access token never expires once the user logs in → ✓ Access tokens are short-lived and are renewed with the refresh token</t>
        </is>
      </c>
      <c r="AD13" s="18" t="inlineStr">
        <is>
          <t>Access token vs refresh token: the access token proves identity on requests, the refresh token only gets new access tokens.</t>
        </is>
      </c>
      <c r="AE13" s="18" t="inlineStr">
        <is>
          <t>Do not store or log tokens carelessly.</t>
        </is>
      </c>
      <c r="AF13" s="18" t="inlineStr">
        <is>
          <t>The token expires, the refresh renews.</t>
        </is>
      </c>
      <c r="AG13" s="18" t="inlineStr">
        <is>
          <t>Relying on the client library to keep sessions fresh in a long-running app.</t>
        </is>
      </c>
      <c r="AH13" s="18" t="inlineStr">
        <is>
          <t>An interviewer may ask: How does the database know who is making a request?</t>
        </is>
      </c>
      <c r="AI13" s="18" t="inlineStr">
        <is>
          <t>It is like an event wristband that expires.</t>
        </is>
      </c>
      <c r="AJ13" s="18" t="inlineStr">
        <is>
          <t>What do policies read to know the current user?</t>
        </is>
      </c>
      <c r="AK13" s="18" t="inlineStr">
        <is>
          <t>A) The index B) The table name C) The browser theme D) The JWT claims through auth.uid()</t>
        </is>
      </c>
      <c r="AL13" s="18" t="inlineStr">
        <is>
          <t>D</t>
        </is>
      </c>
      <c r="AM13" s="18" t="inlineStr">
        <is>
          <t>auth.uid() reads the user id from the token.</t>
        </is>
      </c>
      <c r="AN13" s="18" t="inlineStr">
        <is>
          <t>A short-lived signed token is called a ____ → JWT</t>
        </is>
      </c>
      <c r="AO13" s="18" t="inlineStr">
        <is>
          <t>Why does a session need a refresh token? → To get new access tokens when the old one expires</t>
        </is>
      </c>
      <c r="AP13" s="18" t="inlineStr">
        <is>
          <t>Explain a session and its tokens in three lines.</t>
        </is>
      </c>
      <c r="AQ13" s="18" t="inlineStr">
        <is>
          <t>Write what happens from login to token refresh.</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108" customHeight="1">
      <c r="A14" s="17" t="inlineStr">
        <is>
          <t>SUP-027</t>
        </is>
      </c>
      <c r="B14" s="17" t="inlineStr">
        <is>
          <t>04 Auth</t>
        </is>
      </c>
      <c r="C14" s="17" t="inlineStr">
        <is>
          <t>Advanced</t>
        </is>
      </c>
      <c r="D14" s="17" t="n">
        <v>27</v>
      </c>
      <c r="E14" s="17" t="inlineStr">
        <is>
          <t>Claude knowledge</t>
        </is>
      </c>
      <c r="F14" s="18" t="inlineStr">
        <is>
          <t>getUser vs getSession</t>
        </is>
      </c>
      <c r="G14" s="18" t="inlineStr">
        <is>
          <t>Which two calls read the current user, and which one should server code trust because it checks the token with the Auth server?</t>
        </is>
      </c>
      <c r="H14" s="18" t="inlineStr">
        <is>
          <t>Authentication concept</t>
        </is>
      </c>
      <c r="I14" s="18" t="inlineStr">
        <is>
          <t>High</t>
        </is>
      </c>
      <c r="J14" s="18" t="n">
        <v>5</v>
      </c>
      <c r="K14" s="18" t="inlineStr">
        <is>
          <t>A session read from cookies or storage can be forged or stale, so server code needs a call that verifies the token with the Auth service.</t>
        </is>
      </c>
      <c r="L14" s="18" t="inlineStr">
        <is>
          <t>In server code, use getUser to verify the user, and use getSession only for non-security purposes.</t>
        </is>
      </c>
      <c r="M14" s="18" t="inlineStr">
        <is>
          <t>getSession reads the wristband, and getUser asks the front desk whether the wristband is real.</t>
        </is>
      </c>
      <c r="N14" s="18" t="inlineStr">
        <is>
          <t>One arrow reading local storage and another asking the Auth server for confirmation.</t>
        </is>
      </c>
      <c r="O14" s="18" t="inlineStr">
        <is>
          <t>The reassurance of verifying instead of assuming.</t>
        </is>
      </c>
      <c r="P14" s="18" t="inlineStr">
        <is>
          <t>getSession returns the session stored on the client or in cookies without checking it, while getUser sends the token to the Auth server and returns the verified user.</t>
        </is>
      </c>
      <c r="Q14" s="17" t="n"/>
      <c r="R14" s="18" t="inlineStr">
        <is>
          <t>In the browser, getSession is convenient for reading what the library holds. On the server, the cookie data comes from the request and could be tampered with, so authorisation decisions should use getUser, which validates the token. Recent library versions even warn when you use session data on the server without verification.</t>
        </is>
      </c>
      <c r="S14" s="18" t="inlineStr">
        <is>
          <t>Use getUser on the server whenever you decide what a user may do. getSession only reads what is stored and does not prove it is genuine.</t>
        </is>
      </c>
      <c r="T14" s="18" t="inlineStr">
        <is>
          <t>getSession reads the wristband, and getUser asks the front desk whether the wristband is real.</t>
        </is>
      </c>
      <c r="U14" s="18" t="inlineStr">
        <is>
          <t>Server decisions → getUser (verified). Client display → getSession is fine.</t>
        </is>
      </c>
      <c r="V14" s="18" t="inlineStr">
        <is>
          <t>A server route calling await supabase.auth.getUser() before returning private data.</t>
        </is>
      </c>
      <c r="W14" s="18" t="inlineStr">
        <is>
          <t>A client component reading the session to show the user's name.</t>
        </is>
      </c>
      <c r="X14" s="18" t="inlineStr">
        <is>
          <t>Middleware using getUser to refresh and verify the session.</t>
        </is>
      </c>
      <c r="Y14" s="18" t="inlineStr">
        <is>
          <t>sessions and JWT, server-side auth, Row Level Security</t>
        </is>
      </c>
      <c r="Z14" s="18" t="inlineStr">
        <is>
          <t>getUser, getSession, verify, cookies, server</t>
        </is>
      </c>
      <c r="AA14" s="18" t="inlineStr">
        <is>
          <t>Server routes | Middleware | Protected pages</t>
        </is>
      </c>
      <c r="AB14" s="18" t="inlineStr">
        <is>
          <t>A: Is it safe to trust getSession in my API route? | B: No, use getUser, which verifies the token with the Auth server.</t>
        </is>
      </c>
      <c r="AC14" s="18" t="inlineStr">
        <is>
          <t>✗ getSession on the server is as trustworthy as getUser → ✓ getSession does not verify the token on the server, so use getUser for security decisions</t>
        </is>
      </c>
      <c r="AD14" s="18" t="inlineStr">
        <is>
          <t>getUser vs getSession: getUser verifies with the Auth server, getSession only reads stored data.</t>
        </is>
      </c>
      <c r="AE14" s="18" t="inlineStr">
        <is>
          <t>Do not authorise server actions based on getSession alone.</t>
        </is>
      </c>
      <c r="AF14" s="18" t="inlineStr">
        <is>
          <t>On the server, always trust getUser.</t>
        </is>
      </c>
      <c r="AG14" s="18" t="inlineStr">
        <is>
          <t>Using getUser in middleware to protect private pages.</t>
        </is>
      </c>
      <c r="AH14" s="18" t="inlineStr">
        <is>
          <t>An interviewer may ask: Which call should you use to verify a user on the server?</t>
        </is>
      </c>
      <c r="AI14" s="18" t="inlineStr">
        <is>
          <t>It is like asking the front desk whether a wristband is real.</t>
        </is>
      </c>
      <c r="AJ14" s="18" t="inlineStr">
        <is>
          <t>Which call verifies the token with the Auth server?</t>
        </is>
      </c>
      <c r="AK14" s="18" t="inlineStr">
        <is>
          <t>A) getSession B) getUser C) signOut D) onAuthStateChange</t>
        </is>
      </c>
      <c r="AL14" s="18" t="inlineStr">
        <is>
          <t>B</t>
        </is>
      </c>
      <c r="AM14" s="18" t="inlineStr">
        <is>
          <t>getUser validates the token with the Auth service.</t>
        </is>
      </c>
      <c r="AN14" s="18" t="inlineStr">
        <is>
          <t>On the server, security decisions should use ____ → getUser</t>
        </is>
      </c>
      <c r="AO14" s="18" t="inlineStr">
        <is>
          <t>A server route returns private data. Which call should check the user? → getUser</t>
        </is>
      </c>
      <c r="AP14" s="18" t="inlineStr">
        <is>
          <t>Explain getUser and getSession in three lines.</t>
        </is>
      </c>
      <c r="AQ14" s="18" t="inlineStr">
        <is>
          <t>Write which call you would use in middleware and why.</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121.5" customHeight="1">
      <c r="A15" s="17" t="inlineStr">
        <is>
          <t>SUP-028</t>
        </is>
      </c>
      <c r="B15" s="17" t="inlineStr">
        <is>
          <t>04 Auth</t>
        </is>
      </c>
      <c r="C15" s="17" t="inlineStr">
        <is>
          <t>Advanced</t>
        </is>
      </c>
      <c r="D15" s="17" t="n">
        <v>28</v>
      </c>
      <c r="E15" s="17" t="inlineStr">
        <is>
          <t>Claude knowledge</t>
        </is>
      </c>
      <c r="F15" s="18" t="inlineStr">
        <is>
          <t>Server-side auth with cookies (@supabase/ssr)</t>
        </is>
      </c>
      <c r="G15" s="18" t="inlineStr">
        <is>
          <t>Which package helps frameworks with server rendering keep the Supabase session in cookies for both browser and server code?</t>
        </is>
      </c>
      <c r="H15" s="18" t="inlineStr">
        <is>
          <t>Authentication concept</t>
        </is>
      </c>
      <c r="I15" s="18" t="inlineStr">
        <is>
          <t>High</t>
        </is>
      </c>
      <c r="J15" s="18" t="n">
        <v>4</v>
      </c>
      <c r="K15" s="18" t="inlineStr">
        <is>
          <t>Server-rendered apps run code on the server, which cannot read browser storage, so sessions are kept in cookies that both sides can see.</t>
        </is>
      </c>
      <c r="L15" s="18" t="inlineStr">
        <is>
          <t>Create a browser client for client components and a server client for server code, and refresh the session in middleware.</t>
        </is>
      </c>
      <c r="M15" s="18" t="inlineStr">
        <is>
          <t>Cookies are the passport that travels with every request, so the server and the browser share one identity.</t>
        </is>
      </c>
      <c r="N15" s="18" t="inlineStr">
        <is>
          <t>A cookie being sent with each request to a server that builds its own client from it.</t>
        </is>
      </c>
      <c r="O15" s="18" t="inlineStr">
        <is>
          <t>The satisfaction of a logged-in page that renders correctly on the server.</t>
        </is>
      </c>
      <c r="P15" s="18" t="inlineStr">
        <is>
          <t>@supabase/ssr provides createBrowserClient and createServerClient, which store the session in cookies so server-rendered frameworks such as Next.js can read it.</t>
        </is>
      </c>
      <c r="Q15" s="17" t="n"/>
      <c r="R15" s="18" t="inlineStr">
        <is>
          <t>In frameworks such as Next.js, server components, route handlers and middleware need the session. The ssr package builds clients that read and write cookies. Middleware usually calls getUser on each request to refresh and verify the session and to protect routes. Each server request should create its own client, because it uses that request's cookies.</t>
        </is>
      </c>
      <c r="S15" s="18" t="inlineStr">
        <is>
          <t>Server code cannot see browser storage, so the session goes in cookies. Use the ssr helpers to build the right client for each place and refresh the session in middleware.</t>
        </is>
      </c>
      <c r="T15" s="18" t="inlineStr">
        <is>
          <t>Cookies are a passport that travels with every request, so the server and the browser share one identity.</t>
        </is>
      </c>
      <c r="U15" s="18" t="inlineStr">
        <is>
          <t>Cookies carry the session → server client reads them → middleware refreshes and verifies</t>
        </is>
      </c>
      <c r="V15" s="18" t="inlineStr">
        <is>
          <t>createBrowserClient used in a client component.</t>
        </is>
      </c>
      <c r="W15" s="18" t="inlineStr">
        <is>
          <t>createServerClient used in a server component with the request's cookies.</t>
        </is>
      </c>
      <c r="X15" s="18" t="inlineStr">
        <is>
          <t>Middleware calling getUser to protect an admin route.</t>
        </is>
      </c>
      <c r="Y15" s="18" t="inlineStr">
        <is>
          <t>createClient, getUser vs getSession, Next.js, cookies</t>
        </is>
      </c>
      <c r="Z15" s="18" t="inlineStr">
        <is>
          <t>ssr, cookies, middleware, server client, browser client</t>
        </is>
      </c>
      <c r="AA15" s="18" t="inlineStr">
        <is>
          <t>Next.js | SvelteKit | Server-rendered apps</t>
        </is>
      </c>
      <c r="AB15" s="18" t="inlineStr">
        <is>
          <t>A: My server component thinks the user is logged out. | B: Create the server client with the request's cookies, and refresh the session in middleware.</t>
        </is>
      </c>
      <c r="AC15" s="18" t="inlineStr">
        <is>
          <t>✗ One global client works for every server request → ✓ Each server request needs its own client built from that request's cookies</t>
        </is>
      </c>
      <c r="AD15" s="18" t="inlineStr">
        <is>
          <t>Browser client vs server client: the browser client uses browser cookies, the server client reads cookies from the incoming request.</t>
        </is>
      </c>
      <c r="AE15" s="18" t="inlineStr">
        <is>
          <t>Do not share one server client between different users' requests.</t>
        </is>
      </c>
      <c r="AF15" s="18" t="inlineStr">
        <is>
          <t>Cookies carry the session to the server.</t>
        </is>
      </c>
      <c r="AG15" s="18" t="inlineStr">
        <is>
          <t>Protecting dashboard routes in Next.js with middleware and getUser.</t>
        </is>
      </c>
      <c r="AH15" s="18" t="inlineStr">
        <is>
          <t>An interviewer may ask: How do you handle Supabase auth in a server-rendered app?</t>
        </is>
      </c>
      <c r="AI15" s="18" t="inlineStr">
        <is>
          <t>It is like a passport that travels with every request.</t>
        </is>
      </c>
      <c r="AJ15" s="18" t="inlineStr">
        <is>
          <t>Where does @supabase/ssr keep the session?</t>
        </is>
      </c>
      <c r="AK15" s="18" t="inlineStr">
        <is>
          <t>A) In cookies B) In a bucket C) In an index D) In a table</t>
        </is>
      </c>
      <c r="AL15" s="18" t="inlineStr">
        <is>
          <t>A</t>
        </is>
      </c>
      <c r="AM15" s="18" t="inlineStr">
        <is>
          <t>Cookies are visible to both the browser and the server.</t>
        </is>
      </c>
      <c r="AN15" s="18" t="inlineStr">
        <is>
          <t>Session refresh and route protection are often done in ____ → middleware</t>
        </is>
      </c>
      <c r="AO15" s="18" t="inlineStr">
        <is>
          <t>A server component cannot see the user. What should you check? → That the server client is built with the request's cookies</t>
        </is>
      </c>
      <c r="AP15" s="18" t="inlineStr">
        <is>
          <t>Explain server-side auth with cookies in three lines.</t>
        </is>
      </c>
      <c r="AQ15" s="18" t="inlineStr">
        <is>
          <t>Write which client you would use in a client component and a server component.</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108" customHeight="1">
      <c r="A16" s="17" t="inlineStr">
        <is>
          <t>SUP-029</t>
        </is>
      </c>
      <c r="B16" s="17" t="inlineStr">
        <is>
          <t>05 Row Level Security</t>
        </is>
      </c>
      <c r="C16" s="17" t="inlineStr">
        <is>
          <t>Intermediate</t>
        </is>
      </c>
      <c r="D16" s="17" t="n">
        <v>29</v>
      </c>
      <c r="E16" s="17" t="inlineStr">
        <is>
          <t>Claude knowledge</t>
        </is>
      </c>
      <c r="F16" s="18" t="inlineStr">
        <is>
          <t>Row Level Security (RLS)</t>
        </is>
      </c>
      <c r="G16" s="18" t="inlineStr">
        <is>
          <t>Which Postgres feature lets the database itself decide which rows each user may read or change?</t>
        </is>
      </c>
      <c r="H16" s="18" t="inlineStr">
        <is>
          <t>Security</t>
        </is>
      </c>
      <c r="I16" s="18" t="inlineStr">
        <is>
          <t>Very high</t>
        </is>
      </c>
      <c r="J16" s="18" t="n">
        <v>5</v>
      </c>
      <c r="K16" s="18" t="inlineStr">
        <is>
          <t>Browsers talk to the database through an open API, so the rules about who sees what must live in the database, and Postgres provides row-level policies for exactly this.</t>
        </is>
      </c>
      <c r="L16" s="18" t="inlineStr">
        <is>
          <t>Turn on RLS for every table in an exposed schema, and write policies before launching.</t>
        </is>
      </c>
      <c r="M16" s="18" t="inlineStr">
        <is>
          <t>RLS is a guard at each row, checking your badge before letting you see or change it.</t>
        </is>
      </c>
      <c r="N16" s="18" t="inlineStr">
        <is>
          <t>A table where each row has a lock that opens only for the matching user.</t>
        </is>
      </c>
      <c r="O16" s="18" t="inlineStr">
        <is>
          <t>The calm of knowing a user cannot read another user's data.</t>
        </is>
      </c>
      <c r="P16" s="18" t="inlineStr">
        <is>
          <t>Row Level Security is a Postgres feature in which policies attached to a table decide, for each row, whether the current user may select, insert, update or delete it.</t>
        </is>
      </c>
      <c r="Q16" s="17" t="n"/>
      <c r="R16" s="18" t="inlineStr">
        <is>
          <t>When RLS is enabled on a table, access through the API is denied by default until you add policies. A policy is a rule such as auth.uid() = user_id. The anon and authenticated roles are subject to it, while the service role bypasses it. This is what makes it safe for the browser to call the database directly with the client key.</t>
        </is>
      </c>
      <c r="S16" s="18" t="inlineStr">
        <is>
          <t>RLS puts rules on rows. Turn it on, then write policies like each user can see only their own rows, and the database enforces them for every request.</t>
        </is>
      </c>
      <c r="T16" s="18" t="inlineStr">
        <is>
          <t>It is like a guard at each row who checks your badge before letting you see or change it.</t>
        </is>
      </c>
      <c r="U16" s="18" t="inlineStr">
        <is>
          <t>Enable RLS → no access → add policies → access only where a policy allows</t>
        </is>
      </c>
      <c r="V16" s="18" t="inlineStr">
        <is>
          <t>A todos table where users see only rows with their own user_id.</t>
        </is>
      </c>
      <c r="W16" s="18" t="inlineStr">
        <is>
          <t>A public blog table where everyone can read but only authors can write.</t>
        </is>
      </c>
      <c r="X16" s="18" t="inlineStr">
        <is>
          <t>A private messages table visible only to sender and receiver.</t>
        </is>
      </c>
      <c r="Y16" s="18" t="inlineStr">
        <is>
          <t>policies, auth.uid(), anon vs service role key, Supabase Auth</t>
        </is>
      </c>
      <c r="Z16" s="18" t="inlineStr">
        <is>
          <t>RLS, policy, role, USING, WITH CHECK</t>
        </is>
      </c>
      <c r="AA16" s="18" t="inlineStr">
        <is>
          <t>Every table exposed to the API | Multi-user apps | Data privacy</t>
        </is>
      </c>
      <c r="AB16" s="18" t="inlineStr">
        <is>
          <t>A: Can users read each other's tasks through the API? | B: Not if RLS is on with a policy that matches each user's own rows.</t>
        </is>
      </c>
      <c r="AC16" s="18" t="inlineStr">
        <is>
          <t>✗ The client key is enough to protect data without RLS → ✓ The client key is public, so RLS is what actually keeps data safe</t>
        </is>
      </c>
      <c r="AD16" s="18" t="inlineStr">
        <is>
          <t>RLS vs app-level checks: RLS is enforced by the database for every request, app checks can be bypassed.</t>
        </is>
      </c>
      <c r="AE16" s="18" t="inlineStr">
        <is>
          <t>Do not expose a table to the API with RLS turned off.</t>
        </is>
      </c>
      <c r="AF16" s="18" t="inlineStr">
        <is>
          <t>RLS guards every single row for you.</t>
        </is>
      </c>
      <c r="AG16" s="18" t="inlineStr">
        <is>
          <t>Making each learner's progress rows visible only to that learner.</t>
        </is>
      </c>
      <c r="AH16" s="18" t="inlineStr">
        <is>
          <t>An interviewer may ask: Why is RLS important in Supabase?</t>
        </is>
      </c>
      <c r="AI16" s="18" t="inlineStr">
        <is>
          <t>It is like a guard checking your badge at every row.</t>
        </is>
      </c>
      <c r="AJ16" s="18" t="inlineStr">
        <is>
          <t>What happens to API access on a table with RLS enabled but no policies?</t>
        </is>
      </c>
      <c r="AK16" s="18" t="inlineStr">
        <is>
          <t>A) Everyone can read B) The table is deleted C) Access is denied D) Only admins can read</t>
        </is>
      </c>
      <c r="AL16" s="18" t="inlineStr">
        <is>
          <t>C</t>
        </is>
      </c>
      <c r="AM16" s="18" t="inlineStr">
        <is>
          <t>With RLS on, access is denied until a policy allows it.</t>
        </is>
      </c>
      <c r="AN16" s="18" t="inlineStr">
        <is>
          <t>RLS rules are written as ____ on a table → policies</t>
        </is>
      </c>
      <c r="AO16" s="18" t="inlineStr">
        <is>
          <t>How do you let users see only their own rows? → Enable RLS and add a policy comparing auth.uid() with the row's user id</t>
        </is>
      </c>
      <c r="AP16" s="18" t="inlineStr">
        <is>
          <t>Explain Row Level Security in three lines.</t>
        </is>
      </c>
      <c r="AQ16" s="18" t="inlineStr">
        <is>
          <t>Write the rule in words for a notes table that only owners may read.</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121.5" customHeight="1">
      <c r="A17" s="17" t="inlineStr">
        <is>
          <t>SUP-033</t>
        </is>
      </c>
      <c r="B17" s="17" t="inlineStr">
        <is>
          <t>05 Row Level Security</t>
        </is>
      </c>
      <c r="C17" s="17" t="inlineStr">
        <is>
          <t>Advanced</t>
        </is>
      </c>
      <c r="D17" s="17" t="n">
        <v>33</v>
      </c>
      <c r="E17" s="17" t="inlineStr">
        <is>
          <t>Claude knowledge</t>
        </is>
      </c>
      <c r="F17" s="18" t="inlineStr">
        <is>
          <t>Bypassing RLS (service role and postgres role)</t>
        </is>
      </c>
      <c r="G17" s="18" t="inlineStr">
        <is>
          <t>Which key and roles ignore Row Level Security, and when is it correct to use them?</t>
        </is>
      </c>
      <c r="H17" s="18" t="inlineStr">
        <is>
          <t>Security concept</t>
        </is>
      </c>
      <c r="I17" s="18" t="inlineStr">
        <is>
          <t>High</t>
        </is>
      </c>
      <c r="J17" s="18" t="n">
        <v>5</v>
      </c>
      <c r="K17" s="18" t="inlineStr">
        <is>
          <t>Trusted back-end jobs sometimes need full access to every row, so some roles are allowed to bypass RLS, and these must be kept out of untrusted code.</t>
        </is>
      </c>
      <c r="L17" s="18" t="inlineStr">
        <is>
          <t>Use the service role only on a server you control, and do your own checks in that code.</t>
        </is>
      </c>
      <c r="M17" s="18" t="inlineStr">
        <is>
          <t>The master key opens every door, so it stays locked in the manager's office, never in a visitor's hands.</t>
        </is>
      </c>
      <c r="N17" s="18" t="inlineStr">
        <is>
          <t>A master key inside a locked server room, far from the browser.</t>
        </is>
      </c>
      <c r="O17" s="18" t="inlineStr">
        <is>
          <t>The responsibility of holding the master key.</t>
        </is>
      </c>
      <c r="P17" s="18" t="inlineStr">
        <is>
          <t>The service role key and the postgres role bypass Row Level Security, so they can read and write every row regardless of policies.</t>
        </is>
      </c>
      <c r="Q17" s="17" t="n"/>
      <c r="R17" s="18" t="inlineStr">
        <is>
          <t>Browser and app users run as the anon or authenticated role, so policies apply. The service role key makes requests as a role that bypasses RLS, which is useful for admin tasks, cron jobs and trusted server code. Direct database connections, such as those used by tools like Prisma with the postgres user, also bypass RLS, so authorisation must then be handled in your own code.</t>
        </is>
      </c>
      <c r="S17" s="18" t="inlineStr">
        <is>
          <t>Anything that connects as the service role or the database owner ignores your policies. Keep such access on trusted servers and check permissions yourself there.</t>
        </is>
      </c>
      <c r="T17" s="18" t="inlineStr">
        <is>
          <t>The master key opens every door, so it stays in the manager's office.</t>
        </is>
      </c>
      <c r="U17" s="18" t="inlineStr">
        <is>
          <t>anon or authenticated = RLS applies. service role or postgres = RLS bypassed.</t>
        </is>
      </c>
      <c r="V17" s="18" t="inlineStr">
        <is>
          <t>A nightly server job using the service role to clean old rows.</t>
        </is>
      </c>
      <c r="W17" s="18" t="inlineStr">
        <is>
          <t>An admin script that reads every user's rows.</t>
        </is>
      </c>
      <c r="X17" s="18" t="inlineStr">
        <is>
          <t>An ORM connecting as the postgres user, which ignores policies.</t>
        </is>
      </c>
      <c r="Y17" s="18" t="inlineStr">
        <is>
          <t>anon vs service role key, Prisma and Supabase, Row Level Security</t>
        </is>
      </c>
      <c r="Z17" s="18" t="inlineStr">
        <is>
          <t>bypass, service_role, postgres, owner, admin</t>
        </is>
      </c>
      <c r="AA17" s="18" t="inlineStr">
        <is>
          <t>Server jobs | Admin tools | ORM connections</t>
        </is>
      </c>
      <c r="AB17" s="18" t="inlineStr">
        <is>
          <t>A: Our ORM can read every row, ignoring the policies. | B: It connects as a role that bypasses RLS, so check access in your own code.</t>
        </is>
      </c>
      <c r="AC17" s="18" t="inlineStr">
        <is>
          <t>✗ RLS protects data against every kind of connection → ✓ Roles that bypass RLS, such as the service role and the postgres user, ignore policies</t>
        </is>
      </c>
      <c r="AD17" s="18" t="inlineStr">
        <is>
          <t>App role vs service role: the app role obeys policies, the service role ignores them.</t>
        </is>
      </c>
      <c r="AE17" s="18" t="inlineStr">
        <is>
          <t>Do not use the service role in code that runs for end users in the browser.</t>
        </is>
      </c>
      <c r="AF17" s="18" t="inlineStr">
        <is>
          <t>Master keys bypass the guards.</t>
        </is>
      </c>
      <c r="AG17" s="18" t="inlineStr">
        <is>
          <t>Using the service role only in a server cron job that cleans expired rows.</t>
        </is>
      </c>
      <c r="AH17" s="18" t="inlineStr">
        <is>
          <t>An interviewer may ask: Which roles bypass RLS in Supabase?</t>
        </is>
      </c>
      <c r="AI17" s="18" t="inlineStr">
        <is>
          <t>It is like a master key that opens every door.</t>
        </is>
      </c>
      <c r="AJ17" s="18" t="inlineStr">
        <is>
          <t>Which key makes requests that ignore RLS?</t>
        </is>
      </c>
      <c r="AK17" s="18" t="inlineStr">
        <is>
          <t>A) The anon key B) A signed URL C) The service role key D) A magic link</t>
        </is>
      </c>
      <c r="AL17" s="18" t="inlineStr">
        <is>
          <t>C</t>
        </is>
      </c>
      <c r="AM17" s="18" t="inlineStr">
        <is>
          <t>The service role bypasses Row Level Security.</t>
        </is>
      </c>
      <c r="AN17" s="18" t="inlineStr">
        <is>
          <t>Browser users run as the anon or ____ role → authenticated</t>
        </is>
      </c>
      <c r="AO17" s="18" t="inlineStr">
        <is>
          <t>An ORM connects as postgres. How do you protect data? → Enforce authorisation in your own server code</t>
        </is>
      </c>
      <c r="AP17" s="18" t="inlineStr">
        <is>
          <t>Explain which roles bypass RLS in three lines.</t>
        </is>
      </c>
      <c r="AQ17" s="18" t="inlineStr">
        <is>
          <t>List two places where bypassing RLS is appropriate and two where it is not.</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121.5" customHeight="1">
      <c r="A18" s="17" t="inlineStr">
        <is>
          <t>SUP-034</t>
        </is>
      </c>
      <c r="B18" s="17" t="inlineStr">
        <is>
          <t>05 Row Level Security</t>
        </is>
      </c>
      <c r="C18" s="17" t="inlineStr">
        <is>
          <t>Advanced</t>
        </is>
      </c>
      <c r="D18" s="17" t="n">
        <v>34</v>
      </c>
      <c r="E18" s="17" t="inlineStr">
        <is>
          <t>Claude knowledge</t>
        </is>
      </c>
      <c r="F18" s="18" t="inlineStr">
        <is>
          <t>Testing RLS policies</t>
        </is>
      </c>
      <c r="G18" s="18" t="inlineStr">
        <is>
          <t>How do you check that a policy really blocks other users, given that the SQL Editor often bypasses RLS?</t>
        </is>
      </c>
      <c r="H18" s="18" t="inlineStr">
        <is>
          <t>Security practice</t>
        </is>
      </c>
      <c r="I18" s="18" t="inlineStr">
        <is>
          <t>Medium</t>
        </is>
      </c>
      <c r="J18" s="18" t="n">
        <v>5</v>
      </c>
      <c r="K18" s="18" t="inlineStr">
        <is>
          <t>A policy that is wrong either leaks data or blocks users, and the dashboard tools can hide this, so policies need testing as real users.</t>
        </is>
      </c>
      <c r="L18" s="18" t="inlineStr">
        <is>
          <t>Test with at least two users and the anon role, and try to read and write each other's rows.</t>
        </is>
      </c>
      <c r="M18" s="18" t="inlineStr">
        <is>
          <t>Testing a policy is trying to pick your own lock from outside.</t>
        </is>
      </c>
      <c r="N18" s="18" t="inlineStr">
        <is>
          <t>Two user sessions trying to read each other's rows, and one being refused.</t>
        </is>
      </c>
      <c r="O18" s="18" t="inlineStr">
        <is>
          <t>The confidence of a lock you have actually tried to break.</t>
        </is>
      </c>
      <c r="P18" s="18" t="inlineStr">
        <is>
          <t>Testing RLS means trying real reads and writes as different users and roles, such as an owner, a stranger and an anonymous visitor, and checking that only the allowed ones succeed.</t>
        </is>
      </c>
      <c r="Q18" s="17" t="n"/>
      <c r="R18" s="18" t="inlineStr">
        <is>
          <t>The SQL Editor usually runs as a powerful role, so results there do not show what users experience. Test through supabase-js signed in as test users, or use the dashboard's option to run queries as another role or user, or set the role and token claims in SQL. Automated tests can create users and assert results. Also check that insert and update cannot assign rows to someone else.</t>
        </is>
      </c>
      <c r="S18" s="18" t="inlineStr">
        <is>
          <t>Make two test users and an anonymous client. Try every operation as each, and confirm that strangers get nothing and cannot write to another user's rows.</t>
        </is>
      </c>
      <c r="T18" s="18" t="inlineStr">
        <is>
          <t>It is like trying to pick your own lock from outside.</t>
        </is>
      </c>
      <c r="U18" s="18" t="inlineStr">
        <is>
          <t>Test as owner, stranger and anonymous visitor for every operation</t>
        </is>
      </c>
      <c r="V18" s="18" t="inlineStr">
        <is>
          <t>User A reading user B's todos and getting an empty list.</t>
        </is>
      </c>
      <c r="W18" s="18" t="inlineStr">
        <is>
          <t>An anonymous client trying to insert and being refused.</t>
        </is>
      </c>
      <c r="X18" s="18" t="inlineStr">
        <is>
          <t>A test that checks a user cannot change user_id to someone else's.</t>
        </is>
      </c>
      <c r="Y18" s="18" t="inlineStr">
        <is>
          <t>policies, auth.uid(), SQL Editor, service role bypass</t>
        </is>
      </c>
      <c r="Z18" s="18" t="inlineStr">
        <is>
          <t>test, impersonate, role, policy, assertion</t>
        </is>
      </c>
      <c r="AA18" s="18" t="inlineStr">
        <is>
          <t>Before launch | Pull request checks | Security reviews</t>
        </is>
      </c>
      <c r="AB18" s="18" t="inlineStr">
        <is>
          <t>A: My policy works in the SQL Editor. | B: The editor bypasses RLS, so test it signed in as a normal user.</t>
        </is>
      </c>
      <c r="AC18" s="18" t="inlineStr">
        <is>
          <t>✗ If a query works in the SQL Editor then the policy is correct → ✓ The SQL Editor often bypasses RLS, so you must test as real users</t>
        </is>
      </c>
      <c r="AD18" s="18" t="inlineStr">
        <is>
          <t>Editor test vs client test: the editor may ignore policies, a client test shows what users really get.</t>
        </is>
      </c>
      <c r="AE18" s="18" t="inlineStr">
        <is>
          <t>Do not ship policies you have only tried as an admin.</t>
        </is>
      </c>
      <c r="AF18" s="18" t="inlineStr">
        <is>
          <t>Test as the user, not as the admin.</t>
        </is>
      </c>
      <c r="AG18" s="18" t="inlineStr">
        <is>
          <t>Writing automated tests that sign in as two users and check isolation.</t>
        </is>
      </c>
      <c r="AH18" s="18" t="inlineStr">
        <is>
          <t>An interviewer may ask: How do you test Row Level Security?</t>
        </is>
      </c>
      <c r="AI18" s="18" t="inlineStr">
        <is>
          <t>It is like trying to pick your own lock from outside.</t>
        </is>
      </c>
      <c r="AJ18" s="18" t="inlineStr">
        <is>
          <t>Why can an SQL Editor test mislead you about RLS?</t>
        </is>
      </c>
      <c r="AK18" s="18" t="inlineStr">
        <is>
          <t>A) It cannot run SQL B) It deletes policies C) It only reads D) It may run as a role that bypasses RLS</t>
        </is>
      </c>
      <c r="AL18" s="18" t="inlineStr">
        <is>
          <t>D</t>
        </is>
      </c>
      <c r="AM18" s="18" t="inlineStr">
        <is>
          <t>A powerful role ignores policies, hiding mistakes.</t>
        </is>
      </c>
      <c r="AN18" s="18" t="inlineStr">
        <is>
          <t>You should test as the owner, a stranger and an ____ visitor → anonymous</t>
        </is>
      </c>
      <c r="AO18" s="18" t="inlineStr">
        <is>
          <t>How can you prove user A cannot read user B's rows? → Sign in as A with the client and query B's rows expecting none</t>
        </is>
      </c>
      <c r="AP18" s="18" t="inlineStr">
        <is>
          <t>Explain how to test RLS in three lines.</t>
        </is>
      </c>
      <c r="AQ18" s="18" t="inlineStr">
        <is>
          <t>Write three tests for a todos policy.</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81" customHeight="1">
      <c r="A19" s="17" t="inlineStr">
        <is>
          <t>SUP-035</t>
        </is>
      </c>
      <c r="B19" s="17" t="inlineStr">
        <is>
          <t>06 Storage</t>
        </is>
      </c>
      <c r="C19" s="17" t="inlineStr">
        <is>
          <t>Beginner</t>
        </is>
      </c>
      <c r="D19" s="17" t="n">
        <v>35</v>
      </c>
      <c r="E19" s="17" t="inlineStr">
        <is>
          <t>Claude knowledge</t>
        </is>
      </c>
      <c r="F19" s="18" t="inlineStr">
        <is>
          <t>Storage buckets</t>
        </is>
      </c>
      <c r="G19" s="18" t="inlineStr">
        <is>
          <t>In Supabase Storage, what is the top-level container for files, such as one for avatars and one for documents?</t>
        </is>
      </c>
      <c r="H19" s="18" t="inlineStr">
        <is>
          <t>Storage concept</t>
        </is>
      </c>
      <c r="I19" s="18" t="inlineStr">
        <is>
          <t>Very high</t>
        </is>
      </c>
      <c r="J19" s="18" t="n">
        <v>5</v>
      </c>
      <c r="K19" s="18" t="inlineStr">
        <is>
          <t>Files need to be grouped and protected differently, so storage organises them into named buckets, each with its own rules.</t>
        </is>
      </c>
      <c r="L19" s="18" t="inlineStr">
        <is>
          <t>Create separate buckets for public images and private documents, so their rules stay simple.</t>
        </is>
      </c>
      <c r="M19" s="18" t="inlineStr">
        <is>
          <t>A bucket is a labelled cupboard, and each file is a folder inside it.</t>
        </is>
      </c>
      <c r="N19" s="18" t="inlineStr">
        <is>
          <t>A cupboard labelled avatars with files and folders inside.</t>
        </is>
      </c>
      <c r="O19" s="18" t="inlineStr">
        <is>
          <t>The tidiness of keeping files in clearly named places.</t>
        </is>
      </c>
      <c r="P19" s="18" t="inlineStr">
        <is>
          <t>A bucket is a named container in Supabase Storage that holds files and folders and can be public or private.</t>
        </is>
      </c>
      <c r="Q19" s="17" t="n"/>
      <c r="R19" s="18" t="inlineStr">
        <is>
          <t>You create buckets in the dashboard or with SQL or the client. Files inside have a path such as user1/avatar.png. Each bucket can have size limits, allowed file types, and a public or private setting. Access to private buckets is controlled by storage policies.</t>
        </is>
      </c>
      <c r="S19" s="18" t="inlineStr">
        <is>
          <t>Make a bucket for each kind of file, like avatars or lesson-audio. Inside it you store files under paths, and choose whether the bucket is public.</t>
        </is>
      </c>
      <c r="T19" s="18" t="inlineStr">
        <is>
          <t>It is like a labelled cupboard where each file is a folder inside.</t>
        </is>
      </c>
      <c r="U19" s="18" t="inlineStr">
        <is>
          <t>Bucket → folders → files</t>
        </is>
      </c>
      <c r="V19" s="18" t="inlineStr">
        <is>
          <t>A public bucket named avatars for profile pictures.</t>
        </is>
      </c>
      <c r="W19" s="18" t="inlineStr">
        <is>
          <t>A private bucket named recordings for student audio.</t>
        </is>
      </c>
      <c r="X19" s="18" t="inlineStr">
        <is>
          <t>A bucket with a limit on file size.</t>
        </is>
      </c>
      <c r="Y19" s="18" t="inlineStr">
        <is>
          <t>upload, public vs private buckets, storage policies, signed URLs</t>
        </is>
      </c>
      <c r="Z19" s="18" t="inlineStr">
        <is>
          <t>bucket, object, path, folder, policy</t>
        </is>
      </c>
      <c r="AA19" s="18" t="inlineStr">
        <is>
          <t>Images | Audio and video | Documents</t>
        </is>
      </c>
      <c r="AB19" s="18" t="inlineStr">
        <is>
          <t>A: Where do I keep uploaded images? | B: Create a storage bucket and upload them there.</t>
        </is>
      </c>
      <c r="AC19" s="18" t="inlineStr">
        <is>
          <t>✗ Buckets are folders inside the database tables → ✓ Buckets are containers in Storage, separate from tables, though their metadata lives in the database</t>
        </is>
      </c>
      <c r="AD19" s="18" t="inlineStr">
        <is>
          <t>Bucket vs folder: a bucket is the top-level container, a folder is a path inside it.</t>
        </is>
      </c>
      <c r="AE19" s="18" t="inlineStr">
        <is>
          <t>Do not mix public and private files in one bucket.</t>
        </is>
      </c>
      <c r="AF19" s="18" t="inlineStr">
        <is>
          <t>A bucket is a cupboard for files.</t>
        </is>
      </c>
      <c r="AG19" s="18" t="inlineStr">
        <is>
          <t>Creating a private bucket for all student speaking recordings.</t>
        </is>
      </c>
      <c r="AH19" s="18" t="inlineStr">
        <is>
          <t>An interviewer may ask: What is a storage bucket?</t>
        </is>
      </c>
      <c r="AI19" s="18" t="inlineStr">
        <is>
          <t>It is like a labelled cupboard.</t>
        </is>
      </c>
      <c r="AJ19" s="18" t="inlineStr">
        <is>
          <t>What is the top-level container in Supabase Storage?</t>
        </is>
      </c>
      <c r="AK19" s="18" t="inlineStr">
        <is>
          <t>A) Bucket B) Index C) Policy D) Table</t>
        </is>
      </c>
      <c r="AL19" s="18" t="inlineStr">
        <is>
          <t>A</t>
        </is>
      </c>
      <c r="AM19" s="18" t="inlineStr">
        <is>
          <t>Files are stored inside buckets.</t>
        </is>
      </c>
      <c r="AN19" s="18" t="inlineStr">
        <is>
          <t>A file in a bucket is addressed by its ____ → path</t>
        </is>
      </c>
      <c r="AO19" s="18" t="inlineStr">
        <is>
          <t>How would you keep public pictures apart from private documents? → Use separate buckets with different settings</t>
        </is>
      </c>
      <c r="AP19" s="18" t="inlineStr">
        <is>
          <t>Explain buckets in three lines.</t>
        </is>
      </c>
      <c r="AQ19" s="18" t="inlineStr">
        <is>
          <t>List the buckets for an app with avatars, audio and reports.</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94.5" customHeight="1">
      <c r="A20" s="17" t="inlineStr">
        <is>
          <t>SUP-037</t>
        </is>
      </c>
      <c r="B20" s="17" t="inlineStr">
        <is>
          <t>06 Storage</t>
        </is>
      </c>
      <c r="C20" s="17" t="inlineStr">
        <is>
          <t>Beginner</t>
        </is>
      </c>
      <c r="D20" s="17" t="n">
        <v>37</v>
      </c>
      <c r="E20" s="17" t="inlineStr">
        <is>
          <t>Claude knowledge</t>
        </is>
      </c>
      <c r="F20" s="18" t="inlineStr">
        <is>
          <t>Public vs private buckets</t>
        </is>
      </c>
      <c r="G20" s="18" t="inlineStr">
        <is>
          <t>Which bucket setting decides whether anyone with the link can open a file or access needs permission?</t>
        </is>
      </c>
      <c r="H20" s="18" t="inlineStr">
        <is>
          <t>Storage concept</t>
        </is>
      </c>
      <c r="I20" s="18" t="inlineStr">
        <is>
          <t>Very high</t>
        </is>
      </c>
      <c r="J20" s="18" t="n">
        <v>5</v>
      </c>
      <c r="K20" s="18" t="inlineStr">
        <is>
          <t>Some files, such as logos, should open for anyone, while others, such as reports, must stay private, so each bucket is either public or private.</t>
        </is>
      </c>
      <c r="L20" s="18" t="inlineStr">
        <is>
          <t>Make a bucket public only when every file in it may be seen by anybody.</t>
        </is>
      </c>
      <c r="M20" s="18" t="inlineStr">
        <is>
          <t>A public bucket is a notice board, and a private bucket is a locked cupboard with a guest list.</t>
        </is>
      </c>
      <c r="N20" s="18" t="inlineStr">
        <is>
          <t>A file with an open link on one side and a locked file on the other.</t>
        </is>
      </c>
      <c r="O20" s="18" t="inlineStr">
        <is>
          <t>The care of deciding who may see a file.</t>
        </is>
      </c>
      <c r="P20" s="18" t="inlineStr">
        <is>
          <t>Files in a public bucket can be fetched by anyone who knows the URL, while files in a private bucket need permission through policies or a signed URL.</t>
        </is>
      </c>
      <c r="Q20" s="17" t="n"/>
      <c r="R20" s="18" t="inlineStr">
        <is>
          <t>For public buckets, getPublicUrl builds the address, and no login is needed to read the file, though uploads still need policies. For private buckets, reads go through the API with a valid session and a matching policy, or through a time-limited signed URL. Use private buckets for personal data.</t>
        </is>
      </c>
      <c r="S20" s="18" t="inlineStr">
        <is>
          <t>Public means anyone with the link can open it. Private means you need a logged-in user with permission, or a temporary signed link.</t>
        </is>
      </c>
      <c r="T20" s="18" t="inlineStr">
        <is>
          <t>A public bucket is a notice board, and a private bucket is a locked cupboard with a guest list.</t>
        </is>
      </c>
      <c r="U20" s="18" t="inlineStr">
        <is>
          <t>Public = open by URL. Private = policy or signed URL.</t>
        </is>
      </c>
      <c r="V20" s="18" t="inlineStr">
        <is>
          <t>A public bucket for product images.</t>
        </is>
      </c>
      <c r="W20" s="18" t="inlineStr">
        <is>
          <t>A private bucket for student recordings.</t>
        </is>
      </c>
      <c r="X20" s="18" t="inlineStr">
        <is>
          <t>A public logo bucket where only admins can upload.</t>
        </is>
      </c>
      <c r="Y20" s="18" t="inlineStr">
        <is>
          <t>buckets, signed URLs, storage policies</t>
        </is>
      </c>
      <c r="Z20" s="18" t="inlineStr">
        <is>
          <t>public, private, getPublicUrl, signed URL, policy</t>
        </is>
      </c>
      <c r="AA20" s="18" t="inlineStr">
        <is>
          <t>Website images | Personal documents | Recordings</t>
        </is>
      </c>
      <c r="AB20" s="18" t="inlineStr">
        <is>
          <t>A: Can users open each other's recordings by guessing the link? | B: Not if the bucket is private and guarded by policies.</t>
        </is>
      </c>
      <c r="AC20" s="18" t="inlineStr">
        <is>
          <t>✗ Making a bucket public only allows the owner to see it → ✓ A public bucket lets anyone with the URL read its files</t>
        </is>
      </c>
      <c r="AD20" s="18" t="inlineStr">
        <is>
          <t>Public vs private bucket: public files open by link, private files need permission.</t>
        </is>
      </c>
      <c r="AE20" s="18" t="inlineStr">
        <is>
          <t>Do not put personal data in a public bucket.</t>
        </is>
      </c>
      <c r="AF20" s="18" t="inlineStr">
        <is>
          <t>Public is open to all, private needs a pass.</t>
        </is>
      </c>
      <c r="AG20" s="18" t="inlineStr">
        <is>
          <t>Keeping profile pictures public while keeping student recordings private.</t>
        </is>
      </c>
      <c r="AH20" s="18" t="inlineStr">
        <is>
          <t>An interviewer may ask: How do you serve private files safely?</t>
        </is>
      </c>
      <c r="AI20" s="18" t="inlineStr">
        <is>
          <t>It is like a notice board versus a locked cupboard.</t>
        </is>
      </c>
      <c r="AJ20" s="18" t="inlineStr">
        <is>
          <t>Who can read a file in a public bucket?</t>
        </is>
      </c>
      <c r="AK20" s="18" t="inlineStr">
        <is>
          <t>A) Nobody B) Anyone with the URL C) Only admins D) Only the uploader</t>
        </is>
      </c>
      <c r="AL20" s="18" t="inlineStr">
        <is>
          <t>B</t>
        </is>
      </c>
      <c r="AM20" s="18" t="inlineStr">
        <is>
          <t>Public buckets serve files to anyone who has the link.</t>
        </is>
      </c>
      <c r="AN20" s="18" t="inlineStr">
        <is>
          <t>A private file can be shared temporarily with a ____ URL → signed</t>
        </is>
      </c>
      <c r="AO20" s="18" t="inlineStr">
        <is>
          <t>Which bucket type should hold personal recordings? → A private bucket</t>
        </is>
      </c>
      <c r="AP20" s="18" t="inlineStr">
        <is>
          <t>Explain public and private buckets in three lines.</t>
        </is>
      </c>
      <c r="AQ20" s="18" t="inlineStr">
        <is>
          <t>Choose public or private for five kinds of files and say why.</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94.5" customHeight="1">
      <c r="A21" s="17" t="inlineStr">
        <is>
          <t>SUP-041</t>
        </is>
      </c>
      <c r="B21" s="17" t="inlineStr">
        <is>
          <t>07 Realtime and functions</t>
        </is>
      </c>
      <c r="C21" s="17" t="inlineStr">
        <is>
          <t>Intermediate</t>
        </is>
      </c>
      <c r="D21" s="17" t="n">
        <v>41</v>
      </c>
      <c r="E21" s="17" t="inlineStr">
        <is>
          <t>Claude knowledge</t>
        </is>
      </c>
      <c r="F21" s="18" t="inlineStr">
        <is>
          <t>Broadcast and Presence</t>
        </is>
      </c>
      <c r="G21" s="18" t="inlineStr">
        <is>
          <t>Which two Realtime features send short messages between clients and track who is currently online?</t>
        </is>
      </c>
      <c r="H21" s="18" t="inlineStr">
        <is>
          <t>Realtime feature</t>
        </is>
      </c>
      <c r="I21" s="18" t="inlineStr">
        <is>
          <t>Medium</t>
        </is>
      </c>
      <c r="J21" s="18" t="n">
        <v>3</v>
      </c>
      <c r="K21" s="18" t="inlineStr">
        <is>
          <t>Some live features, such as typing indicators and cursors, do not belong in the database, so Realtime offers lightweight messages and shared state between connected clients.</t>
        </is>
      </c>
      <c r="L21" s="18" t="inlineStr">
        <is>
          <t>Use Broadcast for ephemeral events and Presence for who-is-here state, and keep the database for data you must keep.</t>
        </is>
      </c>
      <c r="M21" s="18" t="inlineStr">
        <is>
          <t>Broadcast is shouting across a room, and Presence is the list of who is currently standing in it.</t>
        </is>
      </c>
      <c r="N21" s="18" t="inlineStr">
        <is>
          <t>Messages flying between browser windows and a list of online names.</t>
        </is>
      </c>
      <c r="O21" s="18" t="inlineStr">
        <is>
          <t>The fun of seeing other people's cursors move live.</t>
        </is>
      </c>
      <c r="P21" s="18" t="inlineStr">
        <is>
          <t>Broadcast sends low-latency messages between clients subscribed to a channel, and Presence keeps a shared record of which clients are online with their state.</t>
        </is>
      </c>
      <c r="Q21" s="17" t="n"/>
      <c r="R21" s="18" t="inlineStr">
        <is>
          <t>Both work through a channel. With Broadcast, a client sends an event and others receive it, with nothing stored in the database. With Presence, each client tracks its own state, such as a name or status, and everyone can see the combined list, which updates when people join or leave.</t>
        </is>
      </c>
      <c r="S21" s="18" t="inlineStr">
        <is>
          <t>Use Broadcast for things like typing or cursor movements, and Presence for an online users list. Neither needs a table.</t>
        </is>
      </c>
      <c r="T21" s="18" t="inlineStr">
        <is>
          <t>Broadcast is shouting across a room, and Presence is the list of who is standing in it.</t>
        </is>
      </c>
      <c r="U21" s="18" t="inlineStr">
        <is>
          <t>Broadcast = messages between clients. Presence = who is online and their state.</t>
        </is>
      </c>
      <c r="V21" s="18" t="inlineStr">
        <is>
          <t>A typing indicator sent through Broadcast.</t>
        </is>
      </c>
      <c r="W21" s="18" t="inlineStr">
        <is>
          <t>A list of users in a room shown with Presence.</t>
        </is>
      </c>
      <c r="X21" s="18" t="inlineStr">
        <is>
          <t>Live cursors in a shared whiteboard.</t>
        </is>
      </c>
      <c r="Y21" s="18" t="inlineStr">
        <is>
          <t>Realtime Postgres changes, channels, websockets</t>
        </is>
      </c>
      <c r="Z21" s="18" t="inlineStr">
        <is>
          <t>channel, broadcast, presence, track, sync</t>
        </is>
      </c>
      <c r="AA21" s="18" t="inlineStr">
        <is>
          <t>Collaboration tools | Games | Live classrooms</t>
        </is>
      </c>
      <c r="AB21" s="18" t="inlineStr">
        <is>
          <t>A: How do I show who is online in this class? | B: Use Presence on the class channel.</t>
        </is>
      </c>
      <c r="AC21" s="18" t="inlineStr">
        <is>
          <t>✗ Broadcast messages are saved in the database → ✓ Broadcast messages are ephemeral and are not stored unless you save them yourself</t>
        </is>
      </c>
      <c r="AD21" s="18" t="inlineStr">
        <is>
          <t>Broadcast vs Postgres changes: Broadcast sends client messages, Postgres changes stream database row changes.</t>
        </is>
      </c>
      <c r="AE21" s="18" t="inlineStr">
        <is>
          <t>Do not rely on Broadcast for data that must be kept.</t>
        </is>
      </c>
      <c r="AF21" s="18" t="inlineStr">
        <is>
          <t>Broadcast shouts and presence keeps a list.</t>
        </is>
      </c>
      <c r="AG21" s="18" t="inlineStr">
        <is>
          <t>Showing which students are currently in a live practice room.</t>
        </is>
      </c>
      <c r="AH21" s="18" t="inlineStr">
        <is>
          <t>An interviewer may ask: What is the difference between Broadcast and Presence?</t>
        </is>
      </c>
      <c r="AI21" s="18" t="inlineStr">
        <is>
          <t>It is like shouting across a room and keeping a list of who is in it.</t>
        </is>
      </c>
      <c r="AJ21" s="18" t="inlineStr">
        <is>
          <t>Which feature shows a list of online users?</t>
        </is>
      </c>
      <c r="AK21" s="18" t="inlineStr">
        <is>
          <t>A) Broadcast B) Presence C) Auth D) Storage</t>
        </is>
      </c>
      <c r="AL21" s="18" t="inlineStr">
        <is>
          <t>B</t>
        </is>
      </c>
      <c r="AM21" s="18" t="inlineStr">
        <is>
          <t>Presence tracks who is connected and their state.</t>
        </is>
      </c>
      <c r="AN21" s="18" t="inlineStr">
        <is>
          <t>Short-lived messages between clients use ____ → Broadcast</t>
        </is>
      </c>
      <c r="AO21" s="18" t="inlineStr">
        <is>
          <t>How would you show typing indicators? → Send them through Broadcast on a channel</t>
        </is>
      </c>
      <c r="AP21" s="18" t="inlineStr">
        <is>
          <t>Explain Broadcast and Presence in three lines.</t>
        </is>
      </c>
      <c r="AQ21" s="18" t="inlineStr">
        <is>
          <t>List two features of your app that need Presence.</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108" customHeight="1">
      <c r="A22" s="17" t="inlineStr">
        <is>
          <t>SUP-044</t>
        </is>
      </c>
      <c r="B22" s="17" t="inlineStr">
        <is>
          <t>07 Realtime and functions</t>
        </is>
      </c>
      <c r="C22" s="17" t="inlineStr">
        <is>
          <t>Advanced</t>
        </is>
      </c>
      <c r="D22" s="17" t="n">
        <v>44</v>
      </c>
      <c r="E22" s="17" t="inlineStr">
        <is>
          <t>Claude knowledge</t>
        </is>
      </c>
      <c r="F22" s="18" t="inlineStr">
        <is>
          <t>Database webhooks</t>
        </is>
      </c>
      <c r="G22" s="18" t="inlineStr">
        <is>
          <t>Which feature sends an HTTP request to a URL automatically when a table row is inserted, updated or deleted?</t>
        </is>
      </c>
      <c r="H22" s="18" t="inlineStr">
        <is>
          <t>Integration feature</t>
        </is>
      </c>
      <c r="I22" s="18" t="inlineStr">
        <is>
          <t>Medium</t>
        </is>
      </c>
      <c r="J22" s="18" t="n">
        <v>3</v>
      </c>
      <c r="K22" s="18" t="inlineStr">
        <is>
          <t>Other systems often need to know when data changes, so Supabase can call a URL whenever a table event occurs, built on triggers.</t>
        </is>
      </c>
      <c r="L22" s="18" t="inlineStr">
        <is>
          <t>Point a database webhook at an Edge Function, and verify the request in that function.</t>
        </is>
      </c>
      <c r="M22" s="18" t="inlineStr">
        <is>
          <t>A database webhook is a doorbell that rings another system when your data changes.</t>
        </is>
      </c>
      <c r="N22" s="18" t="inlineStr">
        <is>
          <t>A row change sending an HTTP request with a JSON body to a URL.</t>
        </is>
      </c>
      <c r="O22" s="18" t="inlineStr">
        <is>
          <t>The ease of connecting data changes to other tools.</t>
        </is>
      </c>
      <c r="P22" s="18" t="inlineStr">
        <is>
          <t>A database webhook is a trigger-based feature that sends an HTTP request containing the changed row to a URL when a chosen table event happens.</t>
        </is>
      </c>
      <c r="Q22" s="17" t="n"/>
      <c r="R22" s="18" t="inlineStr">
        <is>
          <t>You configure the table, the events and the destination in the dashboard. The request body carries the event type, the table, the new record and the old record where relevant. It is an easy way to start an email, a notification or a sync after data changes. Treat the receiving URL like any webhook endpoint and verify the call.</t>
        </is>
      </c>
      <c r="S22" s="18" t="inlineStr">
        <is>
          <t>Choose a table and an event, give a URL, and Supabase calls it with the row data whenever the event happens.</t>
        </is>
      </c>
      <c r="T22" s="18" t="inlineStr">
        <is>
          <t>It is like a doorbell that rings another system when your data changes.</t>
        </is>
      </c>
      <c r="U22" s="18" t="inlineStr">
        <is>
          <t>Table event → HTTP POST with the row → your function or URL</t>
        </is>
      </c>
      <c r="V22" s="18" t="inlineStr">
        <is>
          <t>Calling an Edge Function after each new order is inserted.</t>
        </is>
      </c>
      <c r="W22" s="18" t="inlineStr">
        <is>
          <t>Notifying a chat tool when a support ticket is created.</t>
        </is>
      </c>
      <c r="X22" s="18" t="inlineStr">
        <is>
          <t>Syncing a deleted record to another system.</t>
        </is>
      </c>
      <c r="Y22" s="18" t="inlineStr">
        <is>
          <t>webhooks, Edge Functions, triggers</t>
        </is>
      </c>
      <c r="Z22" s="18" t="inlineStr">
        <is>
          <t>webhook, trigger, payload, record, event</t>
        </is>
      </c>
      <c r="AA22" s="18" t="inlineStr">
        <is>
          <t>Notifications | Syncs | Automations</t>
        </is>
      </c>
      <c r="AB22" s="18" t="inlineStr">
        <is>
          <t>A: How do we send an email when an order is created? | B: Add a database webhook on the orders table that calls an edge function.</t>
        </is>
      </c>
      <c r="AC22" s="18" t="inlineStr">
        <is>
          <t>✗ A database webhook is the same as the realtime feature → ✓ Realtime pushes changes to subscribed clients, while a database webhook calls a URL from the server side</t>
        </is>
      </c>
      <c r="AD22" s="18" t="inlineStr">
        <is>
          <t>Database webhook vs Realtime: a webhook calls a URL on the server, Realtime pushes to connected clients.</t>
        </is>
      </c>
      <c r="AE22" s="18" t="inlineStr">
        <is>
          <t>Do not leave the receiving URL unverified.</t>
        </is>
      </c>
      <c r="AF22" s="18" t="inlineStr">
        <is>
          <t>A data change calls a URL.</t>
        </is>
      </c>
      <c r="AG22" s="18" t="inlineStr">
        <is>
          <t>Emailing a coach when a student submits a recording.</t>
        </is>
      </c>
      <c r="AH22" s="18" t="inlineStr">
        <is>
          <t>An interviewer may ask: How would you react to a new row with server code?</t>
        </is>
      </c>
      <c r="AI22" s="18" t="inlineStr">
        <is>
          <t>It is like a doorbell that rings another system.</t>
        </is>
      </c>
      <c r="AJ22" s="18" t="inlineStr">
        <is>
          <t>What does a database webhook send?</t>
        </is>
      </c>
      <c r="AK22" s="18" t="inlineStr">
        <is>
          <t>A) An HTTP request about a row change B) A table C) A password D) A file</t>
        </is>
      </c>
      <c r="AL22" s="18" t="inlineStr">
        <is>
          <t>A</t>
        </is>
      </c>
      <c r="AM22" s="18" t="inlineStr">
        <is>
          <t>It calls a URL with the details of the change.</t>
        </is>
      </c>
      <c r="AN22" s="18" t="inlineStr">
        <is>
          <t>A database webhook is built on a ____ → trigger</t>
        </is>
      </c>
      <c r="AO22" s="18" t="inlineStr">
        <is>
          <t>How do you send an email when a row is inserted? → Add a database webhook that calls an Edge Function</t>
        </is>
      </c>
      <c r="AP22" s="18" t="inlineStr">
        <is>
          <t>Explain database webhooks in three lines.</t>
        </is>
      </c>
      <c r="AQ22" s="18" t="inlineStr">
        <is>
          <t>Write two events in your app that deserve a database webhook.</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row r="23" ht="175.5" customHeight="1">
      <c r="A23" s="17" t="inlineStr">
        <is>
          <t>SUP-045</t>
        </is>
      </c>
      <c r="B23" s="17" t="inlineStr">
        <is>
          <t>08 Production and advanced</t>
        </is>
      </c>
      <c r="C23" s="17" t="inlineStr">
        <is>
          <t>Advanced</t>
        </is>
      </c>
      <c r="D23" s="17" t="n">
        <v>45</v>
      </c>
      <c r="E23" s="17" t="inlineStr">
        <is>
          <t>Claude knowledge</t>
        </is>
      </c>
      <c r="F23" s="18" t="inlineStr">
        <is>
          <t>Connection pooling (transaction vs session mode)</t>
        </is>
      </c>
      <c r="G23" s="18" t="inlineStr">
        <is>
          <t>Why do serverless apps connect to Supabase through a pooler, and how do the transaction and session modes differ?</t>
        </is>
      </c>
      <c r="H23" s="18" t="inlineStr">
        <is>
          <t>Production concept</t>
        </is>
      </c>
      <c r="I23" s="18" t="inlineStr">
        <is>
          <t>High</t>
        </is>
      </c>
      <c r="J23" s="18" t="n">
        <v>5</v>
      </c>
      <c r="K23" s="18" t="inlineStr">
        <is>
          <t>Each Postgres connection is expensive and the number is limited, so a pooler sits in front of the database and shares a small set of real connections among many clients.</t>
        </is>
      </c>
      <c r="L23" s="18" t="inlineStr">
        <is>
          <t>Use transaction mode for serverless and short-lived connections, and a direct or session connection for migrations and long-lived sessions.</t>
        </is>
      </c>
      <c r="M23" s="18" t="inlineStr">
        <is>
          <t>A pooler is a receptionist who shares a few phone lines among many callers.</t>
        </is>
      </c>
      <c r="N23" s="18" t="inlineStr">
        <is>
          <t>Many app connections funnelling into a few database connections.</t>
        </is>
      </c>
      <c r="O23" s="18" t="inlineStr">
        <is>
          <t>The relief of an app that does not crash under too many connections.</t>
        </is>
      </c>
      <c r="P23" s="18" t="inlineStr">
        <is>
          <t>Connection pooling reuses a small number of database connections for many clients, and in transaction mode a connection is held only for the length of one transaction, while session mode holds it for a whole client session.</t>
        </is>
      </c>
      <c r="Q23" s="17" t="n"/>
      <c r="R23" s="18" t="inlineStr">
        <is>
          <t>Supabase provides a pooler, so apps do not open too many direct connections. Transaction mode, commonly on port 6543, suits serverless functions because connections are returned after each transaction, but it does not support some session features such as prepared statements. Session mode, commonly on port 5432 through the pooler, keeps one connection per client and has a limit on clients. The direct connection goes straight to the database, and depends on IPv6 unless you add IPv4 support, so copy the exact strings from your dashboard.</t>
        </is>
      </c>
      <c r="S23" s="18" t="inlineStr">
        <is>
          <t>Do not let every serverless function open its own database connection. Connect through the pooler in transaction mode, and use the direct or session string only for tasks like migrations.</t>
        </is>
      </c>
      <c r="T23" s="18" t="inlineStr">
        <is>
          <t>A pooler is a receptionist who shares a few phone lines among many callers.</t>
        </is>
      </c>
      <c r="U23" s="18" t="inlineStr">
        <is>
          <t>Serverless app → pooler (transaction mode) → database. Migrations → direct or session connection.</t>
        </is>
      </c>
      <c r="V23" s="18" t="inlineStr">
        <is>
          <t>A Next.js app on serverless hosting using the transaction pooler string.</t>
        </is>
      </c>
      <c r="W23" s="18" t="inlineStr">
        <is>
          <t>A migration command using the direct connection string.</t>
        </is>
      </c>
      <c r="X23" s="18" t="inlineStr">
        <is>
          <t>Too many connections errors disappearing after switching to the pooler.</t>
        </is>
      </c>
      <c r="Y23" s="18" t="inlineStr">
        <is>
          <t>Prisma and Supabase, connection strings, serverless, migrations</t>
        </is>
      </c>
      <c r="Z23" s="18" t="inlineStr">
        <is>
          <t>pooler, transaction mode, session mode, direct connection, port</t>
        </is>
      </c>
      <c r="AA23" s="18" t="inlineStr">
        <is>
          <t>Serverless hosting | ORMs such as Prisma | High-traffic apps</t>
        </is>
      </c>
      <c r="AB23" s="18" t="inlineStr">
        <is>
          <t>A: Our app runs out of connections on serverless. | B: Switch to the transaction pooler connection string.</t>
        </is>
      </c>
      <c r="AC23" s="18" t="inlineStr">
        <is>
          <t>✗ Every app should connect directly to the database for the best speed → ✓ Serverless and high-traffic apps should use the pooler to avoid exhausting connections</t>
        </is>
      </c>
      <c r="AD23" s="18" t="inlineStr">
        <is>
          <t>Transaction vs session mode: transaction mode shares connections per transaction, session mode holds one per client session.</t>
        </is>
      </c>
      <c r="AE23" s="18" t="inlineStr">
        <is>
          <t>Do not run migrations through the transaction pooler.</t>
        </is>
      </c>
      <c r="AF23" s="18" t="inlineStr">
        <is>
          <t>A pooler shares a few lines among many callers.</t>
        </is>
      </c>
      <c r="AG23" s="18" t="inlineStr">
        <is>
          <t>Using the transaction pooler for runtime and the session or direct string for migrations.</t>
        </is>
      </c>
      <c r="AH23" s="18" t="inlineStr">
        <is>
          <t>An interviewer may ask: Why use a connection pooler with serverless?</t>
        </is>
      </c>
      <c r="AI23" s="18" t="inlineStr">
        <is>
          <t>It is like a receptionist who shares a few phone lines among many callers.</t>
        </is>
      </c>
      <c r="AJ23" s="18" t="inlineStr">
        <is>
          <t>Which mode suits serverless functions?</t>
        </is>
      </c>
      <c r="AK23" s="18" t="inlineStr">
        <is>
          <t>A) No pooling B) Session mode only C) Transaction mode D) Read-only mode</t>
        </is>
      </c>
      <c r="AL23" s="18" t="inlineStr">
        <is>
          <t>C</t>
        </is>
      </c>
      <c r="AM23" s="18" t="inlineStr">
        <is>
          <t>Transaction mode releases connections after each transaction, which suits short-lived functions.</t>
        </is>
      </c>
      <c r="AN23" s="18" t="inlineStr">
        <is>
          <t>A pooler shares a few real ____ among many clients → connections</t>
        </is>
      </c>
      <c r="AO23" s="18" t="inlineStr">
        <is>
          <t>Migrations fail through the transaction pooler. What should you use? → The direct or session connection string</t>
        </is>
      </c>
      <c r="AP23" s="18" t="inlineStr">
        <is>
          <t>Explain pooling and its two modes in three lines.</t>
        </is>
      </c>
      <c r="AQ23" s="18" t="inlineStr">
        <is>
          <t>Write which connection string you would use for runtime and for migrations.</t>
        </is>
      </c>
      <c r="AR23" s="17">
        <f>IF(J23="","",REPT("★",J23)&amp;REPT("☆",5-J23)&amp;" ("&amp;J23&amp;"/5)")</f>
        <v/>
      </c>
      <c r="AS23" s="17">
        <f>IF(Q23="","","Meaning: "&amp;Q23&amp;"  =  ______   (Answer: "&amp;F23&amp;")")</f>
        <v/>
      </c>
      <c r="AT23" s="17" t="inlineStr">
        <is>
          <t>New</t>
        </is>
      </c>
      <c r="AU23" s="17" t="n"/>
      <c r="AV23" s="17" t="n"/>
      <c r="AW23" s="17" t="n"/>
      <c r="AX23" s="17" t="n"/>
      <c r="AY23" s="17" t="n"/>
      <c r="AZ23" s="17" t="n"/>
      <c r="BA23" s="17" t="n"/>
      <c r="BB23" s="17" t="n"/>
    </row>
    <row r="24" ht="108" customHeight="1">
      <c r="A24" s="17" t="inlineStr">
        <is>
          <t>SUP-046</t>
        </is>
      </c>
      <c r="B24" s="17" t="inlineStr">
        <is>
          <t>08 Production and advanced</t>
        </is>
      </c>
      <c r="C24" s="17" t="inlineStr">
        <is>
          <t>Intermediate</t>
        </is>
      </c>
      <c r="D24" s="17" t="n">
        <v>46</v>
      </c>
      <c r="E24" s="17" t="inlineStr">
        <is>
          <t>Claude knowledge</t>
        </is>
      </c>
      <c r="F24" s="18" t="inlineStr">
        <is>
          <t>Backups and recovery</t>
        </is>
      </c>
      <c r="G24" s="18" t="inlineStr">
        <is>
          <t>What protects you if data is deleted by mistake, and how can you take your own copy of the database?</t>
        </is>
      </c>
      <c r="H24" s="18" t="inlineStr">
        <is>
          <t>Production concept</t>
        </is>
      </c>
      <c r="I24" s="18" t="inlineStr">
        <is>
          <t>Medium</t>
        </is>
      </c>
      <c r="J24" s="18" t="n">
        <v>4</v>
      </c>
      <c r="K24" s="18" t="inlineStr">
        <is>
          <t>Mistakes and failures happen, so production databases need copies from which they can be restored, and relying on only one copy is risky.</t>
        </is>
      </c>
      <c r="L24" s="18" t="inlineStr">
        <is>
          <t>Check what backups your plan includes, and also keep your own regular dumps for important data.</t>
        </is>
      </c>
      <c r="M24" s="18" t="inlineStr">
        <is>
          <t>Backups are spare keys kept in a safe place, which you hope never to need.</t>
        </is>
      </c>
      <c r="N24" s="18" t="inlineStr">
        <is>
          <t>A clock face with saved copies at earlier times.</t>
        </is>
      </c>
      <c r="O24" s="18" t="inlineStr">
        <is>
          <t>The calm of knowing a mistake can be undone.</t>
        </is>
      </c>
      <c r="P24" s="18" t="inlineStr">
        <is>
          <t>Backups are saved copies of the database that let you restore it after data loss, and Supabase offers automatic backups on some plans, and optional point-in-time recovery.</t>
        </is>
      </c>
      <c r="Q24" s="17" t="n"/>
      <c r="R24" s="18" t="inlineStr">
        <is>
          <t>What is included depends on your plan, so check the dashboard and current documentation. Point-in-time recovery lets you restore to a chosen moment, as an add-on. You can also take your own dump with the CLI, such as supabase db dump, and keep it elsewhere. Test a restore before you need it, because an untested backup is only a hope.</t>
        </is>
      </c>
      <c r="S24" s="18" t="inlineStr">
        <is>
          <t>Know what your plan backs up, keep your own dumps for important data, and practise restoring them.</t>
        </is>
      </c>
      <c r="T24" s="18" t="inlineStr">
        <is>
          <t>It is like spare keys kept in a safe place.</t>
        </is>
      </c>
      <c r="U24" s="18" t="inlineStr">
        <is>
          <t>Plan backups + your own dumps + tested restores</t>
        </is>
      </c>
      <c r="V24" s="18" t="inlineStr">
        <is>
          <t>Daily backups on a paid plan.</t>
        </is>
      </c>
      <c r="W24" s="18" t="inlineStr">
        <is>
          <t>Taking a dump with the CLI before a risky migration.</t>
        </is>
      </c>
      <c r="X24" s="18" t="inlineStr">
        <is>
          <t>Restoring to a new project to check that a backup works.</t>
        </is>
      </c>
      <c r="Y24" s="18" t="inlineStr">
        <is>
          <t>migrations, local development, production</t>
        </is>
      </c>
      <c r="Z24" s="18" t="inlineStr">
        <is>
          <t>backup, restore, dump, point-in-time recovery</t>
        </is>
      </c>
      <c r="AA24" s="18" t="inlineStr">
        <is>
          <t>Production projects | Before big changes | Disaster recovery</t>
        </is>
      </c>
      <c r="AB24" s="18" t="inlineStr">
        <is>
          <t>A: Someone deleted a table by mistake. | B: Check the backups, and restore from the latest copy or point in time.</t>
        </is>
      </c>
      <c r="AC24" s="18" t="inlineStr">
        <is>
          <t>✗ Backups are only needed after something goes wrong → ✓ Backups must be set up and tested beforehand, because they cannot be created after data is lost</t>
        </is>
      </c>
      <c r="AD24" s="18" t="inlineStr">
        <is>
          <t>Backup vs migration: a backup saves the data, a migration records the structure changes.</t>
        </is>
      </c>
      <c r="AE24" s="18" t="inlineStr">
        <is>
          <t>Do not assume every plan includes the backups you need.</t>
        </is>
      </c>
      <c r="AF24" s="18" t="inlineStr">
        <is>
          <t>Test the restore before you need it.</t>
        </is>
      </c>
      <c r="AG24" s="18" t="inlineStr">
        <is>
          <t>Dumping the database before running a risky migration.</t>
        </is>
      </c>
      <c r="AH24" s="18" t="inlineStr">
        <is>
          <t>An interviewer may ask: How would you recover from accidental data deletion?</t>
        </is>
      </c>
      <c r="AI24" s="18" t="inlineStr">
        <is>
          <t>It is like spare keys in a safe place.</t>
        </is>
      </c>
      <c r="AJ24" s="18" t="inlineStr">
        <is>
          <t>What should you do to be sure a backup works?</t>
        </is>
      </c>
      <c r="AK24" s="18" t="inlineStr">
        <is>
          <t>A) Test a restore B) Rename it C) Compress it twice D) Delete it</t>
        </is>
      </c>
      <c r="AL24" s="18" t="inlineStr">
        <is>
          <t>A</t>
        </is>
      </c>
      <c r="AM24" s="18" t="inlineStr">
        <is>
          <t>An untested backup may fail when you need it.</t>
        </is>
      </c>
      <c r="AN24" s="18" t="inlineStr">
        <is>
          <t>Restoring to a chosen moment is called point-in-time ____ → recovery</t>
        </is>
      </c>
      <c r="AO24" s="18" t="inlineStr">
        <is>
          <t>What should you do before a risky migration? → Take a fresh backup or dump</t>
        </is>
      </c>
      <c r="AP24" s="18" t="inlineStr">
        <is>
          <t>Explain backups in three lines.</t>
        </is>
      </c>
      <c r="AQ24" s="18" t="inlineStr">
        <is>
          <t>Write your backup plan for a small production app.</t>
        </is>
      </c>
      <c r="AR24" s="17">
        <f>IF(J24="","",REPT("★",J24)&amp;REPT("☆",5-J24)&amp;" ("&amp;J24&amp;"/5)")</f>
        <v/>
      </c>
      <c r="AS24" s="17">
        <f>IF(Q24="","","Meaning: "&amp;Q24&amp;"  =  ______   (Answer: "&amp;F24&amp;")")</f>
        <v/>
      </c>
      <c r="AT24" s="17" t="inlineStr">
        <is>
          <t>New</t>
        </is>
      </c>
      <c r="AU24" s="17" t="n"/>
      <c r="AV24" s="17" t="n"/>
      <c r="AW24" s="17" t="n"/>
      <c r="AX24" s="17" t="n"/>
      <c r="AY24" s="17" t="n"/>
      <c r="AZ24" s="17" t="n"/>
      <c r="BA24" s="17" t="n"/>
      <c r="BB24" s="17" t="n"/>
    </row>
    <row r="25" ht="135" customHeight="1">
      <c r="A25" s="17" t="inlineStr">
        <is>
          <t>SUP-050</t>
        </is>
      </c>
      <c r="B25" s="17" t="inlineStr">
        <is>
          <t>08 Production and advanced</t>
        </is>
      </c>
      <c r="C25" s="17" t="inlineStr">
        <is>
          <t>Advanced</t>
        </is>
      </c>
      <c r="D25" s="17" t="n">
        <v>50</v>
      </c>
      <c r="E25" s="17" t="inlineStr">
        <is>
          <t>Claude knowledge</t>
        </is>
      </c>
      <c r="F25" s="18" t="inlineStr">
        <is>
          <t>Security checklist before launch</t>
        </is>
      </c>
      <c r="G25" s="18" t="inlineStr">
        <is>
          <t>Which key checks should you make before putting a Supabase app in front of real users?</t>
        </is>
      </c>
      <c r="H25" s="18" t="inlineStr">
        <is>
          <t>Production practice</t>
        </is>
      </c>
      <c r="I25" s="18" t="inlineStr">
        <is>
          <t>High</t>
        </is>
      </c>
      <c r="J25" s="18" t="n">
        <v>5</v>
      </c>
      <c r="K25" s="18" t="inlineStr">
        <is>
          <t>Because the browser talks to the database directly, a few missed settings can expose data, so teams review a standard list before going live.</t>
        </is>
      </c>
      <c r="L25" s="18" t="inlineStr">
        <is>
          <t>Run through the list in the dashboard's security and performance advisors, and fix every warning about tables without RLS.</t>
        </is>
      </c>
      <c r="M25" s="18" t="inlineStr">
        <is>
          <t>A launch checklist is a pilot's pre-flight list, boring but life-saving.</t>
        </is>
      </c>
      <c r="N25" s="18" t="inlineStr">
        <is>
          <t>A list with ticks beside RLS, keys, storage and auth settings.</t>
        </is>
      </c>
      <c r="O25" s="18" t="inlineStr">
        <is>
          <t>The confidence of launching with nothing forgotten.</t>
        </is>
      </c>
      <c r="P25" s="18" t="inlineStr">
        <is>
          <t>A pre-launch security checklist confirms that RLS is on with correct policies, secret keys stay on servers, storage and auth are configured safely, and backups and monitoring exist.</t>
        </is>
      </c>
      <c r="Q25" s="17" t="n"/>
      <c r="R25" s="18" t="inlineStr">
        <is>
          <t>Check that every exposed table has RLS and tested policies. Check that the service role key is only in server code and not in any bundle. Review private buckets and storage policies, the allowed redirect URLs, email confirmation settings and password rules. Use separate projects for development and production, enable backups, and review the advisors and logs. Rotate any key that has ever leaked.</t>
        </is>
      </c>
      <c r="S25" s="18" t="inlineStr">
        <is>
          <t>Before launch, check RLS on every table, keep the service role key on the server, protect storage, set auth redirects, and make sure backups exist.</t>
        </is>
      </c>
      <c r="T25" s="18" t="inlineStr">
        <is>
          <t>It is like a pilot's pre-flight list, which is boring but life-saving.</t>
        </is>
      </c>
      <c r="U25" s="18" t="inlineStr">
        <is>
          <t>RLS + keys + storage + auth settings + backups + monitoring</t>
        </is>
      </c>
      <c r="V25" s="18" t="inlineStr">
        <is>
          <t>Finding a table without RLS using the security advisor.</t>
        </is>
      </c>
      <c r="W25" s="18" t="inlineStr">
        <is>
          <t>Removing the service role key from a front-end environment file.</t>
        </is>
      </c>
      <c r="X25" s="18" t="inlineStr">
        <is>
          <t>Limiting the redirect URLs to the real site address.</t>
        </is>
      </c>
      <c r="Y25" s="18" t="inlineStr">
        <is>
          <t>Row Level Security, keys, storage policies, backups</t>
        </is>
      </c>
      <c r="Z25" s="18" t="inlineStr">
        <is>
          <t>advisor, audit, RLS, secrets, monitoring</t>
        </is>
      </c>
      <c r="AA25" s="18" t="inlineStr">
        <is>
          <t>Before launch | Security reviews | Team handovers</t>
        </is>
      </c>
      <c r="AB25" s="18" t="inlineStr">
        <is>
          <t>A: Are we ready to launch? | B: First check RLS on every table, the keys, storage policies and backups.</t>
        </is>
      </c>
      <c r="AC25" s="18" t="inlineStr">
        <is>
          <t>✗ Security can be added after launch when users arrive → ✓ Exposed tables without RLS are open from the start, so security must be checked before launch</t>
        </is>
      </c>
      <c r="AD25" s="18" t="inlineStr">
        <is>
          <t>Development vs production settings: development can be relaxed, production needs RLS, restricted redirects and backups.</t>
        </is>
      </c>
      <c r="AE25" s="18" t="inlineStr">
        <is>
          <t>Do not launch with test policies such as using true on private tables.</t>
        </is>
      </c>
      <c r="AF25" s="18" t="inlineStr">
        <is>
          <t>Check RLS, keys, storage, auth and backups.</t>
        </is>
      </c>
      <c r="AG25" s="18" t="inlineStr">
        <is>
          <t>Reviewing every table and bucket before opening an app to students.</t>
        </is>
      </c>
      <c r="AH25" s="18" t="inlineStr">
        <is>
          <t>An interviewer may ask: What do you check before launching a Supabase app?</t>
        </is>
      </c>
      <c r="AI25" s="18" t="inlineStr">
        <is>
          <t>It is like a pilot's pre-flight list.</t>
        </is>
      </c>
      <c r="AJ25" s="18" t="inlineStr">
        <is>
          <t>Which item must never be in browser code?</t>
        </is>
      </c>
      <c r="AK25" s="18" t="inlineStr">
        <is>
          <t>A) The project URL B) The page title C) The service role key D) The client key</t>
        </is>
      </c>
      <c r="AL25" s="18" t="inlineStr">
        <is>
          <t>C</t>
        </is>
      </c>
      <c r="AM25" s="18" t="inlineStr">
        <is>
          <t>The service role key bypasses RLS and must stay on servers.</t>
        </is>
      </c>
      <c r="AN25" s="18" t="inlineStr">
        <is>
          <t>Every exposed table should have ____ enabled → RLS</t>
        </is>
      </c>
      <c r="AO25" s="18" t="inlineStr">
        <is>
          <t>What should you check for private files before launch? → That buckets are private and storage policies are correct</t>
        </is>
      </c>
      <c r="AP25" s="18" t="inlineStr">
        <is>
          <t>Explain the pre-launch checklist in three lines.</t>
        </is>
      </c>
      <c r="AQ25" s="18" t="inlineStr">
        <is>
          <t>Write your own five-point launch checklist for a Supabase app.</t>
        </is>
      </c>
      <c r="AR25" s="17">
        <f>IF(J25="","",REPT("★",J25)&amp;REPT("☆",5-J25)&amp;" ("&amp;J25&amp;"/5)")</f>
        <v/>
      </c>
      <c r="AS25" s="17">
        <f>IF(Q25="","","Meaning: "&amp;Q25&amp;"  =  ______   (Answer: "&amp;F25&amp;")")</f>
        <v/>
      </c>
      <c r="AT25" s="17" t="inlineStr">
        <is>
          <t>New</t>
        </is>
      </c>
      <c r="AU25" s="17" t="n"/>
      <c r="AV25" s="17" t="n"/>
      <c r="AW25" s="17" t="n"/>
      <c r="AX25" s="17" t="n"/>
      <c r="AY25" s="17" t="n"/>
      <c r="AZ25" s="17" t="n"/>
      <c r="BA25" s="17" t="n"/>
      <c r="BB25" s="17" t="n"/>
    </row>
    <row r="26" ht="121.5" customHeight="1">
      <c r="A26" s="17" t="inlineStr">
        <is>
          <t>SUP-052</t>
        </is>
      </c>
      <c r="B26" s="17" t="inlineStr">
        <is>
          <t>09 Prisma with Supabase</t>
        </is>
      </c>
      <c r="C26" s="17" t="inlineStr">
        <is>
          <t>Advanced</t>
        </is>
      </c>
      <c r="D26" s="17" t="n">
        <v>52</v>
      </c>
      <c r="E26" s="17" t="inlineStr">
        <is>
          <t>Claude knowledge</t>
        </is>
      </c>
      <c r="F26" s="18" t="inlineStr">
        <is>
          <t>Prisma, RLS and who is allowed what</t>
        </is>
      </c>
      <c r="G26" s="18" t="inlineStr">
        <is>
          <t>When Prisma talks to Supabase with a database connection, which security layer does it skip, and what must you do instead?</t>
        </is>
      </c>
      <c r="H26" s="18" t="inlineStr">
        <is>
          <t>Security concept</t>
        </is>
      </c>
      <c r="I26" s="18" t="inlineStr">
        <is>
          <t>High</t>
        </is>
      </c>
      <c r="J26" s="18" t="n">
        <v>5</v>
      </c>
      <c r="K26" s="18" t="inlineStr">
        <is>
          <t>Row Level Security depends on the token a client sends, but an ORM connects as a database user, so the database cannot tell which app user is asking.</t>
        </is>
      </c>
      <c r="L26" s="18" t="inlineStr">
        <is>
          <t>Scope every Prisma query by the signed-in user, for example with where id and userId, and do not rely on RLS for ORM access.</t>
        </is>
      </c>
      <c r="M26" s="18" t="inlineStr">
        <is>
          <t>Using an ORM is entering through the staff entrance, where the guards at the visitor doors do not check you.</t>
        </is>
      </c>
      <c r="N26" s="18" t="inlineStr">
        <is>
          <t>A direct database connection passing around the row-level guards.</t>
        </is>
      </c>
      <c r="O26" s="18" t="inlineStr">
        <is>
          <t>The responsibility of checking access in your own code.</t>
        </is>
      </c>
      <c r="P26" s="18" t="inlineStr">
        <is>
          <t>Prisma connects as a database role that normally bypasses RLS, so authorisation for Prisma queries must be enforced in your own application code.</t>
        </is>
      </c>
      <c r="Q26" s="17" t="n"/>
      <c r="R26" s="18" t="inlineStr">
        <is>
          <t>With supabase-js and a user session, policies decide what each request can see. With Prisma through the connection string, the database sees only the database user, typically the postgres role, which bypasses RLS. So you must filter by the current user in every query, check permissions in server code, and keep RLS enabled anyway as protection for any direct API access to the same tables.</t>
        </is>
      </c>
      <c r="S26" s="18" t="inlineStr">
        <is>
          <t>Policies protect requests made with user tokens. Prisma does not use user tokens, so check the user in your own server code and filter every query by that user.</t>
        </is>
      </c>
      <c r="T26" s="18" t="inlineStr">
        <is>
          <t>It is like entering through a staff entrance where the guards at the visitor doors do not check you.</t>
        </is>
      </c>
      <c r="U26" s="18" t="inlineStr">
        <is>
          <t>supabase-js with a user token = RLS applies. Prisma with a connection string = your code must authorise.</t>
        </is>
      </c>
      <c r="V26" s="18" t="inlineStr">
        <is>
          <t>A Prisma query using where id and userId so users reach only their rows.</t>
        </is>
      </c>
      <c r="W26" s="18" t="inlineStr">
        <is>
          <t>Keeping RLS on, so a leaked client key cannot read the tables.</t>
        </is>
      </c>
      <c r="X26" s="18" t="inlineStr">
        <is>
          <t>A server action that checks the signed-in user before any Prisma call.</t>
        </is>
      </c>
      <c r="Y26" s="18" t="inlineStr">
        <is>
          <t>bypassing RLS, connection strings, Row Level Security, server-side auth</t>
        </is>
      </c>
      <c r="Z26" s="18" t="inlineStr">
        <is>
          <t>ORM, bypass, authorisation, scope, userId</t>
        </is>
      </c>
      <c r="AA26" s="18" t="inlineStr">
        <is>
          <t>Next.js with Prisma | Server actions | API routes</t>
        </is>
      </c>
      <c r="AB26" s="18" t="inlineStr">
        <is>
          <t>A: We enabled RLS but Prisma still reads every row. | B: Prisma connects as a role that bypasses RLS, so scope each query by the user in code.</t>
        </is>
      </c>
      <c r="AC26" s="18" t="inlineStr">
        <is>
          <t>✗ Enabling RLS automatically protects data used through Prisma → ✓ Prisma usually bypasses RLS, so authorisation must be coded into each query</t>
        </is>
      </c>
      <c r="AD26" s="18" t="inlineStr">
        <is>
          <t>RLS vs query scoping: RLS is enforced by the database for token-based requests, scoping is enforced in your code for ORM requests.</t>
        </is>
      </c>
      <c r="AE26" s="18" t="inlineStr">
        <is>
          <t>Do not fetch a record by id alone and then compare the user afterwards.</t>
        </is>
      </c>
      <c r="AF26" s="18" t="inlineStr">
        <is>
          <t>ORM means you must authorise.</t>
        </is>
      </c>
      <c r="AG26" s="18" t="inlineStr">
        <is>
          <t>Scoping every Prisma query by the signed-in user's id in a learning platform.</t>
        </is>
      </c>
      <c r="AH26" s="18" t="inlineStr">
        <is>
          <t>An interviewer may ask: Does RLS protect queries made through an ORM?</t>
        </is>
      </c>
      <c r="AI26" s="18" t="inlineStr">
        <is>
          <t>It is like entering by a staff entrance where visitor guards do not check you.</t>
        </is>
      </c>
      <c r="AJ26" s="18" t="inlineStr">
        <is>
          <t>Why does RLS not stop a Prisma query?</t>
        </is>
      </c>
      <c r="AK26" s="18" t="inlineStr">
        <is>
          <t>A) Prisma connects as a role that bypasses RLS B) Prisma uses the anon key C) RLS only works on views D) Prisma encrypts rows</t>
        </is>
      </c>
      <c r="AL26" s="18" t="inlineStr">
        <is>
          <t>A</t>
        </is>
      </c>
      <c r="AM26" s="18" t="inlineStr">
        <is>
          <t>The database role used by the connection string bypasses policies.</t>
        </is>
      </c>
      <c r="AN26" s="18" t="inlineStr">
        <is>
          <t>Every Prisma query should be ____ by the current user → scoped</t>
        </is>
      </c>
      <c r="AO26" s="18" t="inlineStr">
        <is>
          <t>How do you protect rows when using Prisma? → Filter every query by the signed-in user in your own code</t>
        </is>
      </c>
      <c r="AP26" s="18" t="inlineStr">
        <is>
          <t>Explain why RLS does not protect Prisma queries in three lines.</t>
        </is>
      </c>
      <c r="AQ26" s="18" t="inlineStr">
        <is>
          <t>Write a Prisma query that fetches a note only if it belongs to the current user.</t>
        </is>
      </c>
      <c r="AR26" s="17">
        <f>IF(J26="","",REPT("★",J26)&amp;REPT("☆",5-J26)&amp;" ("&amp;J26&amp;"/5)")</f>
        <v/>
      </c>
      <c r="AS26" s="17">
        <f>IF(Q26="","","Meaning: "&amp;Q26&amp;"  =  ______   (Answer: "&amp;F26&amp;")")</f>
        <v/>
      </c>
      <c r="AT26" s="17" t="inlineStr">
        <is>
          <t>New</t>
        </is>
      </c>
      <c r="AU26" s="17" t="n"/>
      <c r="AV26" s="17" t="n"/>
      <c r="AW26" s="17" t="n"/>
      <c r="AX26" s="17" t="n"/>
      <c r="AY26" s="17" t="n"/>
      <c r="AZ26" s="17" t="n"/>
      <c r="BA26" s="17" t="n"/>
      <c r="BB26" s="17" t="n"/>
    </row>
  </sheetData>
  <autoFilter ref="A2:BB26"/>
  <mergeCells count="6">
    <mergeCell ref="F1:O1"/>
    <mergeCell ref="AT1:BB1"/>
    <mergeCell ref="AR1:AS1"/>
    <mergeCell ref="A1:E1"/>
    <mergeCell ref="AJ1:AQ1"/>
    <mergeCell ref="P1:AI1"/>
  </mergeCells>
  <dataValidations count="2">
    <dataValidation sqref="AT3:AT26" showDropDown="0" showInputMessage="0" showErrorMessage="0" allowBlank="1" type="list">
      <formula1>"New,Learning,Known"</formula1>
    </dataValidation>
    <dataValidation sqref="BA3:BA26"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SUP-001</t>
        </is>
      </c>
    </row>
    <row r="4">
      <c r="A4" s="23" t="inlineStr">
        <is>
          <t>FRONT · Recognition (pehchano)</t>
        </is>
      </c>
    </row>
    <row r="5" ht="30" customHeight="1">
      <c r="A5" s="24" t="inlineStr">
        <is>
          <t>ID</t>
        </is>
      </c>
      <c r="B5" s="17">
        <f>INDEX('Topic (56-pt) cards'!$A$3:$BB$26,MATCH($B$2,'Topic (56-pt) cards'!$A$3:$A$26,0),MATCH("ID",'Topic (56-pt) cards'!$A$2:$BB$2,0))&amp;""</f>
        <v/>
      </c>
    </row>
    <row r="6" ht="30" customHeight="1">
      <c r="A6" s="24" t="inlineStr">
        <is>
          <t>Topic</t>
        </is>
      </c>
      <c r="B6" s="17">
        <f>INDEX('Topic (56-pt) cards'!$A$3:$BB$26,MATCH($B$2,'Topic (56-pt) cards'!$A$3:$A$26,0),MATCH("Topic",'Topic (56-pt) cards'!$A$2:$BB$2,0))&amp;""</f>
        <v/>
      </c>
    </row>
    <row r="7" ht="30" customHeight="1">
      <c r="A7" s="24" t="inlineStr">
        <is>
          <t>Level</t>
        </is>
      </c>
      <c r="B7" s="17">
        <f>INDEX('Topic (56-pt) cards'!$A$3:$BB$26,MATCH($B$2,'Topic (56-pt) cards'!$A$3:$A$26,0),MATCH("Level",'Topic (56-pt) cards'!$A$2:$BB$2,0))&amp;""</f>
        <v/>
      </c>
    </row>
    <row r="8" ht="30" customHeight="1">
      <c r="A8" s="24" t="inlineStr">
        <is>
          <t>Term / topic</t>
        </is>
      </c>
      <c r="B8" s="17">
        <f>INDEX('Topic (56-pt) cards'!$A$3:$BB$26,MATCH($B$2,'Topic (56-pt) cards'!$A$3:$A$26,0),MATCH("Term / topic",'Topic (56-pt) cards'!$A$2:$BB$2,0))&amp;""</f>
        <v/>
      </c>
    </row>
    <row r="9" ht="30" customHeight="1">
      <c r="A9" s="24" t="inlineStr">
        <is>
          <t>Recall cue</t>
        </is>
      </c>
      <c r="B9" s="17">
        <f>INDEX('Topic (56-pt) cards'!$A$3:$BB$26,MATCH($B$2,'Topic (56-pt) cards'!$A$3:$A$26,0),MATCH("Recall cue",'Topic (56-pt) cards'!$A$2:$BB$2,0))&amp;""</f>
        <v/>
      </c>
    </row>
    <row r="10" ht="30" customHeight="1">
      <c r="A10" s="24" t="inlineStr">
        <is>
          <t>Category</t>
        </is>
      </c>
      <c r="B10" s="17">
        <f>INDEX('Topic (56-pt) cards'!$A$3:$BB$26,MATCH($B$2,'Topic (56-pt) cards'!$A$3:$A$26,0),MATCH("Category",'Topic (56-pt) cards'!$A$2:$BB$2,0))&amp;""</f>
        <v/>
      </c>
    </row>
    <row r="11" ht="30" customHeight="1">
      <c r="A11" s="24" t="inlineStr">
        <is>
          <t>How often used</t>
        </is>
      </c>
      <c r="B11" s="17">
        <f>INDEX('Topic (56-pt) cards'!$A$3:$BB$26,MATCH($B$2,'Topic (56-pt) cards'!$A$3:$A$26,0),MATCH("How often used",'Topic (56-pt) cards'!$A$2:$BB$2,0))&amp;""</f>
        <v/>
      </c>
    </row>
    <row r="12" ht="30" customHeight="1">
      <c r="A12" s="24" t="inlineStr">
        <is>
          <t>Importance (1-5)</t>
        </is>
      </c>
      <c r="B12" s="17">
        <f>INDEX('Topic (56-pt) cards'!$A$3:$BB$26,MATCH($B$2,'Topic (56-pt) cards'!$A$3:$A$26,0),MATCH("Importance (1-5)",'Topic (56-pt) cards'!$A$2:$BB$2,0))&amp;""</f>
        <v/>
      </c>
    </row>
    <row r="13" ht="30" customHeight="1">
      <c r="A13" s="24" t="inlineStr">
        <is>
          <t>Origin / why it exists</t>
        </is>
      </c>
      <c r="B13" s="17">
        <f>INDEX('Topic (56-pt) cards'!$A$3:$BB$26,MATCH($B$2,'Topic (56-pt) cards'!$A$3:$A$26,0),MATCH("Origin / why it exists",'Topic (56-pt) cards'!$A$2:$BB$2,0))&amp;""</f>
        <v/>
      </c>
    </row>
    <row r="14" ht="30" customHeight="1">
      <c r="A14" s="24" t="inlineStr">
        <is>
          <t>Pro tip</t>
        </is>
      </c>
      <c r="B14" s="17">
        <f>INDEX('Topic (56-pt) cards'!$A$3:$BB$26,MATCH($B$2,'Topic (56-pt) cards'!$A$3:$A$26,0),MATCH("Pro tip",'Topic (56-pt) cards'!$A$2:$BB$2,0))&amp;""</f>
        <v/>
      </c>
    </row>
    <row r="15" ht="30" customHeight="1">
      <c r="A15" s="24" t="inlineStr">
        <is>
          <t>Memory story</t>
        </is>
      </c>
      <c r="B15" s="17">
        <f>INDEX('Topic (56-pt) cards'!$A$3:$BB$26,MATCH($B$2,'Topic (56-pt) cards'!$A$3:$A$26,0),MATCH("Memory story",'Topic (56-pt) cards'!$A$2:$BB$2,0))&amp;""</f>
        <v/>
      </c>
    </row>
    <row r="16" ht="30" customHeight="1">
      <c r="A16" s="24" t="inlineStr">
        <is>
          <t>Picture it</t>
        </is>
      </c>
      <c r="B16" s="17">
        <f>INDEX('Topic (56-pt) cards'!$A$3:$BB$26,MATCH($B$2,'Topic (56-pt) cards'!$A$3:$A$26,0),MATCH("Picture it",'Topic (56-pt) cards'!$A$2:$BB$2,0))&amp;""</f>
        <v/>
      </c>
    </row>
    <row r="17" ht="30" customHeight="1">
      <c r="A17" s="24" t="inlineStr">
        <is>
          <t>Emotion hook</t>
        </is>
      </c>
      <c r="B17" s="17">
        <f>INDEX('Topic (56-pt) cards'!$A$3:$BB$26,MATCH($B$2,'Topic (56-pt) cards'!$A$3:$A$26,0),MATCH("Emotion hook",'Topic (56-pt) cards'!$A$2:$BB$2,0))&amp;""</f>
        <v/>
      </c>
    </row>
    <row r="18" ht="30" customHeight="1">
      <c r="A18" s="24" t="inlineStr">
        <is>
          <t>Importance ★</t>
        </is>
      </c>
      <c r="B18" s="17">
        <f>INDEX('Topic (56-pt) cards'!$A$3:$BB$26,MATCH($B$2,'Topic (56-pt) cards'!$A$3:$A$26,0),MATCH("Importance ★",'Topic (56-pt) cards'!$A$2:$BB$2,0))&amp;""</f>
        <v/>
      </c>
    </row>
    <row r="19">
      <c r="A19" s="25" t="inlineStr">
        <is>
          <t>BACK · Understanding (samjho)</t>
        </is>
      </c>
    </row>
    <row r="20" ht="40.5" customHeight="1">
      <c r="A20" s="24" t="inlineStr">
        <is>
          <t>Definition (simple)</t>
        </is>
      </c>
      <c r="B20" s="17">
        <f>INDEX('Topic (56-pt) cards'!$A$3:$BB$26,MATCH($B$2,'Topic (56-pt) cards'!$A$3:$A$26,0),MATCH("Definition (simple)",'Topic (56-pt) cards'!$A$2:$BB$2,0))&amp;""</f>
        <v/>
      </c>
    </row>
    <row r="21" ht="30" customHeight="1">
      <c r="A21" s="24" t="inlineStr">
        <is>
          <t>Meaning in learner's language</t>
        </is>
      </c>
      <c r="B21" s="17">
        <f>INDEX('Topic (56-pt) cards'!$A$3:$BB$26,MATCH($B$2,'Topic (56-pt) cards'!$A$3:$A$26,0),MATCH("Meaning in learner's language",'Topic (56-pt) cards'!$A$2:$BB$2,0))&amp;""</f>
        <v/>
      </c>
    </row>
    <row r="22" ht="81" customHeight="1">
      <c r="A22" s="24" t="inlineStr">
        <is>
          <t>How / why it works</t>
        </is>
      </c>
      <c r="B22" s="17">
        <f>INDEX('Topic (56-pt) cards'!$A$3:$BB$26,MATCH($B$2,'Topic (56-pt) cards'!$A$3:$A$26,0),MATCH("How / why it works",'Topic (56-pt) cards'!$A$2:$BB$2,0))&amp;""</f>
        <v/>
      </c>
    </row>
    <row r="23" ht="30" customHeight="1">
      <c r="A23" s="24" t="inlineStr">
        <is>
          <t>Simple explanation (Hinglish)</t>
        </is>
      </c>
      <c r="B23" s="17">
        <f>INDEX('Topic (56-pt) cards'!$A$3:$BB$26,MATCH($B$2,'Topic (56-pt) cards'!$A$3:$A$26,0),MATCH("Simple explanation (Hinglish)",'Topic (56-pt) cards'!$A$2:$BB$2,0))&amp;""</f>
        <v/>
      </c>
    </row>
    <row r="24" ht="30" customHeight="1">
      <c r="A24" s="24" t="inlineStr">
        <is>
          <t>Real-life analogy</t>
        </is>
      </c>
      <c r="B24" s="17">
        <f>INDEX('Topic (56-pt) cards'!$A$3:$BB$26,MATCH($B$2,'Topic (56-pt) cards'!$A$3:$A$26,0),MATCH("Real-life analogy",'Topic (56-pt) cards'!$A$2:$BB$2,0))&amp;""</f>
        <v/>
      </c>
    </row>
    <row r="25" ht="30" customHeight="1">
      <c r="A25" s="24" t="inlineStr">
        <is>
          <t>Formula / rule</t>
        </is>
      </c>
      <c r="B25" s="17">
        <f>INDEX('Topic (56-pt) cards'!$A$3:$BB$26,MATCH($B$2,'Topic (56-pt) cards'!$A$3:$A$26,0),MATCH("Formula / rule",'Topic (56-pt) cards'!$A$2:$BB$2,0))&amp;""</f>
        <v/>
      </c>
    </row>
    <row r="26" ht="30" customHeight="1">
      <c r="A26" s="24" t="inlineStr">
        <is>
          <t>Example 1</t>
        </is>
      </c>
      <c r="B26" s="17">
        <f>INDEX('Topic (56-pt) cards'!$A$3:$BB$26,MATCH($B$2,'Topic (56-pt) cards'!$A$3:$A$26,0),MATCH("Example 1",'Topic (56-pt) cards'!$A$2:$BB$2,0))&amp;""</f>
        <v/>
      </c>
    </row>
    <row r="27" ht="30" customHeight="1">
      <c r="A27" s="24" t="inlineStr">
        <is>
          <t>Example 2</t>
        </is>
      </c>
      <c r="B27" s="17">
        <f>INDEX('Topic (56-pt) cards'!$A$3:$BB$26,MATCH($B$2,'Topic (56-pt) cards'!$A$3:$A$26,0),MATCH("Example 2",'Topic (56-pt) cards'!$A$2:$BB$2,0))&amp;""</f>
        <v/>
      </c>
    </row>
    <row r="28" ht="30" customHeight="1">
      <c r="A28" s="24" t="inlineStr">
        <is>
          <t>Example 3</t>
        </is>
      </c>
      <c r="B28" s="17">
        <f>INDEX('Topic (56-pt) cards'!$A$3:$BB$26,MATCH($B$2,'Topic (56-pt) cards'!$A$3:$A$26,0),MATCH("Example 3",'Topic (56-pt) cards'!$A$2:$BB$2,0))&amp;""</f>
        <v/>
      </c>
    </row>
    <row r="29" ht="30" customHeight="1">
      <c r="A29" s="24" t="inlineStr">
        <is>
          <t>Related concepts</t>
        </is>
      </c>
      <c r="B29" s="17">
        <f>INDEX('Topic (56-pt) cards'!$A$3:$BB$26,MATCH($B$2,'Topic (56-pt) cards'!$A$3:$A$26,0),MATCH("Related concepts",'Topic (56-pt) cards'!$A$2:$BB$2,0))&amp;""</f>
        <v/>
      </c>
    </row>
    <row r="30" ht="30" customHeight="1">
      <c r="A30" s="24" t="inlineStr">
        <is>
          <t>Family / group</t>
        </is>
      </c>
      <c r="B30" s="17">
        <f>INDEX('Topic (56-pt) cards'!$A$3:$BB$26,MATCH($B$2,'Topic (56-pt) cards'!$A$3:$A$26,0),MATCH("Family / group",'Topic (56-pt) cards'!$A$2:$BB$2,0))&amp;""</f>
        <v/>
      </c>
    </row>
    <row r="31" ht="30" customHeight="1">
      <c r="A31" s="24" t="inlineStr">
        <is>
          <t>Where it is used</t>
        </is>
      </c>
      <c r="B31" s="17">
        <f>INDEX('Topic (56-pt) cards'!$A$3:$BB$26,MATCH($B$2,'Topic (56-pt) cards'!$A$3:$A$26,0),MATCH("Where it is used",'Topic (56-pt) cards'!$A$2:$BB$2,0))&amp;""</f>
        <v/>
      </c>
    </row>
    <row r="32" ht="30" customHeight="1">
      <c r="A32" s="24" t="inlineStr">
        <is>
          <t>Mini conversation</t>
        </is>
      </c>
      <c r="B32" s="17">
        <f>INDEX('Topic (56-pt) cards'!$A$3:$BB$26,MATCH($B$2,'Topic (56-pt) cards'!$A$3:$A$26,0),MATCH("Mini conversation",'Topic (56-pt) cards'!$A$2:$BB$2,0))&amp;""</f>
        <v/>
      </c>
    </row>
    <row r="33" ht="30" customHeight="1">
      <c r="A33" s="24" t="inlineStr">
        <is>
          <t>Common mistake</t>
        </is>
      </c>
      <c r="B33" s="17">
        <f>INDEX('Topic (56-pt) cards'!$A$3:$BB$26,MATCH($B$2,'Topic (56-pt) cards'!$A$3:$A$26,0),MATCH("Common mistake",'Topic (56-pt) cards'!$A$2:$BB$2,0))&amp;""</f>
        <v/>
      </c>
    </row>
    <row r="34" ht="30" customHeight="1">
      <c r="A34" s="24" t="inlineStr">
        <is>
          <t>Don't confuse with</t>
        </is>
      </c>
      <c r="B34" s="17">
        <f>INDEX('Topic (56-pt) cards'!$A$3:$BB$26,MATCH($B$2,'Topic (56-pt) cards'!$A$3:$A$26,0),MATCH("Don't confuse with",'Topic (56-pt) cards'!$A$2:$BB$2,0))&amp;""</f>
        <v/>
      </c>
    </row>
    <row r="35" ht="30" customHeight="1">
      <c r="A35" s="24" t="inlineStr">
        <is>
          <t>Avoid / don't</t>
        </is>
      </c>
      <c r="B35" s="17">
        <f>INDEX('Topic (56-pt) cards'!$A$3:$BB$26,MATCH($B$2,'Topic (56-pt) cards'!$A$3:$A$26,0),MATCH("Avoid / don't",'Topic (56-pt) cards'!$A$2:$BB$2,0))&amp;""</f>
        <v/>
      </c>
    </row>
    <row r="36" ht="30" customHeight="1">
      <c r="A36" s="24" t="inlineStr">
        <is>
          <t>Memory trick</t>
        </is>
      </c>
      <c r="B36" s="17">
        <f>INDEX('Topic (56-pt) cards'!$A$3:$BB$26,MATCH($B$2,'Topic (56-pt) cards'!$A$3:$A$26,0),MATCH("Memory trick",'Topic (56-pt) cards'!$A$2:$BB$2,0))&amp;""</f>
        <v/>
      </c>
    </row>
    <row r="37" ht="30" customHeight="1">
      <c r="A37" s="24" t="inlineStr">
        <is>
          <t>Real life: project / work</t>
        </is>
      </c>
      <c r="B37" s="17">
        <f>INDEX('Topic (56-pt) cards'!$A$3:$BB$26,MATCH($B$2,'Topic (56-pt) cards'!$A$3:$A$26,0),MATCH("Real life: project / work",'Topic (56-pt) cards'!$A$2:$BB$2,0))&amp;""</f>
        <v/>
      </c>
    </row>
    <row r="38" ht="30" customHeight="1">
      <c r="A38" s="24" t="inlineStr">
        <is>
          <t>Real life: interview / exam</t>
        </is>
      </c>
      <c r="B38" s="17">
        <f>INDEX('Topic (56-pt) cards'!$A$3:$BB$26,MATCH($B$2,'Topic (56-pt) cards'!$A$3:$A$26,0),MATCH("Real life: interview / exam",'Topic (56-pt) cards'!$A$2:$BB$2,0))&amp;""</f>
        <v/>
      </c>
    </row>
    <row r="39" ht="30" customHeight="1">
      <c r="A39" s="24" t="inlineStr">
        <is>
          <t>Real life: daily life</t>
        </is>
      </c>
      <c r="B39" s="17">
        <f>INDEX('Topic (56-pt) cards'!$A$3:$BB$26,MATCH($B$2,'Topic (56-pt) cards'!$A$3:$A$26,0),MATCH("Real life: daily life",'Topic (56-pt) cards'!$A$2:$BB$2,0))&amp;""</f>
        <v/>
      </c>
    </row>
    <row r="40">
      <c r="A40" s="27" t="inlineStr">
        <is>
          <t>PRACTICE · Khud karo</t>
        </is>
      </c>
    </row>
    <row r="41" ht="30" customHeight="1">
      <c r="A41" s="24" t="inlineStr">
        <is>
          <t>MCQ question</t>
        </is>
      </c>
      <c r="B41" s="17">
        <f>INDEX('Topic (56-pt) cards'!$A$3:$BB$26,MATCH($B$2,'Topic (56-pt) cards'!$A$3:$A$26,0),MATCH("MCQ question",'Topic (56-pt) cards'!$A$2:$BB$2,0))&amp;""</f>
        <v/>
      </c>
    </row>
    <row r="42" ht="30" customHeight="1">
      <c r="A42" s="24" t="inlineStr">
        <is>
          <t>MCQ options</t>
        </is>
      </c>
      <c r="B42" s="17">
        <f>INDEX('Topic (56-pt) cards'!$A$3:$BB$26,MATCH($B$2,'Topic (56-pt) cards'!$A$3:$A$26,0),MATCH("MCQ options",'Topic (56-pt) cards'!$A$2:$BB$2,0))&amp;""</f>
        <v/>
      </c>
    </row>
    <row r="43" ht="30" customHeight="1">
      <c r="A43" s="24" t="inlineStr">
        <is>
          <t>MCQ answer</t>
        </is>
      </c>
      <c r="B43" s="17">
        <f>INDEX('Topic (56-pt) cards'!$A$3:$BB$26,MATCH($B$2,'Topic (56-pt) cards'!$A$3:$A$26,0),MATCH("MCQ answer",'Topic (56-pt) cards'!$A$2:$BB$2,0))&amp;""</f>
        <v/>
      </c>
    </row>
    <row r="44" ht="30" customHeight="1">
      <c r="A44" s="24" t="inlineStr">
        <is>
          <t>Why that answer</t>
        </is>
      </c>
      <c r="B44" s="17">
        <f>INDEX('Topic (56-pt) cards'!$A$3:$BB$26,MATCH($B$2,'Topic (56-pt) cards'!$A$3:$A$26,0),MATCH("Why that answer",'Topic (56-pt) cards'!$A$2:$BB$2,0))&amp;""</f>
        <v/>
      </c>
    </row>
    <row r="45" ht="30" customHeight="1">
      <c r="A45" s="24" t="inlineStr">
        <is>
          <t>Fill the blank</t>
        </is>
      </c>
      <c r="B45" s="17">
        <f>INDEX('Topic (56-pt) cards'!$A$3:$BB$26,MATCH($B$2,'Topic (56-pt) cards'!$A$3:$A$26,0),MATCH("Fill the blank",'Topic (56-pt) cards'!$A$2:$BB$2,0))&amp;""</f>
        <v/>
      </c>
    </row>
    <row r="46" ht="30" customHeight="1">
      <c r="A46" s="24" t="inlineStr">
        <is>
          <t>Apply it</t>
        </is>
      </c>
      <c r="B46" s="17">
        <f>INDEX('Topic (56-pt) cards'!$A$3:$BB$26,MATCH($B$2,'Topic (56-pt) cards'!$A$3:$A$26,0),MATCH("Apply it",'Topic (56-pt) cards'!$A$2:$BB$2,0))&amp;""</f>
        <v/>
      </c>
    </row>
    <row r="47" ht="30" customHeight="1">
      <c r="A47" s="24" t="inlineStr">
        <is>
          <t>Explain it yourself</t>
        </is>
      </c>
      <c r="B47" s="17">
        <f>INDEX('Topic (56-pt) cards'!$A$3:$BB$26,MATCH($B$2,'Topic (56-pt) cards'!$A$3:$A$26,0),MATCH("Explain it yourself",'Topic (56-pt) cards'!$A$2:$BB$2,0))&amp;""</f>
        <v/>
      </c>
    </row>
    <row r="48" ht="30" customHeight="1">
      <c r="A48" s="24" t="inlineStr">
        <is>
          <t>Write your own</t>
        </is>
      </c>
      <c r="B48" s="17">
        <f>INDEX('Topic (56-pt) cards'!$A$3:$BB$26,MATCH($B$2,'Topic (56-pt) cards'!$A$3:$A$26,0),MATCH("Write your own",'Topic (56-pt) cards'!$A$2:$BB$2,0))&amp;""</f>
        <v/>
      </c>
    </row>
    <row r="49" ht="30" customHeight="1">
      <c r="A49" s="24" t="inlineStr">
        <is>
          <t>Quick recall (reverse)</t>
        </is>
      </c>
      <c r="B49" s="17">
        <f>INDEX('Topic (56-pt) cards'!$A$3:$BB$26,MATCH($B$2,'Topic (56-pt) cards'!$A$3:$A$26,0),MATCH("Quick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cards'!$A$3:$A$26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3"/>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Supabase
Which open-source platform gives you a PostgreSQL database, login, file storage and a ready-made API in one project?</t>
        </is>
      </c>
      <c r="B2" s="29" t="inlineStr">
        <is>
          <t>DEFINITION (SIMPLE):
Supabase is an open-source backend platform built on PostgreSQL that provides a database, authentication, storage, realtime updates, functions and automatic APIs.
HOW / WHY IT WORKS:
When you create a project you get a real Postgres database. Supabase adds an auto-generated REST API over your tables, an authentication service, file storage, realtime subscriptions, edge functions and a dashboard. Your app talks to all of it through client libraries such as supabase-js.
SIMPLE EXPLANATION (HINGLISH):
Supabase gives your app a database, user login, file storage and an API without you building a server first. You can still use plain SQL because it is real PostgreSQL underneath.
REAL-LIFE ANALOGY:
It is like a ready-furnished flat where the kitchen, lock and storeroom are already fitted.
FORMULA / RULE:
Supabase = Postgres + Auth + Storage + Realtime + Functions + auto API
EXAMPLE 1:
A to-do app that stores tasks in a Supabase table and lets users log in.
EXAMPLE 2:
A photo app that keeps pictures in Supabase Storage.
EXAMPLE 3:
A chat app that shows new messages live through Realtime.
RELATED CONCEPTS:
PostgreSQL, Firebase, Row Level Security, supabase-js
FAMILY / GROUP:
backend-as-a-service, Postgres, Auth, Storage, Realtime
WHERE IT IS USED:
Web and mobile apps | Prototypes and startups | Education projects
MINI CONVERSATION:
A: Do I need to build my own server for login and data? | B: Not necessarily, Supabase provides the database, login and API for you.
COMMON MISTAKE:
✗ Supabase is a new kind of database that is not SQL → ✓ Supabase is built on PostgreSQL, so standard SQL works as it does anywhere
DON'T CONFUSE WITH:
Supabase vs a plain database: a database stores data, Supabase adds login, storage, APIs and realtime around it.
AVOID / DON'T:
Do not treat Supabase as magic, learn the Postgres underneath.
MEMORY TRICK:
Supabase is Postgres plus the extras you need.
REAL LIFE: PROJECT / WORK:
Using Supabase for the database, login and file storage of a learning app.
REAL LIFE: INTERVIEW / EXAM:
An interviewer may ask: What is Supabase and how does it differ from Firebase?
REAL LIFE: DAILY LIFE:
It is like moving into a flat that is already furnished.</t>
        </is>
      </c>
      <c r="C2" s="29" t="inlineStr">
        <is>
          <t>01_Basics_Beginner_SUP-001</t>
        </is>
      </c>
    </row>
    <row r="3" ht="409" customHeight="1">
      <c r="A3" s="29" t="inlineStr">
        <is>
          <t>Project and dashboard
What is the container for one app's database, auth and storage called, and where do you manage it?</t>
        </is>
      </c>
      <c r="B3" s="29" t="inlineStr">
        <is>
          <t>DEFINITION (SIMPLE):
A project is one isolated Supabase backend with its own database, auth, storage and keys, managed through the web dashboard.
HOW / WHY IT WORKS:
The dashboard has a Table Editor for browsing data, an SQL Editor for running queries, sections for Authentication, Storage, Edge Functions and Realtime, and project settings with API keys and connection details. A project lives in one region and has its own URL.
SIMPLE EXPLANATION (HINGLISH):
Make one project per app. Inside the dashboard you create tables, manage users, see files and copy the keys your app needs.
REAL-LIFE ANALOGY:
A project is one apartment in a building and the dashboard is its control panel.
FORMULA / RULE:
One app (or environment) = one project = one dashboard
EXAMPLE 1:
A project called learning-app-dev for testing.
EXAMPLE 2:
A separate project called learning-app-prod for real users.
EXAMPLE 3:
Using the Table Editor to look at rows without writing SQL.
RELATED CONCEPTS:
API keys, environments, SQL Editor, Table Editor
FAMILY / GROUP:
project, dashboard, region, organisation
WHERE IT IS USED:
Starting every app | Switching environments | Team access
MINI CONVERSATION:
A: Should test and real data share one project? | B: No, make separate projects for development and production.
COMMON MISTAKE:
✗ One Supabase project can safely serve all my apps and environments → ✓ Use a separate project for each app and environment so data and keys stay isolated
DON'T CONFUSE WITH:
Project vs organisation: a project is one backend, an organisation groups projects and members.
AVOID / DON'T:
Do not test destructive changes on the production project.
MEMORY TRICK:
One project per app and per environment.
REAL LIFE: PROJECT / WORK:
Keeping a dev project and a prod project and moving changes between them with migrations.
REAL LIFE: INTERVIEW / EXAM:
An interviewer may ask: How do you separate development and production in Supabase?
REAL LIFE: DAILY LIFE:
It is like one apartment with its own control panel.</t>
        </is>
      </c>
      <c r="C3" s="29" t="inlineStr">
        <is>
          <t>01_Basics_Beginner_SUP-002</t>
        </is>
      </c>
    </row>
    <row r="4" ht="409" customHeight="1">
      <c r="A4" s="29" t="inlineStr">
        <is>
          <t>Supabase vs Firebase
Which two backend platforms differ mainly in using SQL relational tables versus a NoSQL document database?</t>
        </is>
      </c>
      <c r="B4" s="29" t="inlineStr">
        <is>
          <t>DEFINITION (SIMPLE):
Supabase uses PostgreSQL relational tables, SQL and open-source components, while Firebase uses NoSQL document databases and Google's proprietary services.
HOW / WHY IT WORKS:
Supabase offers joins, constraints, SQL and Row Level Security, and it can be self-hosted. Firebase offers Firestore and a Realtime Database with a very polished mobile toolkit and tight Google integration. Data portability is easier with Postgres because you can export it with standard tools.
SIMPLE EXPLANATION (HINGLISH):
If your data fits neatly in related tables, Supabase feels natural. Firebase is document-based, which suits different shapes of data.
REAL-LIFE ANALOGY:
Firebase is folders of documents, and Supabase is tables with relationships, like linked spreadsheets.
FORMULA / RULE:
Supabase = SQL and tables. Firebase = documents and collections.
EXAMPLE 1:
A shop with products, orders and customers fits Supabase tables well.
EXAMPLE 2:
A chat app with nested message documents may fit Firestore well.
EXAMPLE 3:
A team that already knows SQL moving quickly with Supabase.
RELATED CONCEPTS:
PostgreSQL, SQL, NoSQL, vendor lock-in
FAMILY / GROUP:
SQL, NoSQL, document, relational, open source
WHERE IT IS USED:
Choosing a backend | Migration planning | Architecture discussions
MINI CONVERSATION:
A: Why choose Supabase over Firebase? | B: Our data is relational and the team knows SQL, and we like that it is open source.
COMMON MISTAKE:
✗ Supabase and Firebase are the same product with different names → ✓ They differ in database type, openness and how you query and secure data
DON'T CONFUSE WITH:
Supabase vs Firebase: relational SQL on Postgres versus NoSQL documents on Google's platform.
AVOID / DON'T:
Do not choose a tool only because it is popular, check your data shape first.
MEMORY TRICK:
Supabase is SQL tables, Firebase is documents.
REAL LIFE: PROJECT / WORK:
Choosing Supabase for an app with orders, products and customers that need joins.
REAL LIFE: INTERVIEW / EXAM:
An interviewer may ask: When would you pick Supabase over Firebase?
REAL LIFE: DAILY LIFE:
It is like linked spreadsheets versus folders of documents.</t>
        </is>
      </c>
      <c r="C4" s="29" t="inlineStr">
        <is>
          <t>01_Basics_Beginner_SUP-003</t>
        </is>
      </c>
    </row>
    <row r="5" ht="409" customHeight="1">
      <c r="A5" s="29" t="inlineStr">
        <is>
          <t>Project URL and API keys
Which two values from your project settings does your app need in order to connect to Supabase?</t>
        </is>
      </c>
      <c r="B5" s="29" t="inlineStr">
        <is>
          <t>DEFINITION (SIMPLE):
The project URL is the web address of your Supabase project, and API keys are credentials that your app sends to access it.
HOW / WHY IT WORKS:
The URL looks like https://yourref.supabase.co. The client key, formerly called the anon key and now also offered as a publishable key, is meant for browsers and apps and relies on Row Level Security to limit access. The service role or secret key has full power and must stay on the server. Key naming has been changing, so check your dashboard for the current names.
SIMPLE EXPLANATION (HINGLISH):
Your app needs the project URL and a public client key to connect. Keep the powerful server key away from front-end code.
REAL-LIFE ANALOGY:
The URL is the address of your front door and the key is the pass you show there.
FORMULA / RULE:
createClient(URL, client key)
EXAMPLE 1:
A URL such as https://abcd1234.supabase.co.
EXAMPLE 2:
A client key used in browser code with RLS protecting data.
EXAMPLE 3:
A server-only secret key used in a backend script.
RELATED CONCEPTS:
anon key vs service role key, environment variables, createClient
FAMILY / GROUP:
URL, anon key, publishable key, service role, secret key
WHERE IT IS USED:
Every Supabase app | Configuration | Deployment
MINI CONVERSATION:
A: Where do I find the keys? | B: In the project settings, under the API section of the dashboard.
COMMON MISTAKE:
✗ Every Supabase key is safe to put in front-end code → ✓ Only the client key is meant for front-end use, and the service role or secret key must stay on the server
DON'T CONFUSE WITH:
Client key vs service role key: the client key is limited by RLS, the service role key bypasses it.
AVOID / DON'T:
Do not commit keys to a public repository.
MEMORY TRICK:
URL says where, key says who.
REAL LIFE: PROJECT / WORK:
Putting the URL and client key in environment variables of a web app.
REAL LIFE: INTERVIEW / EXAM:
An interviewer may ask: What do you need to connect an app to Supabase?
REAL LIFE: DAILY LIFE:
It is like an address plus a pass for the door.</t>
        </is>
      </c>
      <c r="C5" s="29" t="inlineStr">
        <is>
          <t>01_Basics_Beginner_SUP-004</t>
        </is>
      </c>
    </row>
    <row r="6" ht="409" customHeight="1">
      <c r="A6" s="29" t="inlineStr">
        <is>
          <t>anon key vs service role key
Which key is safe to expose in a browser because Row Level Security limits it, and which one bypasses all rules?</t>
        </is>
      </c>
      <c r="B6" s="29" t="inlineStr">
        <is>
          <t>DEFINITION (SIMPLE):
The anon (client) key identifies unauthenticated or logged-in app users and is subject to Row Level Security, while the service role (secret) key has full access and bypasses RLS.
HOW / WHY IT WORKS:
With the anon key, requests run as the anon or authenticated database role, so policies decide what rows are visible. The service role key runs with a role that bypasses RLS, so it can read and write everything. It belongs only in trusted server code, such as edge functions or backend jobs. Naming is moving towards publishable and secret keys, but the roles are the same idea.
SIMPLE EXPLANATION (HINGLISH):
Use the anon key in the app, because RLS guards your data. Use the service role key only on your own server, because it ignores the rules.
REAL-LIFE ANALOGY:
The anon key is a visitor badge and the service role key is the master key of the building.
FORMULA / RULE:
anon or publishable key = browser, controlled by RLS. service role or secret key = server only, bypasses RLS.
EXAMPLE 1:
A browser app using the anon key to fetch a user's own tasks.
EXAMPLE 2:
A scheduled job using the service role key to clean old rows.
EXAMPLE 3:
A leaked service role key forcing an immediate rotation.
RELATED CONCEPTS:
Row Level Security, environment variables, Auth, secrets
FAMILY / GROUP:
anon, authenticated, service_role, publishable, secret
WHERE IT IS USED:
Every Supabase app | Security reviews | Backend jobs
MINI CONVERSATION:
A: Can I use the service role key in my React app? | B: No, anyone could read it and bypass all your security rules.
COMMON MISTAKE:
✗ The service role key is fine in the browser because the site is private → ✓ Anything in front-end code can be read, so the service role key must never be there
DON'T CONFUSE WITH:
anon vs service role: anon is limited by RLS, service role bypasses it.
AVOID / DON'T:
Never put the service role key in front-end code or a public repository.
MEMORY TRICK:
Anon for the app, service role for the server.
REAL LIFE: PROJECT / WORK:
Keeping the service role key only in a server-side job and the anon key in the web app.
REAL LIFE: INTERVIEW / EXAM:
An interviewer may ask: What is the difference between the anon key and the service role key?
REAL LIFE: DAILY LIFE:
It is like a visitor badge versus the master key of a building.</t>
        </is>
      </c>
      <c r="C6" s="29" t="inlineStr">
        <is>
          <t>01_Basics_Intermediate_SUP-005</t>
        </is>
      </c>
    </row>
    <row r="7" ht="409" customHeight="1">
      <c r="A7" s="29" t="inlineStr">
        <is>
          <t>Environment variables for Supabase
Where should the project URL and keys live so they are not written directly in your source code?
# .env.local (not committed)
NEXT_PUBLIC_SUPABASE_URL=https://abcd1234.supabase.co
NEXT_PUBLIC_SUPABASE_ANON_KEY=your-client-key
SUPABASE_SERVICE_ROLE_KEY=your-server-only-key
// code
const url = process.env.NEXT_PUBLIC_SUPABASE_URL;</t>
        </is>
      </c>
      <c r="B7" s="29" t="inlineStr">
        <is>
          <t>MEANING (SHORT):
Environment variables store the URL and keys outside the code, and the app reads them at run time.
CODE:
# .env.local (not committed)
NEXT_PUBLIC_SUPABASE_URL=https://abcd1234.supabase.co
NEXT_PUBLIC_SUPABASE_ANON_KEY=your-client-key
SUPABASE_SERVICE_ROLE_KEY=your-server-only-key
// code
const url = process.env.NEXT_PUBLIC_SUPABASE_URL;
OUTPUT:
The app reads the URL from the environment, and the keys never appear in the committed code.
EXPLANATION:
In Next.js, variables starting with NEXT_PUBLIC_ are sent to the browser, so only the URL and client key should have that prefix. The service role key has no prefix, so it stays on the server. Add the env file to .gitignore, and set the same variables in your hosting provider.
SIMPLE EXPLANATION (HINGLISH):
Put the URL and keys in an env file, ignore that file in git, and read them with process.env. Never prefix the service role key so it stays server-only.
REAL-LIFE ANALOGY:
It is like labelled drawers outside the code, and the code only asks for a drawer's name.
SYNTAX PATTERN:
process.env.NAME
ANATOMY:
NEXT_PUBLIC_ = sent to the browser | no prefix = server only | .env.local = local file ignored by git
EXAMPLE 1:
const url = process.env.NEXT_PUBLIC_SUPABASE_URL;
EXAMPLE 2:
const key = process.env.NEXT_PUBLIC_SUPABASE_ANON_KEY;
EXAMPLE 3:
const admin = process.env.SUPABASE_SERVICE_ROLE_KEY;
VARIATION:
Vite uses the VITE_ prefix for variables sent to the browser
Hosting dashboards let you add the same variables for production
USED WITH:
.gitignore, createClient, deployment settings
RELATED CONCEPTS:
Project URL and API keys, anon key vs service role key, secrets
ALTERNATIVES:
A secrets manager for larger teams
WHERE IT IS USED:
Every deployment | Local development | CI settings
MINI CONVERSATION:
A: Should I paste the key into my code for now? | B: No, put it in an env file and read it with process.env.
COMMON MISTAKE:
✗ Anything in an env file is hidden from users → ✓ Variables with a public prefix are sent to the browser, so only non-secret values should have it
COMMONLY CONFUSED WITH:
Public prefix vs server-only variable: the prefixed one reaches the browser, the other stays on the server.
AVOID / DON'T:
Do not give the service role key a public prefix.
WRONG CODE:
NEXT_PUBLIC_SUPABASE_SERVICE_ROLE_KEY=your-server-only-key
RIGHT CODE:
SUPABASE_SERVICE_ROLE_KEY=your-server-only-key
MEMORY TRICK:
Public prefix means public to everyone.
REAL LIFE: PROJECT / WORK:
Setting the same variable names in the local file and the hosting dashboard.
REAL LIFE: INTERVIEW / EXAM:
An interviewer may ask: How do you keep Supabase keys out of source code?
REAL LIFE: DAILY LIFE:
It is like labelled drawers outside the code.</t>
        </is>
      </c>
      <c r="C7" s="29" t="inlineStr">
        <is>
          <t>01_Basics_Beginner_SUP-006</t>
        </is>
      </c>
    </row>
    <row r="8" ht="409" customHeight="1">
      <c r="A8" s="29" t="inlineStr">
        <is>
          <t>Tables, rows and columns
In a Supabase database, what do you call the grid that stores data in columns for each field and rows for each record?</t>
        </is>
      </c>
      <c r="B8" s="29" t="inlineStr">
        <is>
          <t>DEFINITION (SIMPLE):
A table stores records as rows, and each column holds one kind of value for those records, such as a title or a date.
HOW / WHY IT WORKS:
You can create tables in the Table Editor with clicks or in the SQL Editor with SQL. Each column has a name and a data type, and may have rules such as not null or a default value. Supabase shows the table through its API automatically.
SIMPLE EXPLANATION (HINGLISH):
A table is like a spreadsheet. Each column is a field such as title, and each row is one item, such as one to-do.
REAL-LIFE ANALOGY:
It is like a spreadsheet with strict column types.
FORMULA / RULE:
Table = columns (fields) + rows (records)
EXAMPLE 1:
A todos table with the columns id, title and done.
EXAMPLE 2:
A profiles table with one row for each user.
EXAMPLE 3:
A products table with name, price and stock columns.
RELATED CONCEPTS:
data types, primary key, SQL Editor, Table Editor
FAMILY / GROUP:
table, row, column, record, field
WHERE IT IS USED:
Every Supabase app | Data modelling | Admin screens
MINI CONVERSATION:
A: Where do I store my tasks? | B: Make a todos table with a title column and a done column.
COMMON MISTAKE:
✗ A table can hold any shape of data in any row → ✓ Every row follows the table's column structure and types
DON'T CONFUSE WITH:
Row vs column: a row is one record, a column is one field across all records.
AVOID / DON'T:
Do not put unrelated data into one giant table.
MEMORY TRICK:
Columns are fields, rows are records.
REAL LIFE: PROJECT / WORK:
Designing tables for students, lessons and progress in a learning app.
REAL LIFE: INTERVIEW / EXAM:
An interviewer may ask: What is the difference between a row and a column?
REAL LIFE: DAILY LIFE:
It is like a spreadsheet with strict column types.</t>
        </is>
      </c>
      <c r="C8" s="29" t="inlineStr">
        <is>
          <t>02_Database_Beginner_SUP-007</t>
        </is>
      </c>
    </row>
    <row r="9" ht="409" customHeight="1">
      <c r="A9" s="29" t="inlineStr">
        <is>
          <t>Common Postgres data types
Which types such as text, integer, boolean, timestamptz, uuid and jsonb decide what each column may hold?</t>
        </is>
      </c>
      <c r="B9" s="29" t="inlineStr">
        <is>
          <t>DEFINITION (SIMPLE):
A data type defines the kind of value a column accepts, such as text, whole numbers, true or false, dates with time zones, unique ids or JSON.
HOW / WHY IT WORKS:
Common types are text for words, integer and bigint for whole numbers, numeric for exact decimals, boolean for true or false, timestamptz for date and time with timezone, uuid for unique identifiers, and jsonb for flexible JSON data. Choosing the right type enables sorting, maths and validation.
SIMPLE EXPLANATION (HINGLISH):
Pick a type for each column so Postgres knows what it holds. Words go in text, yes or no in boolean, and time in timestamptz.
REAL-LIFE ANALOGY:
Types are shelves in a store, each built for one kind of goods.
FORMULA / RULE:
words = text, whole numbers = integer, yes or no = boolean, date and time = timestamptz, unique id = uuid, flexible data = jsonb
EXAMPLE 1:
A title column of type text.
EXAMPLE 2:
A created_at column of type timestamptz.
EXAMPLE 3:
A settings column of type jsonb that stores a JSON object.
RELATED CONCEPTS:
tables and columns, primary key, constraints
FAMILY / GROUP:
text, integer, boolean, timestamptz, uuid, jsonb
WHERE IT IS USED:
Creating tables | Validating data | Choosing ids
MINI CONVERSATION:
A: Which type should I use for created time? | B: Use timestamptz so the time keeps its timezone.
COMMON MISTAKE:
✗ Storing every value as text is simpler and just as good → ✓ Proper types allow correct sorting, maths and validation, and save space
DON'T CONFUSE WITH:
timestamp vs timestamptz: timestamptz keeps timezone information, plain timestamp does not.
AVOID / DON'T:
Do not store dates as text.
MEMORY TRICK:
Pick the type that fits the value.
REAL LIFE: PROJECT / WORK:
Using uuid for user ids, timestamptz for times and jsonb for flexible settings.
REAL LIFE: INTERVIEW / EXAM:
An interviewer may ask: When would you use jsonb in Postgres?
REAL LIFE: DAILY LIFE:
It is like shelves in a store, each built for one kind of goods.</t>
        </is>
      </c>
      <c r="C9" s="29" t="inlineStr">
        <is>
          <t>02_Database_Beginner_SUP-008</t>
        </is>
      </c>
    </row>
    <row r="10" ht="409" customHeight="1">
      <c r="A10" s="29" t="inlineStr">
        <is>
          <t>Primary key and foreign key
Which column uniquely identifies each row, and which column points to a row in another table?</t>
        </is>
      </c>
      <c r="B10" s="29" t="inlineStr">
        <is>
          <t>DEFINITION (SIMPLE):
A primary key is a column whose value uniquely identifies each row, and a foreign key is a column that refers to the primary key of another table.
HOW / WHY IT WORKS:
A primary key must be unique and not null. A foreign key enforces that the referenced row exists, so you cannot add a todo for a user that is not in the table. You can choose what happens on delete, such as cascade, which removes dependent rows, or restrict.
SIMPLE EXPLANATION (HINGLISH):
The primary key names each row. A foreign key says which row of another table this one belongs to, and the database keeps that link valid.
REAL-LIFE ANALOGY:
A primary key is a national ID number, and a foreign key is that number written on another form.
FORMULA / RULE:
todos.user_id (foreign key) → profiles.id (primary key)
EXAMPLE 1:
profiles.id as the primary key of the profiles table.
EXAMPLE 2:
todos.user_id referencing profiles.id.
EXAMPLE 3:
A foreign key with on delete cascade that removes a user's todos when the user is deleted.
RELATED CONCEPTS:
tables and columns, joins, constraints, Auth users
FAMILY / GROUP:
primary key, foreign key, reference, cascade, constraint
WHERE IT IS USED:
Data modelling | Joins | Integrity rules
MINI CONVERSATION:
A: Can a todo exist for a user that does not exist? | B: Not with a foreign key, since the database checks the user exists.
COMMON MISTAKE:
✗ A foreign key only labels the relationship and does not enforce it → ✓ A foreign key makes the database reject rows that refer to a missing row
DON'T CONFUSE WITH:
Primary vs foreign key: the primary key identifies a row, the foreign key refers to another table's row.
AVOID / DON'T:
Do not leave out foreign keys when tables are clearly related.
MEMORY TRICK:
A primary key identifies and a foreign key refers.
REAL LIFE: PROJECT / WORK:
Linking each lesson row to its course through a foreign key.
REAL LIFE: INTERVIEW / EXAM:
An interviewer may ask: What happens if you delete a row that other rows reference?
REAL LIFE: DAILY LIFE:
It is like an ID number written on another form to refer to a person.</t>
        </is>
      </c>
      <c r="C10" s="29" t="inlineStr">
        <is>
          <t>02_Database_Beginner_SUP-009</t>
        </is>
      </c>
    </row>
    <row r="11" ht="409" customHeight="1">
      <c r="A11" s="29" t="inlineStr">
        <is>
          <t>SQL Editor (create table)
Which dashboard tool lets you run SQL, such as a statement that creates a new table with its columns?
create table todos (
  id bigint generated always as identity primary key,
  title text not null,
  done boolean default false,
  created_at timestamptz default now()
);</t>
        </is>
      </c>
      <c r="B11" s="29" t="inlineStr">
        <is>
          <t>MEANING (SHORT):
The SQL Editor runs SQL statements against your project's database, such as create table, insert and select.
CODE:
create table todos (
  id bigint generated always as identity primary key,
  title text not null,
  done boolean default false,
  created_at timestamptz default now()
);
OUTPUT:
Success. No rows returned, and the todos table now appears in the Table Editor.
EXPLANATION:
Each column has a name, a type and optional rules such as primary key, not null and default. Identity columns generate numbers automatically, and now() fills in the current time. After running it, the table is available through the API, though you should enable Row Level Security before using it from a browser.
SIMPLE EXPLANATION (HINGLISH):
Write the create table statement, run it, and the table exists. List each column with its type and any rules.
REAL-LIFE ANALOGY:
It is like a workshop bench where you speak to the database in its own language.
SYNTAX PATTERN:
create table name (column type rules, ...);
ANATOMY:
create table = make a table | column type = each field | primary key, not null, default = rules
EXAMPLE 1:
create table todos (id bigint generated always as identity primary key, title text not null);
EXAMPLE 2:
create table profiles (id uuid primary key, full_name text);
EXAMPLE 3:
alter table todos add column due_date date;
VARIATION:
insert into todos (title) values ('Buy milk');   // add a row
select * from todos;   // read rows
USED WITH:
Table Editor, migrations, RLS, data types
RELATED CONCEPTS:
tables and columns, data types, migrations
ALTERNATIVES:
The Table Editor with clicks
WHERE IT IS USED:
Setting up tables | Quick experiments | Learning SQL
MINI CONVERSATION:
A: How do I create the todos table quickly? | B: Open the SQL Editor and run a create table statement.
COMMON MISTAKE:
✗ A table made in the SQL Editor is automatically protected by Row Level Security → ✓ Tables created with SQL do not have RLS enabled by default, so you must enable it yourself
COMMONLY CONFUSED WITH:
SQL Editor vs Table Editor: the SQL Editor runs statements, the Table Editor is a spreadsheet-like view of the data.
AVOID / DON'T:
Do not leave a new table without RLS if the browser will access it.
WRONG CODE:
create todos (id, title);
RIGHT CODE:
create table todos (id bigint generated always as identity primary key, title text not null);
MEMORY TRICK:
create table, then name, then columns.
REAL LIFE: PROJECT / WORK:
Creating the base tables of a new app in the SQL Editor and saving them as migrations.
REAL LIFE: INTERVIEW / EXAM:
An interviewer may ask: How would you create a table in Supabase?
REAL LIFE: DAILY LIFE:
It is like speaking to the database at a workshop bench.</t>
        </is>
      </c>
      <c r="C11" s="29" t="inlineStr">
        <is>
          <t>02_Database_Beginner_SUP-010</t>
        </is>
      </c>
    </row>
    <row r="12" ht="409" customHeight="1">
      <c r="A12" s="29" t="inlineStr">
        <is>
          <t>Joins and relationships in queries
How do you read related data from two tables in one query, such as each todo with its owner's name?
select todos.title, profiles.full_name
from todos
join profiles on profiles.id = todos.user_id;</t>
        </is>
      </c>
      <c r="B12" s="29" t="inlineStr">
        <is>
          <t>MEANING (SHORT):
A join combines rows from two tables by matching a column, usually a foreign key to a primary key.
CODE:
select todos.title, profiles.full_name
from todos
join profiles on profiles.id = todos.user_id;
OUTPUT:
A result with each todo title next to the full name of its owner.
EXPLANATION:
join returns only rows that match in both tables, and left join keeps all rows from the first table. With a foreign key in place, the Supabase API lets you request related data without writing SQL, by listing the related table in select.
SIMPLE EXPLANATION (HINGLISH):
Tell the database which columns match, and it pairs the rows. Then you can pick columns from both tables.
REAL-LIFE ANALOGY:
It is like pairing forms by their ID numbers.
SYNTAX PATTERN:
select ... from a join b on a.col = b.col
ANATOMY:
join = combine tables | on = the matching condition | left join = keep all rows from the first table
EXAMPLE 1:
select todos.title, profiles.full_name from todos join profiles on profiles.id = todos.user_id;
EXAMPLE 2:
select * from todos left join profiles on profiles.id = todos.user_id;
EXAMPLE 3:
await supabase.from("todos").select("title, profiles(full_name)");
VARIATION:
left join   // keep todos without a matching profile
select title, profiles(full_name)   // the supabase-js form of a join
USED WITH:
foreign keys, select, supabase-js
RELATED CONCEPTS:
primary and foreign key, REST API, select
ALTERNATIVES:
Two separate queries combined in code
WHERE IT IS USED:
Lists with owner names | Reports | Detail pages
MINI CONVERSATION:
A: I need each todo with its owner's name. | B: Join todos to profiles on the user id, or select the related table in supabase-js.
COMMON MISTAKE:
✗ A join copies the data into a new permanent table → ✓ A join only combines rows in the result of a query and stores nothing new
COMMONLY CONFUSED WITH:
join vs left join: join keeps only matches, left join keeps all rows from the first table.
AVOID / DON'T:
Do not forget the on condition, or you get every combination of rows.
WRONG CODE:
select title, full_name from todos join profiles;
RIGHT CODE:
select todos.title, profiles.full_name from todos join profiles on profiles.id = todos.user_id;
MEMORY TRICK:
A join needs an on condition.
REAL LIFE: PROJECT / WORK:
Showing each lesson with its course name in a list.
REAL LIFE: INTERVIEW / EXAM:
An interviewer may ask: What is the difference between an inner join and a left join?
REAL LIFE: DAILY LIFE:
It is like pairing forms by their ID numbers.</t>
        </is>
      </c>
      <c r="C12" s="29" t="inlineStr">
        <is>
          <t>02_Database_Intermediate_SUP-011</t>
        </is>
      </c>
    </row>
    <row r="13" ht="409" customHeight="1">
      <c r="A13" s="29" t="inlineStr">
        <is>
          <t>Indexes
Which database structure speeds up lookups on a column so queries do not scan the whole table?
create index todos_user_id_idx on todos (user_id);</t>
        </is>
      </c>
      <c r="B13" s="29" t="inlineStr">
        <is>
          <t>MEANING (SHORT):
An index is a data structure on one or more columns that lets Postgres find rows quickly without reading the entire table.
CODE:
create index todos_user_id_idx on todos (user_id);
OUTPUT:
Index created, and queries that filter by user_id become much faster on large tables.
EXPLANATION:
Postgres automatically indexes primary keys and unique constraints, but not foreign key columns. Indexes make reads faster and writes slightly slower, and they take space, so add them where queries need them. Row Level Security policies that check user_id also benefit from an index on that column.
SIMPLE EXPLANATION (HINGLISH):
Add an index on a column you search or join by. Reads get faster, and the cost is a little extra work on writes.
REAL-LIFE ANALOGY:
It is like the index at the back of a book that lets you jump to a page.
SYNTAX PATTERN:
create index name on table (column);
ANATOMY:
create index = make an index | name = index name | table (column) = what it covers
EXAMPLE 1:
create index todos_user_id_idx on todos (user_id);
EXAMPLE 2:
create index lessons_course_id_idx on lessons (course_id);
EXAMPLE 3:
create unique index profiles_email_idx on profiles (email);
VARIATION:
create index on todos (user_id, created_at);   // multi-column index
drop index todos_user_id_idx;   // remove one
USED WITH:
foreign keys, RLS policies, EXPLAIN
RELATED CONCEPTS:
performance, EXPLAIN, Row Level Security
ALTERNATIVES:
Rewriting the query to need less data
WHERE IT IS USED:
Large tables | Slow queries | RLS-heavy tables
MINI CONVERSATION:
A: Fetching a user's todos is slow now. | B: Add an index on the user_id column.
COMMON MISTAKE:
✗ Postgres automatically indexes every foreign key column → ✓ Primary keys and unique constraints are indexed, but foreign key columns usually need an index you create
COMMONLY CONFUSED WITH:
Primary key vs index: a primary key is a rule that also creates an index, an index alone only speeds up lookups.
AVOID / DON'T:
Do not add indexes to every column.
WRONG CODE:
create index on todos;
RIGHT CODE:
create index todos_user_id_idx on todos (user_id);
MEMORY TRICK:
Index the columns you search by.
REAL LIFE: PROJECT / WORK:
Adding an index on user_id so policy checks stay fast on a large table.
REAL LIFE: INTERVIEW / EXAM:
An interviewer may ask: When is an index useful and when does it hurt?
REAL LIFE: DAILY LIFE:
It is like the index at the back of a book.</t>
        </is>
      </c>
      <c r="C13" s="29" t="inlineStr">
        <is>
          <t>02_Database_Intermediate_SUP-012</t>
        </is>
      </c>
    </row>
    <row r="14" ht="409" customHeight="1">
      <c r="A14" s="29" t="inlineStr">
        <is>
          <t>Views
Which database object is a saved query that you can read from like a table?
create view open_todos with (security_invoker = true) as
select id, title, user_id
from todos
where done = false;</t>
        </is>
      </c>
      <c r="B14" s="29" t="inlineStr">
        <is>
          <t>MEANING (SHORT):
A view is a saved query that behaves like a read-only table and is recalculated whenever you read from it.
CODE:
create view open_todos with (security_invoker = true) as
select id, title, user_id
from todos
where done = false;
OUTPUT:
A view called open_todos that lists only the todos that are not done.
EXPLANATION:
A view stores no data of its own, only the query. By default a Postgres view runs with the permissions of its owner, so it can bypass Row Level Security of the tables it reads from. Setting security_invoker to true, available in recent Postgres versions, makes it run with the caller's permissions so the policies still apply.
SIMPLE EXPLANATION (HINGLISH):
A view is a saved query with a name. Read from it like a table, and make it security invoker so your RLS rules are not skipped.
REAL-LIFE ANALOGY:
It is like a window cut into your tables that always shows the latest result of a saved question.
SYNTAX PATTERN:
create view name as select ...;
ANATOMY:
create view = save the query | with (security_invoker = true) = use the caller's rights | as select = the query
EXAMPLE 1:
create view open_todos as select * from todos where done = false;
EXAMPLE 2:
select * from open_todos;
EXAMPLE 3:
create view course_summary as select course_id, count(*) as lessons from lessons group by course_id;
VARIATION:
create or replace view ...   // change an existing view
drop view open_todos;   // remove it
USED WITH:
security_invoker, RLS, joins
RELATED CONCEPTS:
tables, Row Level Security, joins
ALTERNATIVES:
A materialized view that stores the result
WHERE IT IS USED:
Reports | Simplifying queries | Exposing a limited set of columns
MINI CONVERSATION:
A: My view shows rows that RLS should hide. | B: Views run as their owner by default, so turn on security invoker.
COMMON MISTAKE:
✗ A view always respects the Row Level Security of its tables → ✓ By default a view runs with its owner's rights and can bypass RLS unless security_invoker is on
COMMONLY CONFUSED WITH:
View vs table: a view stores a query, a table stores data.
AVOID / DON'T:
Do not expose a view to the API without checking whether it bypasses RLS.
WRONG CODE:
create view open_todos as select * from todos where done = false;
RIGHT CODE:
create view open_todos with (security_invoker = true) as select * from todos where done = false;
MEMORY TRICK:
Views need security invoker to respect RLS.
REAL LIFE: PROJECT / WORK:
Exposing a read-only summary view of lesson counts, with security invoker on.
REAL LIFE: INTERVIEW / EXAM:
An interviewer may ask: Can a view bypass Row Level Security?
REAL LIFE: DAILY LIFE:
It is like a window onto a saved question.</t>
        </is>
      </c>
      <c r="C14" s="29" t="inlineStr">
        <is>
          <t>02_Database_Intermediate_SUP-013</t>
        </is>
      </c>
    </row>
    <row r="15" ht="409" customHeight="1">
      <c r="A15" s="29" t="inlineStr">
        <is>
          <t>Migrations and the Supabase CLI
How do you track and replay database changes as files so every environment gets the same structure?
supabase migration new create_todos
# edit supabase/migrations/&lt;timestamp&gt;_create_todos.sql
supabase db push</t>
        </is>
      </c>
      <c r="B15" s="29" t="inlineStr">
        <is>
          <t>MEANING (SHORT):
A migration is a versioned SQL file describing a schema change, and the Supabase CLI creates, tracks and applies them.
CODE:
supabase migration new create_todos
# edit supabase/migrations/&lt;timestamp&gt;_create_todos.sql
supabase db push
OUTPUT:
A new SQL file is created in supabase/migrations, and db push applies unapplied migrations to the linked project.
EXPLANATION:
The CLI keeps migration files in the supabase/migrations folder with timestamps. supabase db diff can generate a migration from changes made in the local database. supabase db push applies pending migrations to the linked remote project. Keeping migrations in git gives you history and repeatable setups.
SIMPLE EXPLANATION (HINGLISH):
Write each change as a SQL file, commit it, and push it to the project with the CLI. Every environment then has the same structure.
REAL-LIFE ANALOGY:
It is like recipe cards for building the database, applied in order in any kitchen.
SYNTAX PATTERN:
supabase migration new &lt;name&gt;  |  supabase db push
ANATOMY:
migration new = create a file | db push = apply to the remote | db diff = generate a migration from changes
EXAMPLE 1:
supabase migration new add_due_date_to_todos
EXAMPLE 2:
supabase db diff -f add_profiles
EXAMPLE 3:
supabase db push
VARIATION:
supabase db reset   // rebuild the local database from migrations
supabase link   // connect the CLI to a project
USED WITH:
git, local development, SQL Editor
RELATED CONCEPTS:
SQL Editor, local development, environments
ALTERNATIVES:
Prisma Migrate or another migration tool
WHERE IT IS USED:
Team projects | Production changes | Reproducible environments
MINI CONVERSATION:
A: How do I apply the same table changes to production? | B: Put them in a migration file and run supabase db push.
COMMON MISTAKE:
✗ Editing tables by hand in the dashboard is just as safe as migrations → ✓ Manual edits are not recorded, so environments drift apart, and migrations keep changes repeatable
COMMONLY CONFUSED WITH:
Migration vs SQL Editor query: a migration is a saved, ordered change, an editor query is a one-off.
AVOID / DON'T:
Do not edit applied migration files, add a new one instead.
WRONG CODE:
supabase push migration
RIGHT CODE:
supabase db push
MEMORY TRICK:
Every change gets its own file.
REAL LIFE: PROJECT / WORK:
Storing every table change as a migration and applying it to staging and production.
REAL LIFE: INTERVIEW / EXAM:
An interviewer may ask: How do you keep database schemas in sync across environments?
REAL LIFE: DAILY LIFE:
It is like recipe cards applied in order.</t>
        </is>
      </c>
      <c r="C15" s="29" t="inlineStr">
        <is>
          <t>02_Database_Intermediate_SUP-014</t>
        </is>
      </c>
    </row>
    <row r="16" ht="409" customHeight="1">
      <c r="A16" s="29" t="inlineStr">
        <is>
          <t>Auto-generated REST API (PostgREST)
Which Supabase component turns your tables into ready-to-use HTTP endpoints without any backend code?</t>
        </is>
      </c>
      <c r="B16" s="29" t="inlineStr">
        <is>
          <t>DEFINITION (SIMPLE):
PostgREST is the service that automatically exposes your Postgres tables and views as a REST API, with access controlled by database roles and Row Level Security.
HOW / WHY IT WORKS:
A table named todos becomes available at a path such as /rest/v1/todos. GET reads rows, POST inserts, PATCH updates and DELETE removes, and query parameters filter and sort. Requests are made as a database role, so RLS policies decide which rows are visible. The supabase-js library builds these calls for you.
SIMPLE EXPLANATION (HINGLISH):
Make a table and the API exists. You read and write it with normal HTTP calls or with supabase-js, and the database rules decide who can see what.
REAL-LIFE ANALOGY:
It is like a translator that turns every table into a web address.
FORMULA / RULE:
Table → /rest/v1/table_name → GET, POST, PATCH, DELETE
EXAMPLE 1:
GET /rest/v1/todos returns the rows of the todos table.
EXAMPLE 2:
POST /rest/v1/todos with a JSON body inserts a row.
EXAMPLE 3:
GET /rest/v1/todos?done=eq.false filters the rows.
RELATED CONCEPTS:
supabase-js, Row Level Security, REST, filters
FAMILY / GROUP:
PostgREST, REST, endpoint, role, schema
WHERE IT IS USED:
Every Supabase app | Quick prototypes | Mobile and web clients
MINI CONVERSATION:
A: Do I need to write endpoints for my tables? | B: No, Supabase generates the REST API from your tables automatically.
COMMON MISTAKE:
✗ The auto API is open to everyone once a table exists → ✓ Access is controlled by database roles and Row Level Security, so enable RLS on exposed tables
DON'T CONFUSE WITH:
PostgREST vs a custom backend: PostgREST exposes tables with rules in the database, a custom backend codes every endpoint.
AVOID / DON'T:
Do not expose a table to the API without RLS.
MEMORY TRICK:
A table becomes an endpoint.
REAL LIFE: PROJECT / WORK:
Reading and writing tasks from a web app with no custom server code.
REAL LIFE: INTERVIEW / EXAM:
An interviewer may ask: How does Supabase provide an API for your tables?
REAL LIFE: DAILY LIFE:
It is like a translator turning tables into web addresses.</t>
        </is>
      </c>
      <c r="C16" s="29" t="inlineStr">
        <is>
          <t>03_API_and_client_Beginner_SUP-015</t>
        </is>
      </c>
    </row>
    <row r="17" ht="409" customHeight="1">
      <c r="A17" s="29" t="inlineStr">
        <is>
          <t>createClient (supabase-js setup)
Which function from the supabase-js library gives your code a connection object to talk to a project?
import { createClient } from "@supabase/supabase-js";
const supabase = createClient(
  process.env.NEXT_PUBLIC_SUPABASE_URL,
  process.env.NEXT_PUBLIC_SUPABASE_ANON_KEY
);
export default supabase;</t>
        </is>
      </c>
      <c r="B17" s="29" t="inlineStr">
        <is>
          <t>MEANING (SHORT):
createClient builds a Supabase client from the project URL and key, which you use to call the database, auth, storage and functions.
CODE:
import { createClient } from "@supabase/supabase-js";
const supabase = createClient(
  process.env.NEXT_PUBLIC_SUPABASE_URL,
  process.env.NEXT_PUBLIC_SUPABASE_ANON_KEY
);
export default supabase;
OUTPUT:
A client object named supabase that your code uses for every Supabase call.
EXPLANATION:
Install the package with npm install @supabase/supabase-js. The client reads the URL and client key, and exposes helpers such as from for tables, auth for login, storage for files and rpc for functions. Server code that needs the service role key should use a separate client, created only on the server.
SIMPLE EXPLANATION (HINGLISH):
Install the library, call createClient with your URL and key, and keep the result in one module. Then use it for every call.
REAL-LIFE ANALOGY:
It is like plugging your app into the project with one cable that carries the address and the pass.
SYNTAX PATTERN:
createClient(supabaseUrl, supabaseKey)
ANATOMY:
createClient = make the client | supabaseUrl = project address | supabaseKey = client key
EXAMPLE 1:
const supabase = createClient(url, anonKey);
EXAMPLE 2:
const admin = createClient(url, process.env.SUPABASE_SERVICE_ROLE_KEY);
EXAMPLE 3:
import supabase from "./lib/supabase";
VARIATION:
createBrowserClient and createServerClient from @supabase/ssr   // for frameworks with server rendering
USED WITH:
environment variables, auth, from, rpc
RELATED CONCEPTS:
project URL and keys, environment variables, server-side auth
ALTERNATIVES:
Calling the REST API directly with fetch
WHERE IT IS USED:
Every JavaScript app on Supabase | Server and browser code | Scripts
MINI CONVERSATION:
A: How do I connect my app to Supabase? | B: Install supabase-js and call createClient with the URL and key.
COMMON MISTAKE:
✗ I should create a new client for every single query → ✓ Create the client once and reuse it, except for separate server-side admin clients
COMMONLY CONFUSED WITH:
Browser client vs admin client: the browser client uses the anon key, the admin client uses the service role key on a server.
AVOID / DON'T:
Do not create a client with the service role key in browser code.
WRONG CODE:
const supabase = createClient(process.env.SUPABASE_SERVICE_ROLE_KEY);
RIGHT CODE:
const supabase = createClient(process.env.NEXT_PUBLIC_SUPABASE_URL, process.env.NEXT_PUBLIC_SUPABASE_ANON_KEY);
MEMORY TRICK:
One client, created once, reused everywhere.
REAL LIFE: PROJECT / WORK:
Keeping the client in a single file that all components import.
REAL LIFE: INTERVIEW / EXAM:
An interviewer may ask: How do you initialise supabase-js?
REAL LIFE: DAILY LIFE:
It is like plugging your app in with one cable.</t>
        </is>
      </c>
      <c r="C17" s="29" t="inlineStr">
        <is>
          <t>03_API_and_client_Beginner_SUP-016</t>
        </is>
      </c>
    </row>
    <row r="18" ht="409" customHeight="1">
      <c r="A18" s="29" t="inlineStr">
        <is>
          <t>select (reading rows)
Which supabase-js call reads rows from a table, and what does it return?
const { data, error } = await supabase
  .from("todos")
  .select("id, title")
  .limit(10);
if (error) throw error;
console.log(data);</t>
        </is>
      </c>
      <c r="B18" s="29" t="inlineStr">
        <is>
          <t>MEANING (SHORT):
from(table).select(columns) reads rows and resolves to an object with data and error.
CODE:
const { data, error } = await supabase
  .from("todos")
  .select("id, title")
  .limit(10);
if (error) throw error;
console.log(data);
OUTPUT:
An array such as [{ id: 1, title: "Buy milk" }, { id: 2, title: "Study" }].
EXPLANATION:
supabase-js does not throw when a query fails, it returns an error object, so you must check error. Without a filter, select returns all rows the policies allow, up to a server limit. You list columns as a string, and can include related tables such as profiles(full_name).
SIMPLE EXPLANATION (HINGLISH):
Call from with the table name and select with the columns. You get back data and error, so always check the error before using the data.
REAL-LIFE ANALOGY:
It is like asking the shop assistant to bring only the items you name.
SYNTAX PATTERN:
await supabase.from("table").select("col1, col2")
ANATOMY:
from = which table | select = which columns | data = the rows | error = the problem, if any
EXAMPLE 1:
await supabase.from("todos").select("*");
EXAMPLE 2:
await supabase.from("todos").select("id, title");
EXAMPLE 3:
await supabase.from("todos").select("id, title, done");
VARIATION:
.single()   // expect exactly one row
.limit(10)   // at most ten rows
USED WITH:
limit, filters, order, error handling
RELATED CONCEPTS:
filters and ordering, createClient, joins
ALTERNATIVES:
A GET request to the REST API
WHERE IT IS USED:
Lists | Detail pages | Dashboards
MINI CONVERSATION:
A: My list is undefined. | B: You must destructure data and check error, since the call returns an object with both.
COMMON MISTAKE:
✗ supabase-js throws an error when a query fails → ✓ It returns an error object, so you must check error yourself
COMMONLY CONFUSED WITH:
data vs error: data holds the rows on success, error holds the problem on failure.
AVOID / DON'T:
Do not use the data before checking error.
WRONG CODE:
const todos = await supabase.from("todos").select("*");
RIGHT CODE:
const { data: todos, error } = await supabase.from("todos").select("*");
MEMORY TRICK:
Always check error before using data.
REAL LIFE: PROJECT / WORK:
Listing a user's lessons and showing a message if error is set.
REAL LIFE: INTERVIEW / EXAM:
An interviewer may ask: How does supabase-js report errors?
REAL LIFE: DAILY LIFE:
It is like asking an assistant to bring only the items you name.</t>
        </is>
      </c>
      <c r="C18" s="29" t="inlineStr">
        <is>
          <t>03_API_and_client_Beginner_SUP-017</t>
        </is>
      </c>
    </row>
    <row r="19" ht="409" customHeight="1">
      <c r="A19" s="29" t="inlineStr">
        <is>
          <t>insert (adding rows)
Which supabase-js call adds a new row to a table, and how do you get the created row back?
const { data, error } = await supabase
  .from("todos")
  .insert({ title: "Buy milk" })
  .select();
if (error) throw error;
console.log(data[0].id);</t>
        </is>
      </c>
      <c r="B19" s="29" t="inlineStr">
        <is>
          <t>MEANING (SHORT):
from(table).insert(values) adds one or more rows, and chaining select returns the created rows.
CODE:
const { data, error } = await supabase
  .from("todos")
  .insert({ title: "Buy milk" })
  .select();
if (error) throw error;
console.log(data[0].id);
OUTPUT:
The id generated for the new row, such as 3.
EXPLANATION:
insert accepts one object or an array of objects. In the current library versions it does not return the created rows unless you add select. Columns with defaults, such as ids and timestamps, are filled by the database. The insert must satisfy Row Level Security policies and table constraints.
SIMPLE EXPLANATION (HINGLISH):
Pass an object with the column values to insert. Add select to get the new row back with its generated id.
REAL-LIFE ANALOGY:
It is like dropping a new card into a filing box and asking for a copy back.
SYNTAX PATTERN:
await supabase.from("table").insert(values).select()
ANATOMY:
insert = add rows | values = an object or array of objects | select = return the created rows
EXAMPLE 1:
await supabase.from("todos").insert({ title: "Buy milk" });
EXAMPLE 2:
await supabase.from("todos").insert([{ title: "A" }, { title: "B" }]);
EXAMPLE 3:
const { data } = await supabase.from("todos").insert({ title: "Study" }).select();
VARIATION:
.upsert({ id: 1, title: "New" })   // insert or update if the id exists
USED WITH:
select, RLS policies, constraints, error handling
RELATED CONCEPTS:
select, update and delete, Row Level Security
ALTERNATIVES:
A POST request to the REST API
WHERE IT IS USED:
Forms | Creating records | Bulk imports
MINI CONVERSATION:
A: I inserted a row but data is empty. | B: Add select after insert to get the new row back.
COMMON MISTAKE:
✗ insert always returns the new row → ✓ Without select, insert returns no rows, so chain select when you need them
COMMONLY CONFUSED WITH:
insert vs upsert: insert always adds, upsert adds or updates when the key exists.
AVOID / DON'T:
Do not ignore errors, since a policy may block the insert.
WRONG CODE:
const { data } = await supabase.from("todos").insert({ title: "Buy milk" });
RIGHT CODE:
const { data } = await supabase.from("todos").insert({ title: "Buy milk" }).select();
MEMORY TRICK:
Insert adds the row, select returns it.
REAL LIFE: PROJECT / WORK:
Creating a new lesson and showing it immediately using the returned row.
REAL LIFE: INTERVIEW / EXAM:
An interviewer may ask: How do you insert several rows at once?
REAL LIFE: DAILY LIFE:
It is like dropping a card in a filing box and asking for a copy back.</t>
        </is>
      </c>
      <c r="C19" s="29" t="inlineStr">
        <is>
          <t>03_API_and_client_Beginner_SUP-018</t>
        </is>
      </c>
    </row>
    <row r="20" ht="409" customHeight="1">
      <c r="A20" s="29" t="inlineStr">
        <is>
          <t>update and delete
Which supabase-js calls change or remove existing rows, and why must you add a filter to them?
await supabase.from("todos").update({ done: true }).eq("id", 1);
await supabase.from("todos").delete().eq("id", 1);</t>
        </is>
      </c>
      <c r="B20" s="29" t="inlineStr">
        <is>
          <t>MEANING (SHORT):
update changes values in rows that match a filter, and delete removes rows that match a filter.
CODE:
await supabase.from("todos").update({ done: true }).eq("id", 1);
await supabase.from("todos").delete().eq("id", 1);
OUTPUT:
The todo with id 1 is marked done, and then it is removed from the table.
EXPLANATION:
Both methods need filters such as eq to pick the rows. Without a filter, the change could apply to many rows, and some setups reject it for safety. Row Level Security still applies, so a policy may block the change, and you will see zero affected rows or an error. Chain select to read the changed rows.
SIMPLE EXPLANATION (HINGLISH):
Say what to change, then say which row. Without the filter you may touch far more than you meant.
REAL-LIFE ANALOGY:
Update and delete are a pen and an eraser, and the filter is your finger pointing at the line.
SYNTAX PATTERN:
await supabase.from("table").update(values).eq("col", value)
ANATOMY:
update(values) = new values | delete() = remove | eq = which rows
EXAMPLE 1:
await supabase.from("todos").update({ title: "New" }).eq("id", 5);
EXAMPLE 2:
await supabase.from("todos").delete().eq("id", 5);
EXAMPLE 3:
await supabase.from("todos").delete().in("id", [1, 2, 3]);
VARIATION:
.update({ done: true }).eq("user_id", userId).select()   // return the changed rows
USED WITH:
eq, in, RLS policies, select
RELATED CONCEPTS:
filters, Row Level Security, insert
ALTERNATIVES:
A PATCH or DELETE request to the REST API
WHERE IT IS USED:
Editing records | Removing records | Clean-up jobs
MINI CONVERSATION:
A: I deleted without a filter and lost many rows. | B: Always add a filter like eq on the id before running delete.
COMMON MISTAKE:
✗ update and delete affect only one row by default → ✓ They affect every row that matches the filter, so a missing filter can change many rows
COMMONLY CONFUSED WITH:
update vs insert: update changes existing rows, insert adds new ones.
AVOID / DON'T:
Never run delete without checking the filter.
WRONG CODE:
await supabase.from("todos").delete();
RIGHT CODE:
await supabase.from("todos").delete().eq("id", 1);
MEMORY TRICK:
No filter, no safe delete.
REAL LIFE: PROJECT / WORK:
Marking a single task done with update and eq on its id.
REAL LIFE: INTERVIEW / EXAM:
An interviewer may ask: What happens if you call delete without a filter?
REAL LIFE: DAILY LIFE:
It is like a pen and an eraser pointed at one line.</t>
        </is>
      </c>
      <c r="C20" s="29" t="inlineStr">
        <is>
          <t>03_API_and_client_Beginner_SUP-019</t>
        </is>
      </c>
    </row>
    <row r="21" ht="409" customHeight="1">
      <c r="A21" s="29" t="inlineStr">
        <is>
          <t>Filters, ordering and pagination
Which chained methods let you pick matching rows, sort them, and read them a page at a time?
const { data } = await supabase
  .from("todos")
  .select("*")
  .eq("done", false)
  .order("created_at", { ascending: false })
  .range(0, 9);</t>
        </is>
      </c>
      <c r="B21" s="29" t="inlineStr">
        <is>
          <t>MEANING (SHORT):
Methods such as eq, gt, ilike and in filter rows, order sorts them, and limit or range choose how many to read.
CODE:
const { data } = await supabase
  .from("todos")
  .select("*")
  .eq("done", false)
  .order("created_at", { ascending: false })
  .range(0, 9);
OUTPUT:
The ten newest todos that are not done.
EXPLANATION:
Common filters are eq, neq, gt, gte, lt, lte, like, ilike, in and is. order sorts by a column and accepts ascending false for newest first. range takes zero-based start and end positions, so range(0, 9) returns the first ten rows. limit sets a maximum count.
SIMPLE EXPLANATION (HINGLISH):
Chain a filter to narrow rows, order to sort them, and range to take a page. Change the numbers in range to load the next page.
REAL-LIFE ANALOGY:
It is like a sieve, a sorting tray and a page cutter on your query.
SYNTAX PATTERN:
.eq("col", value).order("col", { ascending }).range(from, to)
ANATOMY:
eq = equals | order = sort | range = zero-based page window
EXAMPLE 1:
.gt("price", 100)
EXAMPLE 2:
.ilike("title", "%milk%")
EXAMPLE 3:
.in("status", ["open", "paid"])
VARIATION:
.range(10, 19)   // the second page of ten
.or("done.eq.true,priority.gt.2")   // either condition
USED WITH:
select, limit, count, indexes
RELATED CONCEPTS:
select, pagination, indexes
ALTERNATIVES:
A database function called with rpc for complex filters
WHERE IT IS USED:
Lists and tables | Search boxes | Infinite scroll
MINI CONVERSATION:
A: How do I show the newest ten items? | B: Order by created_at descending and use range 0 to 9.
COMMON MISTAKE:
✗ range(1, 10) returns the first ten rows → ✓ range uses zero-based positions, so range(0, 9) returns the first ten rows
COMMONLY CONFUSED WITH:
limit vs range: limit sets a maximum count, range picks a start and end position.
AVOID / DON'T:
Do not paginate without a stable order.
WRONG CODE:
.range(1, 10)
RIGHT CODE:
.range(0, 9)
MEMORY TRICK:
Range starts counting at zero.
REAL LIFE: PROJECT / WORK:
Loading a feed in pages of twenty with order and range.
REAL LIFE: INTERVIEW / EXAM:
An interviewer may ask: How do you paginate results in supabase-js?
REAL LIFE: DAILY LIFE:
It is like a sieve, a sorting tray and a page cutter.</t>
        </is>
      </c>
      <c r="C21" s="29" t="inlineStr">
        <is>
          <t>03_API_and_client_Intermediate_SUP-020</t>
        </is>
      </c>
    </row>
    <row r="22" ht="409" customHeight="1">
      <c r="A22" s="29" t="inlineStr">
        <is>
          <t>RPC (database functions)
How do you call a Postgres function you wrote from your app, so heavy logic runs inside the database?
-- SQL
create function total_todos(owner uuid) returns bigint language sql as $$
  select count(*) from todos where user_id = owner;
$$;
// JavaScript
const { data, error } = await supabase.rpc("total_todos", { owner: userId });</t>
        </is>
      </c>
      <c r="B22" s="29" t="inlineStr">
        <is>
          <t>MEANING (SHORT):
rpc calls a stored Postgres function by name with arguments and returns its result.
CODE:
-- SQL
create function total_todos(owner uuid) returns bigint language sql as $$
  select count(*) from todos where user_id = owner;
$$;
// JavaScript
const { data, error } = await supabase.rpc("total_todos", { owner: userId });
OUTPUT:
The number of todos that belong to the given user.
EXPLANATION:
You write the function in SQL or PL/pgSQL, and it appears in the API as a callable endpoint. Arguments are passed as an object whose keys match the parameter names. Functions run with the caller's rights by default, and security definer functions run with the owner's rights, which needs great care.
SIMPLE EXPLANATION (HINGLISH):
Write a function in the database, then call it by name with rpc. It is useful for heavy or multi-step logic that should happen close to the data.
REAL-LIFE ANALOGY:
It is like dialling the database's own helper by name and passing it the numbers it needs.
SYNTAX PATTERN:
await supabase.rpc("function_name", { arg: value })
ANATOMY:
rpc = call a function | "function_name" = its name | { arg: value } = named arguments
EXAMPLE 1:
await supabase.rpc("total_todos", { owner: userId });
EXAMPLE 2:
await supabase.rpc("search_lessons", { term: "api" });
EXAMPLE 3:
create function add_one(x int) returns int language sql as $$ select x + 1 $$;
VARIATION:
security definer   // runs with the owner's rights, use carefully
language plpgsql   // for procedural logic with variables
USED WITH:
SQL functions, PL/pgSQL, RLS, transactions
RELATED CONCEPTS:
database functions and triggers, REST API, Row Level Security
ALTERNATIVES:
Several client calls or an edge function
WHERE IT IS USED:
Aggregates | Multi-step updates | Search functions
MINI CONVERSATION:
A: I need to update three tables together safely. | B: Put the steps in a database function and call it with rpc.
COMMON MISTAKE:
✗ Functions called through rpc always bypass Row Level Security → ✓ By default they run with the caller's rights, and only security definer functions run with the owner's rights
COMMONLY CONFUSED WITH:
rpc vs edge function: rpc runs inside the database, an edge function runs your own server code outside it.
AVOID / DON'T:
Do not make a function security definer without understanding the risk.
WRONG CODE:
await supabase.rpc("total_todos", userId);
RIGHT CODE:
await supabase.rpc("total_todos", { owner: userId });
MEMORY TRICK:
rpc passes named arguments in an object.
REAL LIFE: PROJECT / WORK:
Calling a function that moves points between two users in one transaction.
REAL LIFE: INTERVIEW / EXAM:
An interviewer may ask: When would you use a database function instead of several client calls?
REAL LIFE: DAILY LIFE:
It is like dialling a helper by name and giving it numbers.</t>
        </is>
      </c>
      <c r="C22" s="29" t="inlineStr">
        <is>
          <t>03_API_and_client_Advanced_SUP-021</t>
        </is>
      </c>
    </row>
    <row r="23" ht="409" customHeight="1">
      <c r="A23" s="29" t="inlineStr">
        <is>
          <t>Supabase Auth
Which built-in Supabase service handles sign-up, login, passwords, social providers and user accounts?</t>
        </is>
      </c>
      <c r="B23" s="29" t="inlineStr">
        <is>
          <t>DEFINITION (SIMPLE):
Supabase Auth is the service that registers users, verifies their identity by password, magic link or social provider, and issues tokens that the database and API trust.
HOW / WHY IT WORKS:
Users are stored in a protected auth.users table. After login, the client holds a session with an access token (a JWT) and a refresh token. The database reads the token to know who is calling, which is what lets Row Level Security policies use auth.uid(). You can enable providers and email settings in the dashboard.
SIMPLE EXPLANATION (HINGLISH):
Auth creates and checks user accounts for you. After login your app holds a token, and the database uses it to know which user is asking.
REAL-LIFE ANALOGY:
It is like front-desk security that checks identities and hands out passes to the rest of the building.
FORMULA / RULE:
Sign up or log in → session with a token → database knows auth.uid()
EXAMPLE 1:
A user signing up with email and password.
EXAMPLE 2:
A user logging in with a GitHub account.
EXAMPLE 3:
A profiles table whose id equals the user's id in auth.users.
RELATED CONCEPTS:
sessions and JWT, Row Level Security, OAuth, magic links
FAMILY / GROUP:
auth.users, session, token, provider, JWT
WHERE IT IS USED:
Any app with accounts | Per-user data | Social login
MINI CONVERSATION:
A: Where are my users stored? | B: In the auth.users table, and you link your profiles table to it.
COMMON MISTAKE:
✗ I should store passwords in my own table → ✓ Supabase Auth stores and hashes credentials for you in auth.users, and your tables should only reference the user id
DON'T CONFUSE WITH:
auth.users vs profiles: auth.users holds account and login data, your profiles table holds app-specific details.
AVOID / DON'T:
Do not copy passwords or secrets into your own tables.
MEMORY TRICK:
Auth gives each user an id, link to it.
REAL LIFE: PROJECT / WORK:
Creating a profiles table linked to auth.users for each learner.
REAL LIFE: INTERVIEW / EXAM:
An interviewer may ask: How does Supabase know which user is making a request?
REAL LIFE: DAILY LIFE:
It is like front-desk security handing out passes.</t>
        </is>
      </c>
      <c r="C23" s="29" t="inlineStr">
        <is>
          <t>04_Auth_Beginner_SUP-022</t>
        </is>
      </c>
    </row>
    <row r="24" ht="409" customHeight="1">
      <c r="A24" s="29" t="inlineStr">
        <is>
          <t>Email and password sign-up and login
Which supabase-js methods create an account and log a user in with an email and password?
const { error: signUpError } = await supabase.auth.signUp({
  email: "asha@example.com",
  password: "a-long-strong-password"
});
const { data, error } = await supabase.auth.signInWithPassword({
  email: "asha@example.com",
  password: "a-long-strong-password"
});</t>
        </is>
      </c>
      <c r="B24" s="29" t="inlineStr">
        <is>
          <t>MEANING (SHORT):
auth.signUp creates a new user, and auth.signInWithPassword logs an existing user in.
CODE:
const { error: signUpError } = await supabase.auth.signUp({
  email: "asha@example.com",
  password: "a-long-strong-password"
});
const { data, error } = await supabase.auth.signInWithPassword({
  email: "asha@example.com",
  password: "a-long-strong-password"
});
OUTPUT:
signUp creates the user, and signInWithPassword returns data.session with the access token when the credentials are correct.
EXPLANATION:
With the default settings a new user must confirm their email before they can sign in, and the confirmation email contains a link. Passwords are hashed by Supabase and never stored in plain text. Wrong credentials return an error, so check it. The session is stored by the library and refreshed automatically.
SIMPLE EXPLANATION (HINGLISH):
Call signUp once to create the account and signInWithPassword to log in. Always check the error and handle the email confirmation step.
REAL-LIFE ANALOGY:
It is like opening an account at a bank and then showing your card on each visit.
SYNTAX PATTERN:
supabase.auth.signUp({ email, password })  |  supabase.auth.signInWithPassword({ email, password })
ANATOMY:
signUp = create the account | signInWithPassword = log in | session = what you get on success
EXAMPLE 1:
await supabase.auth.signUp({ email, password });
EXAMPLE 2:
await supabase.auth.signInWithPassword({ email, password });
EXAMPLE 3:
await supabase.auth.signOut();
VARIATION:
await supabase.auth.resetPasswordForEmail(email)   // start a password reset
USED WITH:
session, email confirmation, signOut, RLS
RELATED CONCEPTS:
Supabase Auth, sessions and JWT, magic link
ALTERNATIVES:
Magic links or social login
WHERE IT IS USED:
Sign-up pages | Login pages | Account recovery
MINI CONVERSATION:
A: A new user cannot log in right after signing up. | B: They may need to confirm their email first.
COMMON MISTAKE:
✗ signUp logs the user in with no further steps in every setup → ✓ With email confirmation on, the user must confirm their address before they can sign in
COMMONLY CONFUSED WITH:
signUp vs signIn: signUp creates the account, signIn logs in an existing one.
AVOID / DON'T:
Do not ignore the error returned by the call.
WRONG CODE:
await supabase.auth.signIn({ email, password });
RIGHT CODE:
await supabase.auth.signInWithPassword({ email, password });
MEMORY TRICK:
signUp creates the account, signIn enters it.
REAL LIFE: PROJECT / WORK:
Building a login page that shows a message to confirm the email.
REAL LIFE: INTERVIEW / EXAM:
An interviewer may ask: How does Supabase protect user passwords?
REAL LIFE: DAILY LIFE:
It is like opening a bank account and showing your card on each visit.</t>
        </is>
      </c>
      <c r="C24" s="29" t="inlineStr">
        <is>
          <t>04_Auth_Beginner_SUP-023</t>
        </is>
      </c>
    </row>
    <row r="25" ht="409" customHeight="1">
      <c r="A25" s="29" t="inlineStr">
        <is>
          <t>Social login (OAuth providers)
How do you let users sign in with an existing account such as GitHub or Google?
await supabase.auth.signInWithOAuth({
  provider: "github",
  options: { redirectTo: "https://example.com/auth/callback" }
});</t>
        </is>
      </c>
      <c r="B25" s="29" t="inlineStr">
        <is>
          <t>MEANING (SHORT):
signInWithOAuth sends the user to a provider to log in and then returns them to your site with a session.
CODE:
await supabase.auth.signInWithOAuth({
  provider: "github",
  options: { redirectTo: "https://example.com/auth/callback" }
});
OUTPUT:
The browser goes to GitHub to log in, then returns to the redirect address with the user signed in.
EXPLANATION:
First enable the provider in the dashboard and paste the client id and secret from the provider. Then allow your redirect URLs in the Auth settings. Supabase handles the OAuth exchange and creates the user in auth.users. Providers include Google, GitHub, Apple and many more.
SIMPLE EXPLANATION (HINGLISH):
Turn on a provider in the dashboard, then call signInWithOAuth with its name. The user logs in there and comes back signed in.
REAL-LIFE ANALOGY:
It is like showing a trusted ID from another club so this club lets you in without a new card.
SYNTAX PATTERN:
supabase.auth.signInWithOAuth({ provider, options })
ANATOMY:
provider = which service | redirectTo = where to return | options = extra settings
EXAMPLE 1:
await supabase.auth.signInWithOAuth({ provider: "google" });
EXAMPLE 2:
await supabase.auth.signInWithOAuth({ provider: "github", options: { redirectTo } });
EXAMPLE 3:
A callback page that finishes the login after the redirect.
VARIATION:
scopes: "read:user"   // extra permissions from the provider
USED WITH:
redirect URLs, provider settings, sessions
RELATED CONCEPTS:
Supabase Auth, OAuth 2.0, sessions and JWT
ALTERNATIVES:
Email and password or magic links
WHERE IT IS USED:
Sign-in pages | Consumer apps | Developer tools
MINI CONVERSATION:
A: The Google login returns an error about the redirect. | B: Add that redirect URL to the allowed list in the Auth settings.
COMMON MISTAKE:
✗ Social login works without any setup in the provider or dashboard → ✓ You must enable the provider, add its client id and secret, and allow your redirect URLs
COMMONLY CONFUSED WITH:
Social login vs password login: social login delegates identity to a provider, password login stores credentials with Supabase.
AVOID / DON'T:
Do not commit provider secrets to code.
WRONG CODE:
await supabase.auth.signInWithOAuth("github");
RIGHT CODE:
await supabase.auth.signInWithOAuth({ provider: "github" });
MEMORY TRICK:
Enable the provider, allow the redirect.
REAL LIFE: PROJECT / WORK:
Adding a Sign in with Google button that returns to the dashboard page.
REAL LIFE: INTERVIEW / EXAM:
An interviewer may ask: What do you configure to add Google login?
REAL LIFE: DAILY LIFE:
It is like showing a trusted ID from another club.</t>
        </is>
      </c>
      <c r="C25" s="29" t="inlineStr">
        <is>
          <t>04_Auth_Intermediate_SUP-024</t>
        </is>
      </c>
    </row>
    <row r="26" ht="409" customHeight="1">
      <c r="A26" s="29" t="inlineStr">
        <is>
          <t>Magic links and one-time codes
How can a user log in without a password by receiving a link or code by email?
await supabase.auth.signInWithOtp({ email: "asha@example.com" });
// If the email contains a code instead of a link:
await supabase.auth.verifyOtp({ email: "asha@example.com", token: "123456", type: "email" });</t>
        </is>
      </c>
      <c r="B26" s="29" t="inlineStr">
        <is>
          <t>MEANING (SHORT):
signInWithOtp sends a one-time login link or code to the user's email, and the user proves access by using it.
CODE:
await supabase.auth.signInWithOtp({ email: "asha@example.com" });
// If the email contains a code instead of a link:
await supabase.auth.verifyOtp({ email: "asha@example.com", token: "123456", type: "email" });
OUTPUT:
An email is sent, and after the link is opened or the code verified, the user is signed in.
EXPLANATION:
Whether the email carries a link or a code depends on the template you configure. A link opens your redirect URL and signs the user in. With codes, you collect the digits in a form and call verifyOtp. If the user does not exist, the call can create one, depending on your settings.
SIMPLE EXPLANATION (HINGLISH):
Ask Supabase to send a one-time link or code. The user clicks it or types it, and is logged in without any password.
REAL-LIFE ANALOGY:
It is like a one-time key posted to your mailbox that opens the door once.
SYNTAX PATTERN:
supabase.auth.signInWithOtp({ email })  |  supabase.auth.verifyOtp({ email, token, type })
ANATOMY:
signInWithOtp = send the link or code | verifyOtp = check a typed code | type = the kind of token
EXAMPLE 1:
await supabase.auth.signInWithOtp({ email });
EXAMPLE 2:
await supabase.auth.verifyOtp({ email, token, type: "email" });
EXAMPLE 3:
await supabase.auth.signInWithOtp({ phone: "+911234567890" });
VARIATION:
options: { shouldCreateUser: false }   // do not create new users
USED WITH:
email templates, redirect URLs, verifyOtp
RELATED CONCEPTS:
email and password, Supabase Auth, sessions
ALTERNATIVES:
Passwords or social login
WHERE IT IS USED:
Passwordless sign-in | Mobile apps | Low-friction onboarding
MINI CONVERSATION:
A: Users forget their passwords all the time. | B: Offer a magic link or a one-time code instead.
COMMON MISTAKE:
✗ A magic link needs the user to set a password first → ✓ A magic link or code replaces the password by proving access to the email
COMMONLY CONFUSED WITH:
Magic link vs OTP code: a link is clicked, a code is typed and verified.
AVOID / DON'T:
Do not make links last for a long time.
WRONG CODE:
await supabase.auth.signInWithOtp(email);
RIGHT CODE:
await supabase.auth.signInWithOtp({ email });
MEMORY TRICK:
One time, one email, one login.
REAL LIFE: PROJECT / WORK:
Letting learners log in with a link sent to their email.
REAL LIFE: INTERVIEW / EXAM:
An interviewer may ask: What are the benefits of passwordless login?
REAL LIFE: DAILY LIFE:
It is like a one-time key sent to your mailbox.</t>
        </is>
      </c>
      <c r="C26" s="29" t="inlineStr">
        <is>
          <t>04_Auth_Intermediate_SUP-025</t>
        </is>
      </c>
    </row>
    <row r="27" ht="409" customHeight="1">
      <c r="A27" s="29" t="inlineStr">
        <is>
          <t>Sessions and JWT in Supabase
What does the client hold after login that proves who the user is on each request, and why does it expire?</t>
        </is>
      </c>
      <c r="B27" s="29" t="inlineStr">
        <is>
          <t>DEFINITION (SIMPLE):
A session holds an access token (a signed JWT) that proves the user's identity, and a refresh token used to get new access tokens when the old one expires.
HOW / WHY IT WORKS:
The JWT contains claims such as the user id (sub) and role, and an expiry time. Supabase sends it with each request, and the database reads it to apply Row Level Security through auth.uid(). Access tokens are short-lived, often around an hour by default, and the library refreshes them automatically using the refresh token.
SIMPLE EXPLANATION (HINGLISH):
After login you hold a session. Its token tells the database who you are, expires soon, and is renewed automatically with the refresh token.
REAL-LIFE ANALOGY:
The session is an event wristband that expires, and the refresh token gets you a new one without queuing again.
FORMULA / RULE:
Session = access token (JWT) + refresh token
EXAMPLE 1:
A token whose sub claim is the user's id.
EXAMPLE 2:
The library renewing the token before it expires.
EXAMPLE 3:
A policy using auth.uid(), which is read from the token.
RELATED CONCEPTS:
JWT, Row Level Security, getUser vs getSession
FAMILY / GROUP:
session, access token, refresh token, JWT, expiry
WHERE IT IS USED:
Every logged-in request | RLS policies | Mobile and web apps
MINI CONVERSATION:
A: Why does the user stay logged in after an hour? | B: The library refreshes the access token with the refresh token.
COMMON MISTAKE:
✗ The access token never expires once the user logs in → ✓ Access tokens are short-lived and are renewed with the refresh token
DON'T CONFUSE WITH:
Access token vs refresh token: the access token proves identity on requests, the refresh token only gets new access tokens.
AVOID / DON'T:
Do not store or log tokens carelessly.
MEMORY TRICK:
The token expires, the refresh renews.
REAL LIFE: PROJECT / WORK:
Relying on the client library to keep sessions fresh in a long-running app.
REAL LIFE: INTERVIEW / EXAM:
An interviewer may ask: How does the database know who is making a request?
REAL LIFE: DAILY LIFE:
It is like an event wristband that expires.</t>
        </is>
      </c>
      <c r="C27" s="29" t="inlineStr">
        <is>
          <t>04_Auth_Intermediate_SUP-026</t>
        </is>
      </c>
    </row>
    <row r="28" ht="409" customHeight="1">
      <c r="A28" s="29" t="inlineStr">
        <is>
          <t>getUser vs getSession
Which two calls read the current user, and which one should server code trust because it checks the token with the Auth server?</t>
        </is>
      </c>
      <c r="B28" s="29" t="inlineStr">
        <is>
          <t>DEFINITION (SIMPLE):
getSession returns the session stored on the client or in cookies without checking it, while getUser sends the token to the Auth server and returns the verified user.
HOW / WHY IT WORKS:
In the browser, getSession is convenient for reading what the library holds. On the server, the cookie data comes from the request and could be tampered with, so authorisation decisions should use getUser, which validates the token. Recent library versions even warn when you use session data on the server without verification.
SIMPLE EXPLANATION (HINGLISH):
Use getUser on the server whenever you decide what a user may do. getSession only reads what is stored and does not prove it is genuine.
REAL-LIFE ANALOGY:
getSession reads the wristband, and getUser asks the front desk whether the wristband is real.
FORMULA / RULE:
Server decisions → getUser (verified). Client display → getSession is fine.
EXAMPLE 1:
A server route calling await supabase.auth.getUser() before returning private data.
EXAMPLE 2:
A client component reading the session to show the user's name.
EXAMPLE 3:
Middleware using getUser to refresh and verify the session.
RELATED CONCEPTS:
sessions and JWT, server-side auth, Row Level Security
FAMILY / GROUP:
getUser, getSession, verify, cookies, server
WHERE IT IS USED:
Server routes | Middleware | Protected pages
MINI CONVERSATION:
A: Is it safe to trust getSession in my API route? | B: No, use getUser, which verifies the token with the Auth server.
COMMON MISTAKE:
✗ getSession on the server is as trustworthy as getUser → ✓ getSession does not verify the token on the server, so use getUser for security decisions
DON'T CONFUSE WITH:
getUser vs getSession: getUser verifies with the Auth server, getSession only reads stored data.
AVOID / DON'T:
Do not authorise server actions based on getSession alone.
MEMORY TRICK:
On the server, always trust getUser.
REAL LIFE: PROJECT / WORK:
Using getUser in middleware to protect private pages.
REAL LIFE: INTERVIEW / EXAM:
An interviewer may ask: Which call should you use to verify a user on the server?
REAL LIFE: DAILY LIFE:
It is like asking the front desk whether a wristband is real.</t>
        </is>
      </c>
      <c r="C28" s="29" t="inlineStr">
        <is>
          <t>04_Auth_Advanced_SUP-027</t>
        </is>
      </c>
    </row>
    <row r="29" ht="409" customHeight="1">
      <c r="A29" s="29" t="inlineStr">
        <is>
          <t>Server-side auth with cookies (@supabase/ssr)
Which package helps frameworks with server rendering keep the Supabase session in cookies for both browser and server code?</t>
        </is>
      </c>
      <c r="B29" s="29" t="inlineStr">
        <is>
          <t>DEFINITION (SIMPLE):
@supabase/ssr provides createBrowserClient and createServerClient, which store the session in cookies so server-rendered frameworks such as Next.js can read it.
HOW / WHY IT WORKS:
In frameworks such as Next.js, server components, route handlers and middleware need the session. The ssr package builds clients that read and write cookies. Middleware usually calls getUser on each request to refresh and verify the session and to protect routes. Each server request should create its own client, because it uses that request's cookies.
SIMPLE EXPLANATION (HINGLISH):
Server code cannot see browser storage, so the session goes in cookies. Use the ssr helpers to build the right client for each place and refresh the session in middleware.
REAL-LIFE ANALOGY:
Cookies are a passport that travels with every request, so the server and the browser share one identity.
FORMULA / RULE:
Cookies carry the session → server client reads them → middleware refreshes and verifies
EXAMPLE 1:
createBrowserClient used in a client component.
EXAMPLE 2:
createServerClient used in a server component with the request's cookies.
EXAMPLE 3:
Middleware calling getUser to protect an admin route.
RELATED CONCEPTS:
createClient, getUser vs getSession, Next.js, cookies
FAMILY / GROUP:
ssr, cookies, middleware, server client, browser client
WHERE IT IS USED:
Next.js | SvelteKit | Server-rendered apps
MINI CONVERSATION:
A: My server component thinks the user is logged out. | B: Create the server client with the request's cookies, and refresh the session in middleware.
COMMON MISTAKE:
✗ One global client works for every server request → ✓ Each server request needs its own client built from that request's cookies
DON'T CONFUSE WITH:
Browser client vs server client: the browser client uses browser cookies, the server client reads cookies from the incoming request.
AVOID / DON'T:
Do not share one server client between different users' requests.
MEMORY TRICK:
Cookies carry the session to the server.
REAL LIFE: PROJECT / WORK:
Protecting dashboard routes in Next.js with middleware and getUser.
REAL LIFE: INTERVIEW / EXAM:
An interviewer may ask: How do you handle Supabase auth in a server-rendered app?
REAL LIFE: DAILY LIFE:
It is like a passport that travels with every request.</t>
        </is>
      </c>
      <c r="C29" s="29" t="inlineStr">
        <is>
          <t>04_Auth_Advanced_SUP-028</t>
        </is>
      </c>
    </row>
    <row r="30" ht="409" customHeight="1">
      <c r="A30" s="29" t="inlineStr">
        <is>
          <t>Row Level Security (RLS)
Which Postgres feature lets the database itself decide which rows each user may read or change?</t>
        </is>
      </c>
      <c r="B30" s="29" t="inlineStr">
        <is>
          <t>DEFINITION (SIMPLE):
Row Level Security is a Postgres feature in which policies attached to a table decide, for each row, whether the current user may select, insert, update or delete it.
HOW / WHY IT WORKS:
When RLS is enabled on a table, access through the API is denied by default until you add policies. A policy is a rule such as auth.uid() = user_id. The anon and authenticated roles are subject to it, while the service role bypasses it. This is what makes it safe for the browser to call the database directly with the client key.
SIMPLE EXPLANATION (HINGLISH):
RLS puts rules on rows. Turn it on, then write policies like each user can see only their own rows, and the database enforces them for every request.
REAL-LIFE ANALOGY:
It is like a guard at each row who checks your badge before letting you see or change it.
FORMULA / RULE:
Enable RLS → no access → add policies → access only where a policy allows
EXAMPLE 1:
A todos table where users see only rows with their own user_id.
EXAMPLE 2:
A public blog table where everyone can read but only authors can write.
EXAMPLE 3:
A private messages table visible only to sender and receiver.
RELATED CONCEPTS:
policies, auth.uid(), anon vs service role key, Supabase Auth
FAMILY / GROUP:
RLS, policy, role, USING, WITH CHECK
WHERE IT IS USED:
Every table exposed to the API | Multi-user apps | Data privacy
MINI CONVERSATION:
A: Can users read each other's tasks through the API? | B: Not if RLS is on with a policy that matches each user's own rows.
COMMON MISTAKE:
✗ The client key is enough to protect data without RLS → ✓ The client key is public, so RLS is what actually keeps data safe
DON'T CONFUSE WITH:
RLS vs app-level checks: RLS is enforced by the database for every request, app checks can be bypassed.
AVOID / DON'T:
Do not expose a table to the API with RLS turned off.
MEMORY TRICK:
RLS guards every single row for you.
REAL LIFE: PROJECT / WORK:
Making each learner's progress rows visible only to that learner.
REAL LIFE: INTERVIEW / EXAM:
An interviewer may ask: Why is RLS important in Supabase?
REAL LIFE: DAILY LIFE:
It is like a guard checking your badge at every row.</t>
        </is>
      </c>
      <c r="C30" s="29" t="inlineStr">
        <is>
          <t>05_Row_Level_Security_Intermediate_SUP-029</t>
        </is>
      </c>
    </row>
    <row r="31" ht="409" customHeight="1">
      <c r="A31" s="29" t="inlineStr">
        <is>
          <t>Enabling RLS on a table
Which SQL statement switches on Row Level Security so that policies start to apply?
alter table todos enable row level security;</t>
        </is>
      </c>
      <c r="B31" s="29" t="inlineStr">
        <is>
          <t>MEANING (SHORT):
alter table ... enable row level security turns on RLS, after which only rows allowed by policies are accessible to the API roles.
CODE:
alter table todos enable row level security;
OUTPUT:
RLS is on for todos, and without policies the API returns no rows to anon and authenticated users.
EXPLANATION:
Tables made in the dashboard's Table Editor usually offer an option to enable RLS, but tables made with SQL do not have it enabled by default. After enabling, add policies for each operation you want to allow. The table owner and roles with bypass privileges are not restricted.
SIMPLE EXPLANATION (HINGLISH):
Run the statement once per table. After that, nothing is readable or writable through the API until you add policies.
REAL-LIFE ANALOGY:
It is like locking the door, with policies as the keys you hand out afterwards.
SYNTAX PATTERN:
alter table table_name enable row level security;
ANATOMY:
alter table = change the table | enable row level security = turn RLS on
EXAMPLE 1:
alter table todos enable row level security;
EXAMPLE 2:
alter table profiles enable row level security;
EXAMPLE 3:
alter table todos force row level security;
VARIATION:
alter table todos disable row level security;   // turn it off, risky
force row level security   // also applies to the table owner
USED WITH:
policies, SQL Editor, API exposure
RELATED CONCEPTS:
Row Level Security, policies, SQL Editor
ALTERNATIVES:
The RLS toggle in the Table Editor
WHERE IT IS USED:
Every new table | Security reviews | Migrations
MINI CONVERSATION:
A: I created a table with SQL and anyone can read it. | B: You forgot to enable row level security on it.
COMMON MISTAKE:
✗ Tables created with SQL are protected automatically → ✓ RLS must be enabled for each table you create with SQL
COMMONLY CONFUSED WITH:
enable vs force: enable applies to API roles, force also applies to the table owner.
AVOID / DON'T:
Do not leave exposed tables without RLS.
WRONG CODE:
alter table todos enable rls;
RIGHT CODE:
alter table todos enable row level security;
MEMORY TRICK:
Create the table, then lock the table.
REAL LIFE: PROJECT / WORK:
Putting the enable statement in every create table migration.
REAL LIFE: INTERVIEW / EXAM:
An interviewer may ask: What is the default access of a table after enabling RLS?
REAL LIFE: DAILY LIFE:
It is like locking the door before handing out keys.</t>
        </is>
      </c>
      <c r="C31" s="29" t="inlineStr">
        <is>
          <t>05_Row_Level_Security_Intermediate_SUP-030</t>
        </is>
      </c>
    </row>
    <row r="32" ht="409" customHeight="1">
      <c r="A32" s="29" t="inlineStr">
        <is>
          <t>Policies (USING and WITH CHECK)
Which two clauses of a policy decide which existing rows a user may see, and which new values they may write?
create policy "Users read own todos" on todos
  for select to authenticated
  using ((select auth.uid()) = user_id);
create policy "Users insert own todos" on todos
  for insert to authenticated
  with check ((select auth.uid()) = user_id);</t>
        </is>
      </c>
      <c r="B32" s="29" t="inlineStr">
        <is>
          <t>MEANING (SHORT):
USING filters which existing rows a policy applies to, and WITH CHECK validates the values of rows being inserted or updated.
CODE:
create policy "Users read own todos" on todos
  for select to authenticated
  using ((select auth.uid()) = user_id);
create policy "Users insert own todos" on todos
  for insert to authenticated
  with check ((select auth.uid()) = user_id);
OUTPUT:
Logged-in users can read only their own rows and can only insert rows whose user_id is their own.
EXPLANATION:
Select and delete use USING because they act on existing rows. Insert uses WITH CHECK because it validates new rows. Update can use both: USING picks the rows you may edit, and WITH CHECK validates what the row becomes. You can write separate policies per operation, or one policy for all.
SIMPLE EXPLANATION (HINGLISH):
Use USING to say which rows are visible or editable. Use WITH CHECK to say what a new or changed row is allowed to look like.
REAL-LIFE ANALOGY:
USING decides what you may look at, and WITH CHECK decides what you may put in.
SYNTAX PATTERN:
create policy name on table for operation to role using (condition) with check (condition);
ANATOMY:
for = which operation | to = which role | using = existing rows | with check = new values
EXAMPLE 1:
using ((select auth.uid()) = user_id)
EXAMPLE 2:
with check ((select auth.uid()) = user_id)
EXAMPLE 3:
create policy "Public read" on posts for select using (true);
VARIATION:
for all using (...) with check (...)   // one policy for every operation
to anon, authenticated   // apply to both roles
USED WITH:
auth.uid(), enable row level security, roles
RELATED CONCEPTS:
Row Level Security, auth.uid(), enabling RLS
ALTERNATIVES:
Database functions that check access
WHERE IT IS USED:
Every multi-user table | Public read tables | Private data
MINI CONVERSATION:
A: Users can insert rows for other users. | B: Add a WITH CHECK clause that matches user_id to the logged-in user.
COMMON MISTAKE:
✗ USING alone protects inserts → ✓ Inserts are validated by WITH CHECK, so an insert policy needs that clause
COMMONLY CONFUSED WITH:
USING vs WITH CHECK: USING filters existing rows, WITH CHECK validates written values.
AVOID / DON'T:
Do not write an insert policy without WITH CHECK.
WRONG CODE:
create policy "insert own" on todos for insert using (auth.uid() = user_id);
RIGHT CODE:
create policy "insert own" on todos for insert to authenticated with check ((select auth.uid()) = user_id);
MEMORY TRICK:
USING looks, WITH CHECK writes.
REAL LIFE: PROJECT / WORK:
Allowing learners to insert and read only their own progress rows.
REAL LIFE: INTERVIEW / EXAM:
An interviewer may ask: What is the difference between USING and WITH CHECK?
REAL LIFE: DAILY LIFE:
It is like what you may look at and what you may put in.</t>
        </is>
      </c>
      <c r="C32" s="29" t="inlineStr">
        <is>
          <t>05_Row_Level_Security_Intermediate_SUP-031</t>
        </is>
      </c>
    </row>
    <row r="33" ht="409" customHeight="1">
      <c r="A33" s="29" t="inlineStr">
        <is>
          <t>auth.uid() and auth.jwt()
Which helper functions let a policy read the current user's id or claims from the request's token?
create policy "Owner can update" on profiles
  for update to authenticated
  using ((select auth.uid()) = id)
  with check ((select auth.uid()) = id);
select auth.uid();</t>
        </is>
      </c>
      <c r="B33" s="29" t="inlineStr">
        <is>
          <t>MEANING (SHORT):
auth.uid() returns the id of the current user, and auth.jwt() returns the full set of token claims.
CODE:
create policy "Owner can update" on profiles
  for update to authenticated
  using ((select auth.uid()) = id)
  with check ((select auth.uid()) = id);
select auth.uid();
OUTPUT:
auth.uid() returns the current user's uuid, or null when nobody is logged in.
EXPLANATION:
The function reads the sub claim of the JWT sent with the request. For logged-out users it returns null, so a comparison fails and no rows match. auth.jwt() returns the whole token as JSON, so you can read claims, such as app metadata, in policies. In the SQL Editor you are usually a powerful role, so auth.uid() may be null there.
SIMPLE EXPLANATION (HINGLISH):
Policies use auth.uid() to compare the row's owner with the person making the request. Logged-out users give null, so they match nothing.
REAL-LIFE ANALOGY:
auth.uid() reads the name on the wristband, and auth.jwt() reads everything printed on it.
SYNTAX PATTERN:
auth.uid()  |  auth.jwt() -&gt;&gt; 'claim'
ANATOMY:
auth.uid() = current user id | auth.jwt() = all claims as JSON | -&gt;&gt; = read one claim as text
EXAMPLE 1:
using ((select auth.uid()) = id)
EXAMPLE 2:
using ((select auth.jwt() -&gt;&gt; 'email') = owner_email)
EXAMPLE 3:
using ((select auth.uid()) is not null)
VARIATION:
auth.role()   // the database role from the token, older style
(auth.jwt() -&gt; 'app_metadata' -&gt;&gt; 'role') = 'admin'   // a role stored in app metadata
USED WITH:
policies, JWT, Supabase Auth
RELATED CONCEPTS:
policies, sessions and JWT, Row Level Security
ALTERNATIVES:
A profiles table with a role column
WHERE IT IS USED:
Every RLS policy | Admin checks | Per-user filters
MINI CONVERSATION:
A: My policy returns no rows in the SQL Editor. | B: In the editor auth.uid() is often null, so test through the client as a real user.
COMMON MISTAKE:
✗ auth.uid() works the same in the SQL Editor as in the app → ✓ The SQL Editor usually runs with a powerful role and no user token, so auth.uid() may be null there
COMMONLY CONFUSED WITH:
auth.uid() vs auth.jwt(): the first gives only the user id, the second gives all claims.
AVOID / DON'T:
Do not trust claims that users can edit themselves, such as user metadata, for authorisation.
WRONG CODE:
using (auth.uid = user_id)
RIGHT CODE:
using ((select auth.uid()) = user_id)
MEMORY TRICK:
auth.uid() asks who is calling.
REAL LIFE: PROJECT / WORK:
Limiting each profile row to its owner with auth.uid().
REAL LIFE: INTERVIEW / EXAM:
An interviewer may ask: How does a policy know the current user?
REAL LIFE: DAILY LIFE:
It is like reading the name on a wristband.</t>
        </is>
      </c>
      <c r="C33" s="29" t="inlineStr">
        <is>
          <t>05_Row_Level_Security_Intermediate_SUP-032</t>
        </is>
      </c>
    </row>
    <row r="34" ht="409" customHeight="1">
      <c r="A34" s="29" t="inlineStr">
        <is>
          <t>Bypassing RLS (service role and postgres role)
Which key and roles ignore Row Level Security, and when is it correct to use them?</t>
        </is>
      </c>
      <c r="B34" s="29" t="inlineStr">
        <is>
          <t>DEFINITION (SIMPLE):
The service role key and the postgres role bypass Row Level Security, so they can read and write every row regardless of policies.
HOW / WHY IT WORKS:
Browser and app users run as the anon or authenticated role, so policies apply. The service role key makes requests as a role that bypasses RLS, which is useful for admin tasks, cron jobs and trusted server code. Direct database connections, such as those used by tools like Prisma with the postgres user, also bypass RLS, so authorisation must then be handled in your own code.
SIMPLE EXPLANATION (HINGLISH):
Anything that connects as the service role or the database owner ignores your policies. Keep such access on trusted servers and check permissions yourself there.
REAL-LIFE ANALOGY:
The master key opens every door, so it stays in the manager's office.
FORMULA / RULE:
anon or authenticated = RLS applies. service role or postgres = RLS bypassed.
EXAMPLE 1:
A nightly server job using the service role to clean old rows.
EXAMPLE 2:
An admin script that reads every user's rows.
EXAMPLE 3:
An ORM connecting as the postgres user, which ignores policies.
RELATED CONCEPTS:
anon vs service role key, Prisma and Supabase, Row Level Security
FAMILY / GROUP:
bypass, service_role, postgres, owner, admin
WHERE IT IS USED:
Server jobs | Admin tools | ORM connections
MINI CONVERSATION:
A: Our ORM can read every row, ignoring the policies. | B: It connects as a role that bypasses RLS, so check access in your own code.
COMMON MISTAKE:
✗ RLS protects data against every kind of connection → ✓ Roles that bypass RLS, such as the service role and the postgres user, ignore policies
DON'T CONFUSE WITH:
App role vs service role: the app role obeys policies, the service role ignores them.
AVOID / DON'T:
Do not use the service role in code that runs for end users in the browser.
MEMORY TRICK:
Master keys bypass the guards.
REAL LIFE: PROJECT / WORK:
Using the service role only in a server cron job that cleans expired rows.
REAL LIFE: INTERVIEW / EXAM:
An interviewer may ask: Which roles bypass RLS in Supabase?
REAL LIFE: DAILY LIFE:
It is like a master key that opens every door.</t>
        </is>
      </c>
      <c r="C34" s="29" t="inlineStr">
        <is>
          <t>05_Row_Level_Security_Advanced_SUP-033</t>
        </is>
      </c>
    </row>
    <row r="35" ht="409" customHeight="1">
      <c r="A35" s="29" t="inlineStr">
        <is>
          <t>Testing RLS policies
How do you check that a policy really blocks other users, given that the SQL Editor often bypasses RLS?</t>
        </is>
      </c>
      <c r="B35" s="29" t="inlineStr">
        <is>
          <t>DEFINITION (SIMPLE):
Testing RLS means trying real reads and writes as different users and roles, such as an owner, a stranger and an anonymous visitor, and checking that only the allowed ones succeed.
HOW / WHY IT WORKS:
The SQL Editor usually runs as a powerful role, so results there do not show what users experience. Test through supabase-js signed in as test users, or use the dashboard's option to run queries as another role or user, or set the role and token claims in SQL. Automated tests can create users and assert results. Also check that insert and update cannot assign rows to someone else.
SIMPLE EXPLANATION (HINGLISH):
Make two test users and an anonymous client. Try every operation as each, and confirm that strangers get nothing and cannot write to another user's rows.
REAL-LIFE ANALOGY:
It is like trying to pick your own lock from outside.
FORMULA / RULE:
Test as owner, stranger and anonymous visitor for every operation
EXAMPLE 1:
User A reading user B's todos and getting an empty list.
EXAMPLE 2:
An anonymous client trying to insert and being refused.
EXAMPLE 3:
A test that checks a user cannot change user_id to someone else's.
RELATED CONCEPTS:
policies, auth.uid(), SQL Editor, service role bypass
FAMILY / GROUP:
test, impersonate, role, policy, assertion
WHERE IT IS USED:
Before launch | Pull request checks | Security reviews
MINI CONVERSATION:
A: My policy works in the SQL Editor. | B: The editor bypasses RLS, so test it signed in as a normal user.
COMMON MISTAKE:
✗ If a query works in the SQL Editor then the policy is correct → ✓ The SQL Editor often bypasses RLS, so you must test as real users
DON'T CONFUSE WITH:
Editor test vs client test: the editor may ignore policies, a client test shows what users really get.
AVOID / DON'T:
Do not ship policies you have only tried as an admin.
MEMORY TRICK:
Test as the user, not as the admin.
REAL LIFE: PROJECT / WORK:
Writing automated tests that sign in as two users and check isolation.
REAL LIFE: INTERVIEW / EXAM:
An interviewer may ask: How do you test Row Level Security?
REAL LIFE: DAILY LIFE:
It is like trying to pick your own lock from outside.</t>
        </is>
      </c>
      <c r="C35" s="29" t="inlineStr">
        <is>
          <t>05_Row_Level_Security_Advanced_SUP-034</t>
        </is>
      </c>
    </row>
    <row r="36" ht="409" customHeight="1">
      <c r="A36" s="29" t="inlineStr">
        <is>
          <t>Storage buckets
In Supabase Storage, what is the top-level container for files, such as one for avatars and one for documents?</t>
        </is>
      </c>
      <c r="B36" s="29" t="inlineStr">
        <is>
          <t>DEFINITION (SIMPLE):
A bucket is a named container in Supabase Storage that holds files and folders and can be public or private.
HOW / WHY IT WORKS:
You create buckets in the dashboard or with SQL or the client. Files inside have a path such as user1/avatar.png. Each bucket can have size limits, allowed file types, and a public or private setting. Access to private buckets is controlled by storage policies.
SIMPLE EXPLANATION (HINGLISH):
Make a bucket for each kind of file, like avatars or lesson-audio. Inside it you store files under paths, and choose whether the bucket is public.
REAL-LIFE ANALOGY:
It is like a labelled cupboard where each file is a folder inside.
FORMULA / RULE:
Bucket → folders → files
EXAMPLE 1:
A public bucket named avatars for profile pictures.
EXAMPLE 2:
A private bucket named recordings for student audio.
EXAMPLE 3:
A bucket with a limit on file size.
RELATED CONCEPTS:
upload, public vs private buckets, storage policies, signed URLs
FAMILY / GROUP:
bucket, object, path, folder, policy
WHERE IT IS USED:
Images | Audio and video | Documents
MINI CONVERSATION:
A: Where do I keep uploaded images? | B: Create a storage bucket and upload them there.
COMMON MISTAKE:
✗ Buckets are folders inside the database tables → ✓ Buckets are containers in Storage, separate from tables, though their metadata lives in the database
DON'T CONFUSE WITH:
Bucket vs folder: a bucket is the top-level container, a folder is a path inside it.
AVOID / DON'T:
Do not mix public and private files in one bucket.
MEMORY TRICK:
A bucket is a cupboard for files.
REAL LIFE: PROJECT / WORK:
Creating a private bucket for all student speaking recordings.
REAL LIFE: INTERVIEW / EXAM:
An interviewer may ask: What is a storage bucket?
REAL LIFE: DAILY LIFE:
It is like a labelled cupboard.</t>
        </is>
      </c>
      <c r="C36" s="29" t="inlineStr">
        <is>
          <t>06_Storage_Beginner_SUP-035</t>
        </is>
      </c>
    </row>
    <row r="37" ht="409" customHeight="1">
      <c r="A37" s="29" t="inlineStr">
        <is>
          <t>Uploading a file
Which supabase-js call uploads a file to a bucket under a chosen path?
const { data, error } = await supabase.storage
  .from("avatars")
  .upload("user-123/avatar.png", file, { upsert: true, contentType: "image/png" });
if (error) throw error;</t>
        </is>
      </c>
      <c r="B37" s="29" t="inlineStr">
        <is>
          <t>MEANING (SHORT):
storage.from(bucket).upload(path, file) saves a file at the given path in a bucket.
CODE:
const { data, error } = await supabase.storage
  .from("avatars")
  .upload("user-123/avatar.png", file, { upsert: true, contentType: "image/png" });
if (error) throw error;
OUTPUT:
The file is saved at user-123/avatar.png in the avatars bucket.
EXPLANATION:
By default upload fails if a file already exists at that path, and upsert true replaces it. The path is the object's name, and folders are part of it. The call must pass the bucket's storage policies, so a user may only upload where a policy allows. Always check the error value.
SIMPLE EXPLANATION (HINGLISH):
Choose the bucket, give a path, and pass the file. Use a folder per user and handle errors, since policies may refuse the upload.
REAL-LIFE ANALOGY:
It is like posting a parcel into a labelled cupboard at a specific shelf path.
SYNTAX PATTERN:
supabase.storage.from("bucket").upload("path/name.ext", file, options)
ANATOMY:
from = which bucket | upload = save | path = the object name | options = upsert, contentType
EXAMPLE 1:
await supabase.storage.from("avatars").upload("user-123/avatar.png", file);
EXAMPLE 2:
await supabase.storage.from("recordings").upload(`${userId}/lesson1.webm`, blob);
EXAMPLE 3:
await supabase.storage.from("avatars").remove(["user-123/avatar.png"]);
VARIATION:
{ upsert: true }   // replace an existing file
{ cacheControl: "3600" }   // set caching
USED WITH:
buckets, storage policies, public URL, signed URL
RELATED CONCEPTS:
buckets, storage policies, signed URLs
ALTERNATIVES:
Uploading through your own server with the service role
WHERE IT IS USED:
Profile pictures | Audio uploads | Document submission
MINI CONVERSATION:
A: My upload fails because the file already exists. | B: Use upsert true to replace it, or choose a new path.
COMMON MISTAKE:
✗ Anyone can upload to any bucket with the client key → ✓ Uploads must pass storage policies, and without a matching policy they are refused
COMMONLY CONFUSED WITH:
upload vs update: upload creates a file (or replaces it with upsert), update replaces an existing file.
AVOID / DON'T:
Do not upload without checking the returned error.
WRONG CODE:
await supabase.storage.upload("avatars", "avatar.png", file);
RIGHT CODE:
await supabase.storage.from("avatars").upload("user-123/avatar.png", file);
MEMORY TRICK:
from picks the bucket, upload picks the path.
REAL LIFE: PROJECT / WORK:
Letting students upload recordings into their own folder.
REAL LIFE: INTERVIEW / EXAM:
An interviewer may ask: How would you restrict who can upload to a bucket?
REAL LIFE: DAILY LIFE:
It is like posting a parcel to a shelf in a cupboard.</t>
        </is>
      </c>
      <c r="C37" s="29" t="inlineStr">
        <is>
          <t>06_Storage_Beginner_SUP-036</t>
        </is>
      </c>
    </row>
    <row r="38" ht="409" customHeight="1">
      <c r="A38" s="29" t="inlineStr">
        <is>
          <t>Public vs private buckets
Which bucket setting decides whether anyone with the link can open a file or access needs permission?</t>
        </is>
      </c>
      <c r="B38" s="29" t="inlineStr">
        <is>
          <t>DEFINITION (SIMPLE):
Files in a public bucket can be fetched by anyone who knows the URL, while files in a private bucket need permission through policies or a signed URL.
HOW / WHY IT WORKS:
For public buckets, getPublicUrl builds the address, and no login is needed to read the file, though uploads still need policies. For private buckets, reads go through the API with a valid session and a matching policy, or through a time-limited signed URL. Use private buckets for personal data.
SIMPLE EXPLANATION (HINGLISH):
Public means anyone with the link can open it. Private means you need a logged-in user with permission, or a temporary signed link.
REAL-LIFE ANALOGY:
A public bucket is a notice board, and a private bucket is a locked cupboard with a guest list.
FORMULA / RULE:
Public = open by URL. Private = policy or signed URL.
EXAMPLE 1:
A public bucket for product images.
EXAMPLE 2:
A private bucket for student recordings.
EXAMPLE 3:
A public logo bucket where only admins can upload.
RELATED CONCEPTS:
buckets, signed URLs, storage policies
FAMILY / GROUP:
public, private, getPublicUrl, signed URL, policy
WHERE IT IS USED:
Website images | Personal documents | Recordings
MINI CONVERSATION:
A: Can users open each other's recordings by guessing the link? | B: Not if the bucket is private and guarded by policies.
COMMON MISTAKE:
✗ Making a bucket public only allows the owner to see it → ✓ A public bucket lets anyone with the URL read its files
DON'T CONFUSE WITH:
Public vs private bucket: public files open by link, private files need permission.
AVOID / DON'T:
Do not put personal data in a public bucket.
MEMORY TRICK:
Public is open to all, private needs a pass.
REAL LIFE: PROJECT / WORK:
Keeping profile pictures public while keeping student recordings private.
REAL LIFE: INTERVIEW / EXAM:
An interviewer may ask: How do you serve private files safely?
REAL LIFE: DAILY LIFE:
It is like a notice board versus a locked cupboard.</t>
        </is>
      </c>
      <c r="C38" s="29" t="inlineStr">
        <is>
          <t>06_Storage_Beginner_SUP-037</t>
        </is>
      </c>
    </row>
    <row r="39" ht="409" customHeight="1">
      <c r="A39" s="29" t="inlineStr">
        <is>
          <t>Signed URLs
How do you give someone a temporary link to a file in a private bucket?
const { data, error } = await supabase.storage
  .from("recordings")
  .createSignedUrl("user-123/lesson1.webm", 60);
if (error) throw error;
console.log(data.signedUrl);</t>
        </is>
      </c>
      <c r="B39" s="29" t="inlineStr">
        <is>
          <t>MEANING (SHORT):
createSignedUrl returns a link that lets anyone with it read one private file until it expires.
CODE:
const { data, error } = await supabase.storage
  .from("recordings")
  .createSignedUrl("user-123/lesson1.webm", 60);
if (error) throw error;
console.log(data.signedUrl);
OUTPUT:
A long URL that opens the file for the next sixty seconds.
EXPLANATION:
The second argument is the number of seconds the link stays valid. The caller must have permission to read the file through policies, so a stranger cannot create links to other users' files. Anyone who holds the link can open the file until it expires, so keep lifetimes short and avoid logging links.
SIMPLE EXPLANATION (HINGLISH):
Ask for a signed URL with an expiry in seconds. Use it right away, for example as the source of an audio player, and let it expire.
REAL-LIFE ANALOGY:
It is like a visitor pass that stops working after a set time.
SYNTAX PATTERN:
supabase.storage.from("bucket").createSignedUrl("path", seconds)
ANATOMY:
createSignedUrl = make a temporary link | path = which file | seconds = how long it lasts
EXAMPLE 1:
await supabase.storage.from("recordings").createSignedUrl("a/b.webm", 60);
EXAMPLE 2:
await supabase.storage.from("reports").createSignedUrl("2026/report.pdf", 300);
EXAMPLE 3:
await supabase.storage.from("recordings").createSignedUrls(["a.webm", "b.webm"], 60);
VARIATION:
createSignedUploadUrl("path")   // a link that allows one upload
USED WITH:
private buckets, storage policies, audio and video players
RELATED CONCEPTS:
public vs private buckets, storage policies, upload
ALTERNATIVES:
Making the bucket public, if the files are not sensitive
WHERE IT IS USED:
Private downloads | Audio playback | Document sharing
MINI CONVERSATION:
A: I want to play a private recording in the browser. | B: Create a signed URL for a few minutes and use it as the audio source.
COMMON MISTAKE:
✗ A signed URL stays valid forever → ✓ A signed URL expires after the time you give it
COMMONLY CONFUSED WITH:
Signed URL vs public URL: a signed URL expires and needs permission to create, a public URL is permanent.
AVOID / DON'T:
Do not create very long-lived signed URLs for sensitive files.
WRONG CODE:
await supabase.storage.from("recordings").createSignedUrl("user-123/lesson1.webm");
RIGHT CODE:
await supabase.storage.from("recordings").createSignedUrl("user-123/lesson1.webm", 60);
MEMORY TRICK:
A signed URL always expires after a while.
REAL LIFE: PROJECT / WORK:
Playing a student's private recording through a link that lasts a few minutes.
REAL LIFE: INTERVIEW / EXAM:
An interviewer may ask: How do you share a private file temporarily?
REAL LIFE: DAILY LIFE:
It is like a visitor pass that expires.</t>
        </is>
      </c>
      <c r="C39" s="29" t="inlineStr">
        <is>
          <t>06_Storage_Intermediate_SUP-038</t>
        </is>
      </c>
    </row>
    <row r="40" ht="409" customHeight="1">
      <c r="A40" s="29" t="inlineStr">
        <is>
          <t>Storage policies
Which policies control who may upload, read, update or delete files, and which table do they apply to?
create policy "Users upload to own folder" on storage.objects
  for insert to authenticated
  with check (
    bucket_id = 'avatars'
    and (storage.foldername(name))[1] = (select auth.uid())::text
  );</t>
        </is>
      </c>
      <c r="B40" s="29" t="inlineStr">
        <is>
          <t>MEANING (SHORT):
Storage policies are RLS policies on the storage.objects table that decide which users may act on which files.
CODE:
create policy "Users upload to own folder" on storage.objects
  for insert to authenticated
  with check (
    bucket_id = 'avatars'
    and (storage.foldername(name))[1] = (select auth.uid())::text
  );
OUTPUT:
A logged-in user can upload only to a path whose first folder equals their own user id, in the avatars bucket.
EXPLANATION:
Every file is a row in storage.objects with its bucket_id and name. The helper storage.foldername(name) returns the folder parts of the path, and the first part is at position one. Without a matching policy, uploads and private reads are refused. You can write separate policies for select, insert, update and delete.
SIMPLE EXPLANATION (HINGLISH):
Write a policy on storage.objects that checks the bucket and the folder. Put each user's files in a folder named after their id, and the policy enforces it.
REAL-LIFE ANALOGY:
It is like rules on the cupboard door, checking who may put in or take out.
SYNTAX PATTERN:
create policy name on storage.objects for operation to role using or with check (condition);
ANATOMY:
storage.objects = table of files | bucket_id = which bucket | storage.foldername(name) = folder parts of the path
EXAMPLE 1:
with check (bucket_id = 'avatars' and (storage.foldername(name))[1] = (select auth.uid())::text)
EXAMPLE 2:
using (bucket_id = 'recordings' and (storage.foldername(name))[1] = (select auth.uid())::text)
EXAMPLE 3:
create policy "Public read avatars" on storage.objects for select using (bucket_id = 'avatars');
VARIATION:
for delete using (...)   // control who may delete
to anon   // allow logged-out users
USED WITH:
buckets, auth.uid(), upload, signed URLs
RELATED CONCEPTS:
Row Level Security, upload, public vs private buckets
ALTERNATIVES:
Uploading through a server that uses the service role
WHERE IT IS USED:
User folders | Private recordings | Admin-only uploads
MINI CONVERSATION:
A: Users get a policy error when uploading. | B: Add an insert policy on storage.objects that matches the user's folder.
COMMON MISTAKE:
✗ Bucket settings alone control who can upload → ✓ Uploads and private reads need policies on storage.objects too
COMMONLY CONFUSED WITH:
Table policy vs storage policy: table policies guard rows, storage policies guard file objects in storage.objects.
AVOID / DON'T:
Do not write storage policies that ignore the bucket id.
WRONG CODE:
create policy "upload" on storage.objects for insert with check (true);
RIGHT CODE:
create policy "upload own" on storage.objects for insert to authenticated with check (bucket_id = 'avatars' and (storage.foldername(name))[1] = (select auth.uid())::text);
MEMORY TRICK:
Folder name equals user id.
REAL LIFE: PROJECT / WORK:
Letting each student upload and read only their own recordings.
REAL LIFE: INTERVIEW / EXAM:
An interviewer may ask: How do you restrict file access per user?
REAL LIFE: DAILY LIFE:
It is like rules on a cupboard door.</t>
        </is>
      </c>
      <c r="C40" s="29" t="inlineStr">
        <is>
          <t>06_Storage_Advanced_SUP-039</t>
        </is>
      </c>
    </row>
    <row r="41" ht="409" customHeight="1">
      <c r="A41" s="29" t="inlineStr">
        <is>
          <t>Realtime (Postgres changes)
How can your app receive a message the moment a row is inserted, updated or deleted in a table?
const channel = supabase
  .channel("todos-changes")
  .on("postgres_changes", { event: "INSERT", schema: "public", table: "todos" },
    (payload) =&gt; console.log("New todo:", payload.new))
  .subscribe();</t>
        </is>
      </c>
      <c r="B41" s="29" t="inlineStr">
        <is>
          <t>MEANING (SHORT):
A channel subscribed to postgres_changes calls your function whenever matching rows change.
CODE:
const channel = supabase
  .channel("todos-changes")
  .on("postgres_changes", { event: "INSERT", schema: "public", table: "todos" },
    (payload) =&gt; console.log("New todo:", payload.new))
  .subscribe();
OUTPUT:
Each time a todo is inserted, the console prints New todo with the new row.
EXPLANATION:
The table must be included in the supabase_realtime publication, which you can enable in the dashboard. The event can be INSERT, UPDATE, DELETE or a star for all. Row Level Security applies to what each subscriber receives. Remove the channel when the component unmounts, with removeChannel.
SIMPLE EXPLANATION (HINGLISH):
Turn on realtime for the table, create a channel, listen for changes, and subscribe. Remember to remove the channel when you no longer need it.
REAL-LIFE ANALOGY:
It is like a doorbell wired to the table that rings whenever something changes.
SYNTAX PATTERN:
supabase.channel(name).on("postgres_changes", filter, callback).subscribe()
ANATOMY:
channel = a named connection | on = listen for changes | filter = event, schema, table | subscribe = start
EXAMPLE 1:
event: "INSERT", schema: "public", table: "todos"
EXAMPLE 2:
event: "*", schema: "public", table: "messages"
EXAMPLE 3:
supabase.removeChannel(channel)
VARIATION:
filter: "room_id=eq.5"   // only changes for one room
USED WITH:
websockets, publication, RLS, removeChannel
RELATED CONCEPTS:
Broadcast and Presence, Row Level Security, triggers
ALTERNATIVES:
Polling the table on a timer
WHERE IT IS USED:
Chat | Live dashboards | Collaborative apps
MINI CONVERSATION:
A: New messages do not show until I refresh. | B: Subscribe to INSERT changes on the messages table.
COMMON MISTAKE:
✗ Realtime works on every table automatically → ✓ A table must be added to the realtime publication, and RLS still limits what each user receives
COMMONLY CONFUSED WITH:
Realtime vs polling: realtime pushes changes as they happen, polling asks repeatedly.
AVOID / DON'T:
Do not forget to remove channels when leaving a page.
WRONG CODE:
supabase.on("postgres_changes", {}, callback).subscribe();
RIGHT CODE:
supabase.channel("todos-changes").on("postgres_changes", { event: "INSERT", schema: "public", table: "todos" }, callback).subscribe();
MEMORY TRICK:
Make a channel, listen, then subscribe.
REAL LIFE: PROJECT / WORK:
Showing new chat messages live as other users send them.
REAL LIFE: INTERVIEW / EXAM:
An interviewer may ask: How does Supabase Realtime deliver database changes?
REAL LIFE: DAILY LIFE:
It is like a doorbell wired to the table.</t>
        </is>
      </c>
      <c r="C41" s="29" t="inlineStr">
        <is>
          <t>07_Realtime_and_functions_Intermediate_SUP-040</t>
        </is>
      </c>
    </row>
    <row r="42" ht="409" customHeight="1">
      <c r="A42" s="29" t="inlineStr">
        <is>
          <t>Broadcast and Presence
Which two Realtime features send short messages between clients and track who is currently online?</t>
        </is>
      </c>
      <c r="B42" s="29" t="inlineStr">
        <is>
          <t>DEFINITION (SIMPLE):
Broadcast sends low-latency messages between clients subscribed to a channel, and Presence keeps a shared record of which clients are online with their state.
HOW / WHY IT WORKS:
Both work through a channel. With Broadcast, a client sends an event and others receive it, with nothing stored in the database. With Presence, each client tracks its own state, such as a name or status, and everyone can see the combined list, which updates when people join or leave.
SIMPLE EXPLANATION (HINGLISH):
Use Broadcast for things like typing or cursor movements, and Presence for an online users list. Neither needs a table.
REAL-LIFE ANALOGY:
Broadcast is shouting across a room, and Presence is the list of who is standing in it.
FORMULA / RULE:
Broadcast = messages between clients. Presence = who is online and their state.
EXAMPLE 1:
A typing indicator sent through Broadcast.
EXAMPLE 2:
A list of users in a room shown with Presence.
EXAMPLE 3:
Live cursors in a shared whiteboard.
RELATED CONCEPTS:
Realtime Postgres changes, channels, websockets
FAMILY / GROUP:
channel, broadcast, presence, track, sync
WHERE IT IS USED:
Collaboration tools | Games | Live classrooms
MINI CONVERSATION:
A: How do I show who is online in this class? | B: Use Presence on the class channel.
COMMON MISTAKE:
✗ Broadcast messages are saved in the database → ✓ Broadcast messages are ephemeral and are not stored unless you save them yourself
DON'T CONFUSE WITH:
Broadcast vs Postgres changes: Broadcast sends client messages, Postgres changes stream database row changes.
AVOID / DON'T:
Do not rely on Broadcast for data that must be kept.
MEMORY TRICK:
Broadcast shouts and presence keeps a list.
REAL LIFE: PROJECT / WORK:
Showing which students are currently in a live practice room.
REAL LIFE: INTERVIEW / EXAM:
An interviewer may ask: What is the difference between Broadcast and Presence?
REAL LIFE: DAILY LIFE:
It is like shouting across a room and keeping a list of who is in it.</t>
        </is>
      </c>
      <c r="C42" s="29" t="inlineStr">
        <is>
          <t>07_Realtime_and_functions_Intermediate_SUP-041</t>
        </is>
      </c>
    </row>
    <row r="43" ht="409" customHeight="1">
      <c r="A43" s="29" t="inlineStr">
        <is>
          <t>Edge Functions
Which Supabase feature runs your own TypeScript server code close to users, such as for secrets or third-party calls?
Deno.serve(async (req) =&gt; {
  const { name } = await req.json();
  return new Response(JSON.stringify({ message: `Hello ${name}` }), {
    headers: { "Content-Type": "application/json" },
  });
});</t>
        </is>
      </c>
      <c r="B43" s="29" t="inlineStr">
        <is>
          <t>MEANING (SHORT):
An Edge Function is a small TypeScript function that runs on Deno on Supabase's infrastructure and is called over HTTP.
CODE:
Deno.serve(async (req) =&gt; {
  const { name } = await req.json();
  return new Response(JSON.stringify({ message: `Hello ${name}` }), {
    headers: { "Content-Type": "application/json" },
  });
});
OUTPUT:
A call with the body {"name": "Asha"} returns {"message": "Hello Asha"}.
EXPLANATION:
You write the function in your project's supabase/functions folder, and deploy it with supabase functions deploy name. Secrets are set with the CLI and read through Deno.env. From the client you call it with supabase.functions.invoke, which also forwards the user's token. Typical uses are calling payment or email providers, receiving webhooks and running scheduled jobs.
SIMPLE EXPLANATION (HINGLISH):
Write a function, deploy it, and call it from your app. Use it for anything that needs secrets or must run on the server.
REAL-LIFE ANALOGY:
It is like a small kitchen beside the dining room for tasks guests must not do themselves.
SYNTAX PATTERN:
supabase.functions.invoke("name", { body })
ANATOMY:
Deno.serve = handle requests | invoke = call from the client | secrets = set with the CLI
EXAMPLE 1:
await supabase.functions.invoke("hello", { body: { name: "Asha" } });
EXAMPLE 2:
A function that calls an email provider with a secret key.
EXAMPLE 3:
A function that receives a payment webhook.
VARIATION:
supabase functions deploy hello   // publish the function
supabase secrets set EMAIL_KEY=...   // store a secret
USED WITH:
Deno, secrets, CLI, webhooks
RELATED CONCEPTS:
webhooks, database functions, environment variables
ALTERNATIVES:
Your own server or another serverless platform
WHERE IT IS USED:
Third-party API calls | Webhook receivers | Scheduled jobs
MINI CONVERSATION:
A: Where should the email API key live? | B: In an edge function secret, called from the app through the function.
COMMON MISTAKE:
✗ Edge Functions are the same as database functions → ✓ Edge Functions run TypeScript outside the database, while database functions run inside Postgres
COMMONLY CONFUSED WITH:
Edge Function vs database function: one runs your TypeScript on Deno, the other runs SQL inside Postgres.
AVOID / DON'T:
Do not put secret keys in front-end code, use a function.
WRONG CODE:
const key = "my-email-secret"; // inside browser code
RIGHT CODE:
const key = Deno.env.get("EMAIL_KEY"); // inside an edge function
MEMORY TRICK:
Secrets stay inside the function.
REAL LIFE: PROJECT / WORK:
Sending a welcome email from an edge function after signup.
REAL LIFE: INTERVIEW / EXAM:
An interviewer may ask: When would you use an Edge Function?
REAL LIFE: DAILY LIFE:
It is like a small kitchen next to the dining room.</t>
        </is>
      </c>
      <c r="C43" s="29" t="inlineStr">
        <is>
          <t>07_Realtime_and_functions_Advanced_SUP-042</t>
        </is>
      </c>
    </row>
    <row r="44" ht="409" customHeight="1">
      <c r="A44" s="29" t="inlineStr">
        <is>
          <t>Database functions and triggers
Which two Postgres features let the database run code automatically when a row is inserted, such as creating a profile for each new user?
create function public.handle_new_user() returns trigger
language plpgsql security definer set search_path = '' as $$
begin
  insert into public.profiles (id) values (new.id);
  return new;
end;
$$;
create trigger on_auth_user_created
  after insert on auth.users
  for each row execute function public.handle_new_user();</t>
        </is>
      </c>
      <c r="B44" s="29" t="inlineStr">
        <is>
          <t>MEANING (SHORT):
A trigger runs a function automatically before or after an insert, update or delete on a table.
CODE:
create function public.handle_new_user() returns trigger
language plpgsql security definer set search_path = '' as $$
begin
  insert into public.profiles (id) values (new.id);
  return new;
end;
$$;
create trigger on_auth_user_created
  after insert on auth.users
  for each row execute function public.handle_new_user();
OUTPUT:
Each new user in auth.users automatically gets a matching row in public.profiles.
EXPLANATION:
The function returns trigger and can read the new row through new. It is security definer so it can write to your table, and setting search_path avoids hijacking risks. The trigger says when to run it, such as after insert, and for each row. Triggers work whatever client changed the data, so rules cannot be skipped.
SIMPLE EXPLANATION (HINGLISH):
Write a function, then attach it with a trigger to a table event. From then on the database runs it every time the event occurs.
REAL-LIFE ANALOGY:
It is like a tripwire that sets off an alarm automatically.
SYNTAX PATTERN:
create trigger name after insert on table for each row execute function fn();
ANATOMY:
function = the code to run | trigger = when to run it | new = the row that was added
EXAMPLE 1:
create trigger on_auth_user_created after insert on auth.users for each row execute function public.handle_new_user();
EXAMPLE 2:
A trigger that sets updated_at before each update.
EXAMPLE 3:
A trigger that writes a row into an audit log after each delete.
VARIATION:
before update   // run before the change
for each statement   // once per statement, not per row
USED WITH:
plpgsql, security definer, auth.users, profiles
RELATED CONCEPTS:
RPC, Supabase Auth, database webhooks
ALTERNATIVES:
Doing the same step in application code
WHERE IT IS USED:
Profile creation | Audit logs | Timestamps
MINI CONVERSATION:
A: How do I create a profile for every new user? | B: Add a trigger on auth.users that inserts into profiles.
COMMON MISTAKE:
✗ Triggers only run when my app code calls them → ✓ Triggers run inside the database whenever the event happens, whichever client caused it
COMMONLY CONFUSED WITH:
Function vs trigger: a function holds the code, a trigger decides when it runs.
AVOID / DON'T:
Do not write security definer functions without setting the search_path.
WRONG CODE:
create trigger t on auth.users execute function public.handle_new_user();
RIGHT CODE:
create trigger on_auth_user_created after insert on auth.users for each row execute function public.handle_new_user();
MEMORY TRICK:
Function holds the code, trigger fires it.
REAL LIFE: PROJECT / WORK:
Creating a profile row for each learner at sign-up.
REAL LIFE: INTERVIEW / EXAM:
An interviewer may ask: What is a trigger in Postgres?
REAL LIFE: DAILY LIFE:
It is like a tripwire that sets off an alarm.</t>
        </is>
      </c>
      <c r="C44" s="29" t="inlineStr">
        <is>
          <t>07_Realtime_and_functions_Advanced_SUP-043</t>
        </is>
      </c>
    </row>
    <row r="45" ht="409" customHeight="1">
      <c r="A45" s="29" t="inlineStr">
        <is>
          <t>Database webhooks
Which feature sends an HTTP request to a URL automatically when a table row is inserted, updated or deleted?</t>
        </is>
      </c>
      <c r="B45" s="29" t="inlineStr">
        <is>
          <t>DEFINITION (SIMPLE):
A database webhook is a trigger-based feature that sends an HTTP request containing the changed row to a URL when a chosen table event happens.
HOW / WHY IT WORKS:
You configure the table, the events and the destination in the dashboard. The request body carries the event type, the table, the new record and the old record where relevant. It is an easy way to start an email, a notification or a sync after data changes. Treat the receiving URL like any webhook endpoint and verify the call.
SIMPLE EXPLANATION (HINGLISH):
Choose a table and an event, give a URL, and Supabase calls it with the row data whenever the event happens.
REAL-LIFE ANALOGY:
It is like a doorbell that rings another system when your data changes.
FORMULA / RULE:
Table event → HTTP POST with the row → your function or URL
EXAMPLE 1:
Calling an Edge Function after each new order is inserted.
EXAMPLE 2:
Notifying a chat tool when a support ticket is created.
EXAMPLE 3:
Syncing a deleted record to another system.
RELATED CONCEPTS:
webhooks, Edge Functions, triggers
FAMILY / GROUP:
webhook, trigger, payload, record, event
WHERE IT IS USED:
Notifications | Syncs | Automations
MINI CONVERSATION:
A: How do we send an email when an order is created? | B: Add a database webhook on the orders table that calls an edge function.
COMMON MISTAKE:
✗ A database webhook is the same as the realtime feature → ✓ Realtime pushes changes to subscribed clients, while a database webhook calls a URL from the server side
DON'T CONFUSE WITH:
Database webhook vs Realtime: a webhook calls a URL on the server, Realtime pushes to connected clients.
AVOID / DON'T:
Do not leave the receiving URL unverified.
MEMORY TRICK:
A data change calls a URL.
REAL LIFE: PROJECT / WORK:
Emailing a coach when a student submits a recording.
REAL LIFE: INTERVIEW / EXAM:
An interviewer may ask: How would you react to a new row with server code?
REAL LIFE: DAILY LIFE:
It is like a doorbell that rings another system.</t>
        </is>
      </c>
      <c r="C45" s="29" t="inlineStr">
        <is>
          <t>07_Realtime_and_functions_Advanced_SUP-044</t>
        </is>
      </c>
    </row>
    <row r="46" ht="409" customHeight="1">
      <c r="A46" s="29" t="inlineStr">
        <is>
          <t>Connection pooling (transaction vs session mode)
Why do serverless apps connect to Supabase through a pooler, and how do the transaction and session modes differ?</t>
        </is>
      </c>
      <c r="B46" s="29" t="inlineStr">
        <is>
          <t>DEFINITION (SIMPLE):
Connection pooling reuses a small number of database connections for many clients, and in transaction mode a connection is held only for the length of one transaction, while session mode holds it for a whole client session.
HOW / WHY IT WORKS:
Supabase provides a pooler, so apps do not open too many direct connections. Transaction mode, commonly on port 6543, suits serverless functions because connections are returned after each transaction, but it does not support some session features such as prepared statements. Session mode, commonly on port 5432 through the pooler, keeps one connection per client and has a limit on clients. The direct connection goes straight to the database, and depends on IPv6 unless you add IPv4 support, so copy the exact strings from your dashboard.
SIMPLE EXPLANATION (HINGLISH):
Do not let every serverless function open its own database connection. Connect through the pooler in transaction mode, and use the direct or session string only for tasks like migrations.
REAL-LIFE ANALOGY:
A pooler is a receptionist who shares a few phone lines among many callers.
FORMULA / RULE:
Serverless app → pooler (transaction mode) → database. Migrations → direct or session connection.
EXAMPLE 1:
A Next.js app on serverless hosting using the transaction pooler string.
EXAMPLE 2:
A migration command using the direct connection string.
EXAMPLE 3:
Too many connections errors disappearing after switching to the pooler.
RELATED CONCEPTS:
Prisma and Supabase, connection strings, serverless, migrations
FAMILY / GROUP:
pooler, transaction mode, session mode, direct connection, port
WHERE IT IS USED:
Serverless hosting | ORMs such as Prisma | High-traffic apps
MINI CONVERSATION:
A: Our app runs out of connections on serverless. | B: Switch to the transaction pooler connection string.
COMMON MISTAKE:
✗ Every app should connect directly to the database for the best speed → ✓ Serverless and high-traffic apps should use the pooler to avoid exhausting connections
DON'T CONFUSE WITH:
Transaction vs session mode: transaction mode shares connections per transaction, session mode holds one per client session.
AVOID / DON'T:
Do not run migrations through the transaction pooler.
MEMORY TRICK:
A pooler shares a few lines among many callers.
REAL LIFE: PROJECT / WORK:
Using the transaction pooler for runtime and the session or direct string for migrations.
REAL LIFE: INTERVIEW / EXAM:
An interviewer may ask: Why use a connection pooler with serverless?
REAL LIFE: DAILY LIFE:
It is like a receptionist who shares a few phone lines among many callers.</t>
        </is>
      </c>
      <c r="C46" s="29" t="inlineStr">
        <is>
          <t>08_Production_and_advanced_Advanced_SUP-045</t>
        </is>
      </c>
    </row>
    <row r="47" ht="409" customHeight="1">
      <c r="A47" s="29" t="inlineStr">
        <is>
          <t>Backups and recovery
What protects you if data is deleted by mistake, and how can you take your own copy of the database?</t>
        </is>
      </c>
      <c r="B47" s="29" t="inlineStr">
        <is>
          <t>DEFINITION (SIMPLE):
Backups are saved copies of the database that let you restore it after data loss, and Supabase offers automatic backups on some plans, and optional point-in-time recovery.
HOW / WHY IT WORKS:
What is included depends on your plan, so check the dashboard and current documentation. Point-in-time recovery lets you restore to a chosen moment, as an add-on. You can also take your own dump with the CLI, such as supabase db dump, and keep it elsewhere. Test a restore before you need it, because an untested backup is only a hope.
SIMPLE EXPLANATION (HINGLISH):
Know what your plan backs up, keep your own dumps for important data, and practise restoring them.
REAL-LIFE ANALOGY:
It is like spare keys kept in a safe place.
FORMULA / RULE:
Plan backups + your own dumps + tested restores
EXAMPLE 1:
Daily backups on a paid plan.
EXAMPLE 2:
Taking a dump with the CLI before a risky migration.
EXAMPLE 3:
Restoring to a new project to check that a backup works.
RELATED CONCEPTS:
migrations, local development, production
FAMILY / GROUP:
backup, restore, dump, point-in-time recovery
WHERE IT IS USED:
Production projects | Before big changes | Disaster recovery
MINI CONVERSATION:
A: Someone deleted a table by mistake. | B: Check the backups, and restore from the latest copy or point in time.
COMMON MISTAKE:
✗ Backups are only needed after something goes wrong → ✓ Backups must be set up and tested beforehand, because they cannot be created after data is lost
DON'T CONFUSE WITH:
Backup vs migration: a backup saves the data, a migration records the structure changes.
AVOID / DON'T:
Do not assume every plan includes the backups you need.
MEMORY TRICK:
Test the restore before you need it.
REAL LIFE: PROJECT / WORK:
Dumping the database before running a risky migration.
REAL LIFE: INTERVIEW / EXAM:
An interviewer may ask: How would you recover from accidental data deletion?
REAL LIFE: DAILY LIFE:
It is like spare keys in a safe place.</t>
        </is>
      </c>
      <c r="C47" s="29" t="inlineStr">
        <is>
          <t>08_Production_and_advanced_Intermediate_SUP-046</t>
        </is>
      </c>
    </row>
    <row r="48" ht="409" customHeight="1">
      <c r="A48" s="29" t="inlineStr">
        <is>
          <t>Local development with the CLI
How do you run a copy of Supabase on your own computer so you can build and test safely?
supabase init
supabase start
supabase db reset
supabase stop</t>
        </is>
      </c>
      <c r="B48" s="29" t="inlineStr">
        <is>
          <t>MEANING (SHORT):
supabase start runs a local copy of the Supabase stack so you can develop without touching the live project.
CODE:
supabase init
supabase start
supabase db reset
supabase stop
OUTPUT:
A local database, API and dashboard start on your computer, and the CLI prints their addresses and local keys.
EXPLANATION:
The CLI needs a container runtime such as Docker. supabase init creates the supabase folder, start launches the services, db reset rebuilds the local database from your migrations and seed file, and stop shuts everything down. The local keys are separate from the real project, so nothing live is affected.
SIMPLE EXPLANATION (HINGLISH):
Install the CLI and Docker, then init and start. You get a private copy of Supabase to experiment on, and migrations tested there can be pushed to production.
REAL-LIFE ANALOGY:
It is like a rehearsal stage with the same set as the real theatre.
SYNTAX PATTERN:
supabase init  |  supabase start  |  supabase stop
ANATOMY:
init = create the folder | start = launch the local stack | db reset = rebuild from migrations
EXAMPLE 1:
supabase start
EXAMPLE 2:
supabase db reset
EXAMPLE 3:
supabase stop
VARIATION:
supabase status   // show local URLs and keys
supabase link   // connect to a remote project
USED WITH:
Docker, migrations, seed files, supabase db push
RELATED CONCEPTS:
migrations, backups, environments
ALTERNATIVES:
A separate development project in the cloud
WHERE IT IS USED:
Daily development | Testing migrations | Teams
MINI CONVERSATION:
A: I do not want to test on the live project. | B: Run supabase start and work against the local copy.
COMMON MISTAKE:
✗ The local Supabase uses the same keys as my live project → ✓ Local services have their own keys and data, so they are separate from production
COMMONLY CONFUSED WITH:
supabase start vs supabase link: start runs a local stack, link connects the CLI to a remote project.
AVOID / DON'T:
Do not paste local keys into production settings.
WRONG CODE:
supabase run local
RIGHT CODE:
supabase start
MEMORY TRICK:
Start the stage, then rehearse.
REAL LIFE: PROJECT / WORK:
Testing a new migration locally before pushing it to production.
REAL LIFE: INTERVIEW / EXAM:
An interviewer may ask: How do you develop against Supabase without touching production?
REAL LIFE: DAILY LIFE:
It is like a rehearsal stage with the same set.</t>
        </is>
      </c>
      <c r="C48" s="29" t="inlineStr">
        <is>
          <t>08_Production_and_advanced_Intermediate_SUP-047</t>
        </is>
      </c>
    </row>
    <row r="49" ht="409" customHeight="1">
      <c r="A49" s="29" t="inlineStr">
        <is>
          <t>pgvector (AI embeddings and similarity search)
Which Postgres extension lets you store embeddings and search for the most similar items by meaning?
create extension if not exists vector;
create table documents (
  id bigint generated always as identity primary key,
  content text,
  embedding vector(1536)
);
select id, content from documents
order by embedding &lt;=&gt; '[0.1, 0.2, ...]'::vector limit 5;</t>
        </is>
      </c>
      <c r="B49" s="29" t="inlineStr">
        <is>
          <t>MEANING (SHORT):
pgvector adds a vector column type and distance operators to Postgres, so you can store embeddings and find the nearest ones.
CODE:
create extension if not exists vector;
create table documents (
  id bigint generated always as identity primary key,
  content text,
  embedding vector(1536)
);
select id, content from documents
order by embedding &lt;=&gt; '[0.1, 0.2, ...]'::vector limit 5;
OUTPUT:
The five documents whose embeddings are closest in meaning to the query embedding.
EXPLANATION:
The number in vector(1536) is the embedding size, which must match your model. The operator &lt;=&gt; is cosine distance, and others measure Euclidean distance or inner product. You create the embeddings with a model outside the database, store them, and search with a query embedding. For larger tables, add an HNSW or IVFFlat index, and wrap the search in a function you call with rpc.
SIMPLE EXPLANATION (HINGLISH):
Turn text into embeddings with a model, store them in a vector column, and order by distance to the query embedding to get the closest matches.
REAL-LIFE ANALOGY:
It is like placing each text as a dot on a map and finding the dots nearest to your question.
SYNTAX PATTERN:
embedding vector(n)  |  order by embedding &lt;=&gt; query_embedding
ANATOMY:
vector(n) = n numbers per item | &lt;=&gt; = cosine distance | limit = how many results
EXAMPLE 1:
create extension if not exists vector;
EXAMPLE 2:
alter table documents add column embedding vector(1536);
EXAMPLE 3:
create index on documents using hnsw (embedding vector_cosine_ops);
VARIATION:
&lt;-&gt;   // Euclidean distance
&lt;#&gt;   // negative inner product
USED WITH:
embeddings, rpc, HNSW index, AI models
RELATED CONCEPTS:
RPC, indexes, SQL functions
ALTERNATIVES:
A dedicated vector database
WHERE IT IS USED:
Semantic search | Chat with your documents | Recommendations
MINI CONVERSATION:
A: How do we search lesson notes by meaning? | B: Store embeddings with pgvector and order by distance to the query's embedding.
COMMON MISTAKE:
✗ pgvector creates embeddings from text by itself → ✓ pgvector only stores and compares vectors, and a separate model creates the embeddings
COMMONLY CONFUSED WITH:
Embedding model vs pgvector: the model creates the vectors, pgvector stores and searches them.
AVOID / DON'T:
Do not mix embeddings of different sizes in one column.
WRONG CODE:
embedding vector order by &lt;=&gt; query limit 5;
RIGHT CODE:
select id, content from documents order by embedding &lt;=&gt; query_embedding limit 5;
MEMORY TRICK:
Smaller distance means closer meaning.
REAL LIFE: PROJECT / WORK:
Searching lesson notes by meaning using stored embeddings.
REAL LIFE: INTERVIEW / EXAM:
An interviewer may ask: How would you add semantic search to Postgres?
REAL LIFE: DAILY LIFE:
It is like finding the dots nearest to your question on a map.</t>
        </is>
      </c>
      <c r="C49" s="29" t="inlineStr">
        <is>
          <t>08_Production_and_advanced_Advanced_SUP-048</t>
        </is>
      </c>
    </row>
    <row r="50" ht="409" customHeight="1">
      <c r="A50" s="29" t="inlineStr">
        <is>
          <t>Query performance with EXPLAIN
Which Postgres command shows how a query will run and whether it scans the whole table or uses an index?
explain analyze select * from todos where user_id = '2f1c9b8e-0000-4000-8000-000000000000';</t>
        </is>
      </c>
      <c r="B50" s="29" t="inlineStr">
        <is>
          <t>MEANING (SHORT):
EXPLAIN shows a query's execution plan, and EXPLAIN ANALYZE also runs it and reports real timings.
CODE:
explain analyze select * from todos where user_id = '2f1c9b8e-0000-4000-8000-000000000000';
OUTPUT:
A plan such as Seq Scan on todos with a long execution time, or Index Scan using todos_user_id_idx once an index exists.
EXPLANATION:
A Seq Scan reads every row, and an Index Scan jumps to matching rows. ANALYZE executes the query for real, so be careful with statements that change data. In Supabase you can run it in the SQL Editor. After adding an index, run it again to confirm the plan changed and the time dropped.
SIMPLE EXPLANATION (HINGLISH):
Put explain analyze before your query to see how it runs. If you see a sequential scan on a big table, an index may help.
REAL-LIFE ANALOGY:
It is like asking the driver to describe the route before and after the journey.
SYNTAX PATTERN:
explain analyze &lt;query&gt;;
ANATOMY:
explain = show the plan | analyze = also run it and time it
EXAMPLE 1:
explain select * from todos where done = false;
EXAMPLE 2:
explain analyze select * from todos where user_id = 'some-id';
EXAMPLE 3:
create index todos_done_idx on todos (done);
VARIATION:
explain (analyze, buffers) ...   // more detail
Seq Scan vs Index Scan   // the first thing to look for
USED WITH:
indexes, SQL Editor, RLS policies
RELATED CONCEPTS:
indexes, Row Level Security, performance
ALTERNATIVES:
The query performance tools in the dashboard
WHERE IT IS USED:
Slow queries | Index tuning | Policy performance
MINI CONVERSATION:
A: This list takes seconds to load. | B: Run explain analyze, and if it shows a sequential scan, add an index.
COMMON MISTAKE:
✗ EXPLAIN ANALYZE only describes the query without running it → ✓ EXPLAIN ANALYZE actually runs the query, so avoid it on statements that change data
COMMONLY CONFUSED WITH:
EXPLAIN vs EXPLAIN ANALYZE: explain shows the estimated plan, analyze runs it and shows real timings.
AVOID / DON'T:
Do not use explain analyze on an unsafe delete.
WRONG CODE:
explain todos where user_id = 'some-id';
RIGHT CODE:
explain analyze select * from todos where user_id = 'some-id';
MEMORY TRICK:
Look for Seq Scan on big tables.
REAL LIFE: PROJECT / WORK:
Finding a missing index by reading the plan of a slow policy-filtered query.
REAL LIFE: INTERVIEW / EXAM:
An interviewer may ask: How do you investigate a slow query?
REAL LIFE: DAILY LIFE:
It is like asking the driver to describe the route.</t>
        </is>
      </c>
      <c r="C50" s="29" t="inlineStr">
        <is>
          <t>08_Production_and_advanced_Advanced_SUP-049</t>
        </is>
      </c>
    </row>
    <row r="51" ht="409" customHeight="1">
      <c r="A51" s="29" t="inlineStr">
        <is>
          <t>Security checklist before launch
Which key checks should you make before putting a Supabase app in front of real users?</t>
        </is>
      </c>
      <c r="B51" s="29" t="inlineStr">
        <is>
          <t>DEFINITION (SIMPLE):
A pre-launch security checklist confirms that RLS is on with correct policies, secret keys stay on servers, storage and auth are configured safely, and backups and monitoring exist.
HOW / WHY IT WORKS:
Check that every exposed table has RLS and tested policies. Check that the service role key is only in server code and not in any bundle. Review private buckets and storage policies, the allowed redirect URLs, email confirmation settings and password rules. Use separate projects for development and production, enable backups, and review the advisors and logs. Rotate any key that has ever leaked.
SIMPLE EXPLANATION (HINGLISH):
Before launch, check RLS on every table, keep the service role key on the server, protect storage, set auth redirects, and make sure backups exist.
REAL-LIFE ANALOGY:
It is like a pilot's pre-flight list, which is boring but life-saving.
FORMULA / RULE:
RLS + keys + storage + auth settings + backups + monitoring
EXAMPLE 1:
Finding a table without RLS using the security advisor.
EXAMPLE 2:
Removing the service role key from a front-end environment file.
EXAMPLE 3:
Limiting the redirect URLs to the real site address.
RELATED CONCEPTS:
Row Level Security, keys, storage policies, backups
FAMILY / GROUP:
advisor, audit, RLS, secrets, monitoring
WHERE IT IS USED:
Before launch | Security reviews | Team handovers
MINI CONVERSATION:
A: Are we ready to launch? | B: First check RLS on every table, the keys, storage policies and backups.
COMMON MISTAKE:
✗ Security can be added after launch when users arrive → ✓ Exposed tables without RLS are open from the start, so security must be checked before launch
DON'T CONFUSE WITH:
Development vs production settings: development can be relaxed, production needs RLS, restricted redirects and backups.
AVOID / DON'T:
Do not launch with test policies such as using true on private tables.
MEMORY TRICK:
Check RLS, keys, storage, auth and backups.
REAL LIFE: PROJECT / WORK:
Reviewing every table and bucket before opening an app to students.
REAL LIFE: INTERVIEW / EXAM:
An interviewer may ask: What do you check before launching a Supabase app?
REAL LIFE: DAILY LIFE:
It is like a pilot's pre-flight list.</t>
        </is>
      </c>
      <c r="C51" s="29" t="inlineStr">
        <is>
          <t>08_Production_and_advanced_Advanced_SUP-050</t>
        </is>
      </c>
    </row>
    <row r="52" ht="409" customHeight="1">
      <c r="A52" s="29" t="inlineStr">
        <is>
          <t>Prisma connection strings for Supabase
Which two connection strings does Prisma need for Supabase, one for runtime queries and one for migrations?
# .env
DATABASE_URL="postgresql://postgres.PROJECTREF:PASSWORD@aws-0-region.pooler.supabase.com:6543/postgres?pgbouncer=true&amp;connection_limit=1"
DIRECT_URL="postgresql://postgres.PROJECTREF:PASSWORD@aws-0-region.pooler.supabase.com:5432/postgres"
// schema.prisma
datasource db {
  provider  = "postgresql"
  url       = env("DATABASE_URL")
  directUrl = env("DIRECT_URL")
}</t>
        </is>
      </c>
      <c r="B52" s="29" t="inlineStr">
        <is>
          <t>MEANING (SHORT):
DATABASE_URL points at the transaction pooler for queries, and DIRECT_URL points at a direct or session connection for migrations.
CODE:
# .env
DATABASE_URL="postgresql://postgres.PROJECTREF:PASSWORD@aws-0-region.pooler.supabase.com:6543/postgres?pgbouncer=true&amp;connection_limit=1"
DIRECT_URL="postgresql://postgres.PROJECTREF:PASSWORD@aws-0-region.pooler.supabase.com:5432/postgres"
// schema.prisma
datasource db {
  provider  = "postgresql"
  url       = env("DATABASE_URL")
  directUrl = env("DIRECT_URL")
}
OUTPUT:
Prisma uses the pooled URL for queries and the direct URL when running migrations.
EXPLANATION:
The pooled URL goes through the transaction pooler on port 6543, with pgbouncer=true so Prisma avoids prepared statements, and connection_limit=1 to prevent too many connections in serverless functions. The direct URL is used by Prisma Migrate. Prisma reads .env, not .env.local. Copy exact strings from your dashboard, because hosts and formats can differ and the direct host may not resolve on IPv4 networks.
SIMPLE EXPLANATION (HINGLISH):
Use the pooler string for everyday queries and the other string for migrations. Both go in the env file Prisma reads, and the schema file points at them.
REAL-LIFE ANALOGY:
One string is the busy front door for queries, and the other is the staff entrance for migrations.
SYNTAX PATTERN:
datasource db { url = env("DATABASE_URL") directUrl = env("DIRECT_URL") }
ANATOMY:
DATABASE_URL = pooled, for queries | DIRECT_URL = for migrations | pgbouncer=true = no prepared statements | connection_limit=1 = one connection per instance
EXAMPLE 1:
DATABASE_URL with port 6543 and pgbouncer=true
EXAMPLE 2:
DIRECT_URL with port 5432
EXAMPLE 3:
A missing DATABASE_URL error caused by putting it in .env.local
VARIATION:
?pgbouncer=true&amp;connection_limit=1   // the usual pooled options
USED WITH:
Prisma Migrate, transaction pooler, env files
RELATED CONCEPTS:
connection pooling, Prisma and RLS, environment variables
ALTERNATIVES:
supabase-js for data access instead of an ORM
WHERE IT IS USED:
Next.js and Prisma projects | Serverless hosting | Migrations
MINI CONVERSATION:
A: Prisma cannot find DATABASE_URL. | B: Prisma reads the .env file, not .env.local, so move it there.
COMMON MISTAKE:
✗ Prisma CLI reads environment variables from .env.local → ✓ The Prisma CLI reads .env, so DATABASE_URL must be in that file
COMMONLY CONFUSED WITH:
DATABASE_URL vs DIRECT_URL: the first is pooled for queries, the second is direct for migrations.
AVOID / DON'T:
Do not run migrations through the pooled transaction URL.
WRONG CODE:
DATABASE_URL="postgresql://postgres:PASSWORD@db.PROJECTREF.supabase.co:5432/postgres"  # used for serverless queries
RIGHT CODE:
DATABASE_URL="postgresql://postgres.PROJECTREF:PASSWORD@aws-0-region.pooler.supabase.com:6543/postgres?pgbouncer=true&amp;connection_limit=1"
MEMORY TRICK:
Pooled for queries, direct for migrations.
REAL LIFE: PROJECT / WORK:
Setting both URLs so Prisma Migrate and serverless queries both work.
REAL LIFE: INTERVIEW / EXAM:
An interviewer may ask: Why does Prisma need two URLs with Supabase?
REAL LIFE: DAILY LIFE:
It is like a front door for visitors and a staff entrance for workers.</t>
        </is>
      </c>
      <c r="C52" s="29" t="inlineStr">
        <is>
          <t>09_Prisma_with_Supabase_Advanced_SUP-051</t>
        </is>
      </c>
    </row>
    <row r="53" ht="409" customHeight="1">
      <c r="A53" s="29" t="inlineStr">
        <is>
          <t>Prisma, RLS and who is allowed what
When Prisma talks to Supabase with a database connection, which security layer does it skip, and what must you do instead?</t>
        </is>
      </c>
      <c r="B53" s="29" t="inlineStr">
        <is>
          <t>DEFINITION (SIMPLE):
Prisma connects as a database role that normally bypasses RLS, so authorisation for Prisma queries must be enforced in your own application code.
HOW / WHY IT WORKS:
With supabase-js and a user session, policies decide what each request can see. With Prisma through the connection string, the database sees only the database user, typically the postgres role, which bypasses RLS. So you must filter by the current user in every query, check permissions in server code, and keep RLS enabled anyway as protection for any direct API access to the same tables.
SIMPLE EXPLANATION (HINGLISH):
Policies protect requests made with user tokens. Prisma does not use user tokens, so check the user in your own server code and filter every query by that user.
REAL-LIFE ANALOGY:
It is like entering through a staff entrance where the guards at the visitor doors do not check you.
FORMULA / RULE:
supabase-js with a user token = RLS applies. Prisma with a connection string = your code must authorise.
EXAMPLE 1:
A Prisma query using where id and userId so users reach only their rows.
EXAMPLE 2:
Keeping RLS on, so a leaked client key cannot read the tables.
EXAMPLE 3:
A server action that checks the signed-in user before any Prisma call.
RELATED CONCEPTS:
bypassing RLS, connection strings, Row Level Security, server-side auth
FAMILY / GROUP:
ORM, bypass, authorisation, scope, userId
WHERE IT IS USED:
Next.js with Prisma | Server actions | API routes
MINI CONVERSATION:
A: We enabled RLS but Prisma still reads every row. | B: Prisma connects as a role that bypasses RLS, so scope each query by the user in code.
COMMON MISTAKE:
✗ Enabling RLS automatically protects data used through Prisma → ✓ Prisma usually bypasses RLS, so authorisation must be coded into each query
DON'T CONFUSE WITH:
RLS vs query scoping: RLS is enforced by the database for token-based requests, scoping is enforced in your code for ORM requests.
AVOID / DON'T:
Do not fetch a record by id alone and then compare the user afterwards.
MEMORY TRICK:
ORM means you must authorise.
REAL LIFE: PROJECT / WORK:
Scoping every Prisma query by the signed-in user's id in a learning platform.
REAL LIFE: INTERVIEW / EXAM:
An interviewer may ask: Does RLS protect queries made through an ORM?
REAL LIFE: DAILY LIFE:
It is like entering by a staff entrance where visitor guards do not check you.</t>
        </is>
      </c>
      <c r="C53" s="29" t="inlineStr">
        <is>
          <t>09_Prisma_with_Supabase_Advanced_SUP-052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3"/>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81" customHeight="1">
      <c r="A2" s="29" t="inlineStr">
        <is>
          <t>MCQ: Which database does Supabase use underneath?
A) Redis B) MongoDB C) MySQL D) PostgreSQL
FILL: Supabase is an open-source alternative to ____
APPLY: What do you get when you create a Supabase project?</t>
        </is>
      </c>
      <c r="B2" s="29" t="inlineStr">
        <is>
          <t>MCQ answer: D  Supabase is built on PostgreSQL.
Fill answer: Firebase
Apply: A Postgres database with auth, storage, an API and more</t>
        </is>
      </c>
      <c r="C2" s="29" t="inlineStr">
        <is>
          <t>01_Basics_Beginner_SUP-001_quiz</t>
        </is>
      </c>
    </row>
    <row r="3" ht="94.5" customHeight="1">
      <c r="A3" s="29" t="inlineStr">
        <is>
          <t>MCQ: What is the best practice for development and production data?
A) Use separate projects B) Use one project for both C) Share one table D) Use one key everywhere
FILL: You browse rows in the dashboard's ____ Editor
APPLY: Where do you copy a project's URL and keys from?</t>
        </is>
      </c>
      <c r="B3" s="29" t="inlineStr">
        <is>
          <t>MCQ answer: A  Separate projects keep test and real data and keys isolated.
Fill answer: Table
Apply: From the project settings in the dashboard</t>
        </is>
      </c>
      <c r="C3" s="29" t="inlineStr">
        <is>
          <t>01_Basics_Beginner_SUP-002_quiz</t>
        </is>
      </c>
    </row>
    <row r="4" ht="94.5" customHeight="1">
      <c r="A4" s="29" t="inlineStr">
        <is>
          <t>MCQ: Which kind of database does Supabase use?
A) Graph only B) Key-value only C) Relational SQL D) Document NoSQL
FILL: Firebase's Firestore is a ____ database
APPLY: Your data has orders linked to customers and products. Which fits naturally?</t>
        </is>
      </c>
      <c r="B4" s="29" t="inlineStr">
        <is>
          <t>MCQ answer: C  Supabase uses PostgreSQL, a relational SQL database.
Fill answer: document
Apply: Supabase with relational tables</t>
        </is>
      </c>
      <c r="C4" s="29" t="inlineStr">
        <is>
          <t>01_Basics_Beginner_SUP-003_quiz</t>
        </is>
      </c>
    </row>
    <row r="5" ht="108" customHeight="1">
      <c r="A5" s="29" t="inlineStr">
        <is>
          <t>MCQ: Which two values does createClient need?
A) Table name and column B) Project URL and a client key C) Region and bucket D) Username and password
FILL: The web address of your Supabase project is called the project ____
APPLY: Where do you find a project's keys?</t>
        </is>
      </c>
      <c r="B5" s="29" t="inlineStr">
        <is>
          <t>MCQ answer: B  The client needs the project URL and a key.
Fill answer: URL
Apply: In the API section of the project settings</t>
        </is>
      </c>
      <c r="C5" s="29" t="inlineStr">
        <is>
          <t>01_Basics_Beginner_SUP-004_quiz</t>
        </is>
      </c>
    </row>
    <row r="6" ht="108" customHeight="1">
      <c r="A6" s="29" t="inlineStr">
        <is>
          <t>MCQ: Which key bypasses Row Level Security?
A) The anon key B) The service role key C) The project URL D) The region
FILL: The key that is safe for browsers is the ____ key
APPLY: A scheduled cleanup job needs full access. Which key should it use?</t>
        </is>
      </c>
      <c r="B6" s="29" t="inlineStr">
        <is>
          <t>MCQ answer: B  The service role key has full access and ignores RLS.
Fill answer: anon
Apply: The service role key, only in server-side code</t>
        </is>
      </c>
      <c r="C6" s="29" t="inlineStr">
        <is>
          <t>01_Basics_Intermediate_SUP-005_quiz</t>
        </is>
      </c>
    </row>
    <row r="7" ht="135" customHeight="1">
      <c r="A7" s="29" t="inlineStr">
        <is>
          <t>MCQ: Which variable must not have a public prefix?
A) The service role key B) The client key C) The project URL D) The region name
FILL: Add the env file to ____ so it is not committed
HINDI TO TASK: Read the Supabase URL from the environment variable NEXT_PUBLIC_SUPABASE_URL.
PRACTICE QUESTION: What does the NEXT_PUBLIC_ prefix do in Next.js?</t>
        </is>
      </c>
      <c r="B7" s="29" t="inlineStr">
        <is>
          <t>MCQ answer: A  A public prefix sends the value to the browser, which would leak the service role key.
Fill answer: .gitignore
Task answer:
const url = process.env.NEXT_PUBLIC_SUPABASE_URL;
Practice answer:
It makes the variable available in browser code.</t>
        </is>
      </c>
      <c r="C7" s="29" t="inlineStr">
        <is>
          <t>01_Basics_Beginner_SUP-006_quiz</t>
        </is>
      </c>
    </row>
    <row r="8" ht="81" customHeight="1">
      <c r="A8" s="29" t="inlineStr">
        <is>
          <t>MCQ: What does one row in a table represent?
A) One field name B) One database C) One record D) One user key
FILL: Each ____ in a table has a name and a data type
APPLY: How would you store tasks with a title and a done status?</t>
        </is>
      </c>
      <c r="B8" s="29" t="inlineStr">
        <is>
          <t>MCQ answer: C  A row stores one complete record.
Fill answer: column
Apply: Make a todos table with a title column and a done column</t>
        </is>
      </c>
      <c r="C8" s="29" t="inlineStr">
        <is>
          <t>02_Database_Beginner_SUP-007_quiz</t>
        </is>
      </c>
    </row>
    <row r="9" ht="81" customHeight="1">
      <c r="A9" s="29" t="inlineStr">
        <is>
          <t>MCQ: Which type is best for a yes or no column?
A) uuid B) text C) jsonb D) boolean
FILL: A column holding unique identifiers often uses the ____ type
APPLY: Which type fits a date and time with timezone?</t>
        </is>
      </c>
      <c r="B9" s="29" t="inlineStr">
        <is>
          <t>MCQ answer: D  boolean stores true or false.
Fill answer: uuid
Apply: timestamptz</t>
        </is>
      </c>
      <c r="C9" s="29" t="inlineStr">
        <is>
          <t>02_Database_Beginner_SUP-008_quiz</t>
        </is>
      </c>
    </row>
    <row r="10" ht="81" customHeight="1">
      <c r="A10" s="29" t="inlineStr">
        <is>
          <t>MCQ: Which key refers to a row in another table?
A) Anon key B) Service key C) Foreign key D) Primary key
FILL: A column that uniquely identifies each row is the ____ key
APPLY: How do you stop todos from pointing to missing users?</t>
        </is>
      </c>
      <c r="B10" s="29" t="inlineStr">
        <is>
          <t>MCQ answer: C  A foreign key points to the primary key of another table.
Fill answer: primary
Apply: Add a foreign key to the users or profiles table</t>
        </is>
      </c>
      <c r="C10" s="29" t="inlineStr">
        <is>
          <t>02_Database_Beginner_SUP-009_quiz</t>
        </is>
      </c>
    </row>
    <row r="11" ht="135" customHeight="1">
      <c r="A11" s="29" t="inlineStr">
        <is>
          <t>MCQ: Which statement creates a new table?
A) new rows B) create table C) open table D) select table
FILL: create ____ todos (id bigint primary key);
HINDI TO TASK: Add a due_date column of type date to the todos table.
PRACTICE QUESTION: What does default now() do for a created_at column?</t>
        </is>
      </c>
      <c r="B11" s="29" t="inlineStr">
        <is>
          <t>MCQ answer: B  create table defines a new table.
Fill answer: table
Task answer:
alter table todos add column due_date date;
Practice answer:
It fills in the current time when a row is inserted.</t>
        </is>
      </c>
      <c r="C11" s="29" t="inlineStr">
        <is>
          <t>02_Database_Beginner_SUP-010_quiz</t>
        </is>
      </c>
    </row>
    <row r="12" ht="148.5" customHeight="1">
      <c r="A12" s="29" t="inlineStr">
        <is>
          <t>MCQ: Which keyword states how the two tables match in a join?
A) where only B) group C) limit D) on
FILL: select * from todos left ____ profiles on profiles.id = todos.user_id;
HINDI TO TASK: Select todo titles together with the profile full names using supabase-js.
PRACTICE QUESTION: What does a left join keep that a plain join does not?</t>
        </is>
      </c>
      <c r="B12" s="29" t="inlineStr">
        <is>
          <t>MCQ answer: D  The on clause gives the matching condition.
Fill answer: join
Task answer:
await supabase.from("todos").select("title, profiles(full_name)");
Practice answer:
Rows from the first table that have no match in the second.</t>
        </is>
      </c>
      <c r="C12" s="29" t="inlineStr">
        <is>
          <t>02_Database_Intermediate_SUP-011_quiz</t>
        </is>
      </c>
    </row>
    <row r="13" ht="121.5" customHeight="1">
      <c r="A13" s="29" t="inlineStr">
        <is>
          <t>MCQ: What is the main benefit of an index?
A) Faster lookups B) Smaller tables C) Stronger passwords D) More columns
FILL: create ____ todos_user_id_idx on todos (user_id);
HINDI TO TASK: Create an index on the course_id column of lessons.
PRACTICE QUESTION: Which columns does Postgres index automatically?</t>
        </is>
      </c>
      <c r="B13" s="29" t="inlineStr">
        <is>
          <t>MCQ answer: A  An index lets the database find rows without scanning everything.
Fill answer: index
Task answer:
create index lessons_course_id_idx on lessons (course_id);
Practice answer:
Primary keys and columns with unique constraints.</t>
        </is>
      </c>
      <c r="C13" s="29" t="inlineStr">
        <is>
          <t>02_Database_Intermediate_SUP-012_quiz</t>
        </is>
      </c>
    </row>
    <row r="14" ht="121.5" customHeight="1">
      <c r="A14" s="29" t="inlineStr">
        <is>
          <t>MCQ: What does a view store?
A) A copy of all rows B) A password C) A saved query D) A file
FILL: Setting security_____ to true makes a view use the caller's rights
HINDI TO TASK: Create a view of the todos that are done.
PRACTICE QUESTION: Why can a default view bypass RLS?</t>
        </is>
      </c>
      <c r="B14" s="29" t="inlineStr">
        <is>
          <t>MCQ answer: C  A view stores only the query, and the rows are produced when you read it.
Fill answer: invoker
Task answer:
create view done_todos with (security_invoker = true) as select * from todos where done = true;
Practice answer:
Because it runs with the permissions of the view's owner.</t>
        </is>
      </c>
      <c r="C14" s="29" t="inlineStr">
        <is>
          <t>02_Database_Intermediate_SUP-013_quiz</t>
        </is>
      </c>
    </row>
    <row r="15" ht="135" customHeight="1">
      <c r="A15" s="29" t="inlineStr">
        <is>
          <t>MCQ: Where are Supabase migration files kept?
A) public B) supabase/migrations C) node_modules D) .git/HEAD
FILL: supabase db ____ applies pending migrations to the remote project
HINDI TO TASK: Create a new migration called add_notes_table.
PRACTICE QUESTION: Which command generates a migration from changes made in the local database?</t>
        </is>
      </c>
      <c r="B15" s="29" t="inlineStr">
        <is>
          <t>MCQ answer: B  The CLI stores migration SQL files in supabase/migrations.
Fill answer: push
Task answer:
supabase migration new add_notes_table
Practice answer:
supabase db diff</t>
        </is>
      </c>
      <c r="C15" s="29" t="inlineStr">
        <is>
          <t>02_Database_Intermediate_SUP-014_quiz</t>
        </is>
      </c>
    </row>
    <row r="16" ht="81" customHeight="1">
      <c r="A16" s="29" t="inlineStr">
        <is>
          <t>MCQ: What makes the REST API of a Supabase project?
A) PostgREST B) CSS C) Excel D) Docker only
FILL: A GET request on a table's endpoint ____ its rows
APPLY: How do you stop strangers reading a table through the API?</t>
        </is>
      </c>
      <c r="B16" s="29" t="inlineStr">
        <is>
          <t>MCQ answer: A  PostgREST generates the REST API from your Postgres schema.
Fill answer: reads
Apply: Enable Row Level Security with suitable policies</t>
        </is>
      </c>
      <c r="C16" s="29" t="inlineStr">
        <is>
          <t>03_API_and_client_Beginner_SUP-015_quiz</t>
        </is>
      </c>
    </row>
    <row r="17" ht="135" customHeight="1">
      <c r="A17" s="29" t="inlineStr">
        <is>
          <t>MCQ: Which two things does createClient need?
A) A region and a bucket B) A username and a file C) A table name and a row D) The project URL and a key
FILL: The function that builds the client object is called ____
HINDI TO TASK: Create a client from the URL and the anon key variables.
PRACTICE QUESTION: Which package contains createClient?</t>
        </is>
      </c>
      <c r="B17" s="29" t="inlineStr">
        <is>
          <t>MCQ answer: D  The client needs to know which project and how to authenticate.
Fill answer: createClient
Task answer:
const supabase = createClient(process.env.NEXT_PUBLIC_SUPABASE_URL, process.env.NEXT_PUBLIC_SUPABASE_ANON_KEY);
Practice answer:
@supabase/supabase-js</t>
        </is>
      </c>
      <c r="C17" s="29" t="inlineStr">
        <is>
          <t>03_API_and_client_Beginner_SUP-016_quiz</t>
        </is>
      </c>
    </row>
    <row r="18" ht="135" customHeight="1">
      <c r="A18" s="29" t="inlineStr">
        <is>
          <t>MCQ: What does select return in supabase-js?
A) An object with data and error B) A string C) A boolean D) Only an array
FILL: const { data, ____ } = await supabase.from("todos").select("*");
HINDI TO TASK: Read the title column of all todos.
PRACTICE QUESTION: What does .single() expect from a query?</t>
        </is>
      </c>
      <c r="B18" s="29" t="inlineStr">
        <is>
          <t>MCQ answer: A  The result is an object holding data and error.
Fill answer: error
Task answer:
const { data, error } = await supabase.from("todos").select("title");
Practice answer:
Exactly one row.</t>
        </is>
      </c>
      <c r="C18" s="29" t="inlineStr">
        <is>
          <t>03_API_and_client_Beginner_SUP-017_quiz</t>
        </is>
      </c>
    </row>
    <row r="19" ht="108" customHeight="1">
      <c r="A19" s="29" t="inlineStr">
        <is>
          <t>MCQ: How do you get the inserted row back?
A) Use limit B) Chain select after insert C) Use rpc D) Call delete
FILL: await supabase.from("todos").____({ title: "Buy milk" });
HINDI TO TASK: Insert two todos titled A and B in one call.
PRACTICE QUESTION: What does upsert do?</t>
        </is>
      </c>
      <c r="B19" s="29" t="inlineStr">
        <is>
          <t>MCQ answer: B  select after insert returns the created rows.
Fill answer: insert
Task answer:
await supabase.from("todos").insert([{ title: "A" }, { title: "B" }]);
Practice answer:
It inserts a row, or updates it if the key already exists.</t>
        </is>
      </c>
      <c r="C19" s="29" t="inlineStr">
        <is>
          <t>03_API_and_client_Beginner_SUP-018_quiz</t>
        </is>
      </c>
    </row>
    <row r="20" ht="121.5" customHeight="1">
      <c r="A20" s="29" t="inlineStr">
        <is>
          <t>MCQ: Which method picks the rows to change?
A) insert B) from C) eq D) createClient
FILL: await supabase.from("todos").update({ done: true }).____("id", 1);
HINDI TO TASK: Delete the todo whose id is 7.
PRACTICE QUESTION: Which filter method matches a list of values?</t>
        </is>
      </c>
      <c r="B20" s="29" t="inlineStr">
        <is>
          <t>MCQ answer: C  eq filters rows by a column value.
Fill answer: eq
Task answer:
await supabase.from("todos").delete().eq("id", 7);
Practice answer:
in</t>
        </is>
      </c>
      <c r="C20" s="29" t="inlineStr">
        <is>
          <t>03_API_and_client_Beginner_SUP-019_quiz</t>
        </is>
      </c>
    </row>
    <row r="21" ht="121.5" customHeight="1">
      <c r="A21" s="29" t="inlineStr">
        <is>
          <t>MCQ: Which call returns the first ten rows?
A) range(9, 9) B) range(10, 0) C) range(1, 10) D) range(0, 9)
FILL: Sort newest first with .order("created_at", { ascending: ____ })
HINDI TO TASK: Read todos that are done, newest first.
PRACTICE QUESTION: Which filter does a case-insensitive text match?</t>
        </is>
      </c>
      <c r="B21" s="29" t="inlineStr">
        <is>
          <t>MCQ answer: D  Positions start at zero, so 0 to 9 is ten rows.
Fill answer: false
Task answer:
await supabase.from("todos").select("*").eq("done", true).order("created_at", { ascending: false });
Practice answer:
ilike</t>
        </is>
      </c>
      <c r="C21" s="29" t="inlineStr">
        <is>
          <t>03_API_and_client_Intermediate_SUP-020_quiz</t>
        </is>
      </c>
    </row>
    <row r="22" ht="148.5" customHeight="1">
      <c r="A22" s="29" t="inlineStr">
        <is>
          <t>MCQ: How are arguments passed to rpc?
A) As a table B) As a single string C) As an object with named keys D) As a CSS rule
FILL: await supabase.____("total_todos", { owner: userId });
HINDI TO TASK: Call a database function named total_notes with no arguments.
PRACTICE QUESTION: What does security definer change about a function?</t>
        </is>
      </c>
      <c r="B22" s="29" t="inlineStr">
        <is>
          <t>MCQ answer: C  Keys in the object match the function's parameter names.
Fill answer: rpc
Task answer:
await supabase.rpc("total_notes");
Practice answer:
It makes the function run with its owner's rights instead of the caller's.</t>
        </is>
      </c>
      <c r="C22" s="29" t="inlineStr">
        <is>
          <t>03_API_and_client_Advanced_SUP-021_quiz</t>
        </is>
      </c>
    </row>
    <row r="23" ht="94.5" customHeight="1">
      <c r="A23" s="29" t="inlineStr">
        <is>
          <t>MCQ: Where does Supabase store registered users?
A) public.profiles only B) todos C) storage.objects D) auth.users
FILL: After login, the client holds a session containing an access ____
APPLY: How do you store extra details about each user?</t>
        </is>
      </c>
      <c r="B23" s="29" t="inlineStr">
        <is>
          <t>MCQ answer: D  The auth schema holds the users table managed by Supabase Auth.
Fill answer: token
Apply: Create a profiles table linked to the user's id</t>
        </is>
      </c>
      <c r="C23" s="29" t="inlineStr">
        <is>
          <t>04_Auth_Beginner_SUP-022_quiz</t>
        </is>
      </c>
    </row>
    <row r="24" ht="121.5" customHeight="1">
      <c r="A24" s="29" t="inlineStr">
        <is>
          <t>MCQ: Which method logs in with an email and password?
A) getUser B) signInWithPassword C) signUp D) signOut
FILL: await supabase.auth.____(); logs the user out
HINDI TO TASK: Create an account with an email and password.
PRACTICE QUESTION: Why might a new user be unable to log in immediately?</t>
        </is>
      </c>
      <c r="B24" s="29" t="inlineStr">
        <is>
          <t>MCQ answer: B  signInWithPassword authenticates an existing user.
Fill answer: signOut
Task answer:
await supabase.auth.signUp({ email, password });
Practice answer:
Email confirmation may be required first.</t>
        </is>
      </c>
      <c r="C24" s="29" t="inlineStr">
        <is>
          <t>04_Auth_Beginner_SUP-023_quiz</t>
        </is>
      </c>
    </row>
    <row r="25" ht="135" customHeight="1">
      <c r="A25" s="29" t="inlineStr">
        <is>
          <t>MCQ: What must you configure besides calling the method?
A) The provider and the allowed redirect URLs B) An index C) A new table D) A bucket
FILL: The page the user returns to after login is the ____ URL
HINDI TO TASK: Start a GitHub login.
PRACTICE QUESTION: Where do you enter a provider's client id and secret?</t>
        </is>
      </c>
      <c r="B25" s="29" t="inlineStr">
        <is>
          <t>MCQ answer: A  The provider must be enabled and the redirect must be allowed.
Fill answer: redirect
Task answer:
await supabase.auth.signInWithOAuth({ provider: "github" });
Practice answer:
In the Authentication provider settings of the dashboard.</t>
        </is>
      </c>
      <c r="C25" s="29" t="inlineStr">
        <is>
          <t>04_Auth_Intermediate_SUP-024_quiz</t>
        </is>
      </c>
    </row>
    <row r="26" ht="108" customHeight="1">
      <c r="A26" s="29" t="inlineStr">
        <is>
          <t>MCQ: What does signInWithOtp send?
A) A file B) A table C) A one-time link or code D) A password
FILL: A typed one-time code is checked with ____Otp
HINDI TO TASK: Send a magic link to asha@example.com.
PRACTICE QUESTION: Which method checks a typed code?</t>
        </is>
      </c>
      <c r="B26" s="29" t="inlineStr">
        <is>
          <t>MCQ answer: C  It sends a one-time credential to the user's email or phone.
Fill answer: verify
Task answer:
await supabase.auth.signInWithOtp({ email: "asha@example.com" });
Practice answer:
verifyOtp</t>
        </is>
      </c>
      <c r="C26" s="29" t="inlineStr">
        <is>
          <t>04_Auth_Intermediate_SUP-025_quiz</t>
        </is>
      </c>
    </row>
    <row r="27" ht="94.5" customHeight="1">
      <c r="A27" s="29" t="inlineStr">
        <is>
          <t>MCQ: What do policies read to know the current user?
A) The index B) The table name C) The browser theme D) The JWT claims through auth.uid()
FILL: A short-lived signed token is called a ____
APPLY: Why does a session need a refresh token?</t>
        </is>
      </c>
      <c r="B27" s="29" t="inlineStr">
        <is>
          <t>MCQ answer: D  auth.uid() reads the user id from the token.
Fill answer: JWT
Apply: To get new access tokens when the old one expires</t>
        </is>
      </c>
      <c r="C27" s="29" t="inlineStr">
        <is>
          <t>04_Auth_Intermediate_SUP-026_quiz</t>
        </is>
      </c>
    </row>
    <row r="28" ht="94.5" customHeight="1">
      <c r="A28" s="29" t="inlineStr">
        <is>
          <t>MCQ: Which call verifies the token with the Auth server?
A) getSession B) getUser C) signOut D) onAuthStateChange
FILL: On the server, security decisions should use ____
APPLY: A server route returns private data. Which call should check the user?</t>
        </is>
      </c>
      <c r="B28" s="29" t="inlineStr">
        <is>
          <t>MCQ answer: B  getUser validates the token with the Auth service.
Fill answer: getUser
Apply: getUser</t>
        </is>
      </c>
      <c r="C28" s="29" t="inlineStr">
        <is>
          <t>04_Auth_Advanced_SUP-027_quiz</t>
        </is>
      </c>
    </row>
    <row r="29" ht="94.5" customHeight="1">
      <c r="A29" s="29" t="inlineStr">
        <is>
          <t>MCQ: Where does @supabase/ssr keep the session?
A) In cookies B) In a bucket C) In an index D) In a table
FILL: Session refresh and route protection are often done in ____
APPLY: A server component cannot see the user. What should you check?</t>
        </is>
      </c>
      <c r="B29" s="29" t="inlineStr">
        <is>
          <t>MCQ answer: A  Cookies are visible to both the browser and the server.
Fill answer: middleware
Apply: That the server client is built with the request's cookies</t>
        </is>
      </c>
      <c r="C29" s="29" t="inlineStr">
        <is>
          <t>04_Auth_Advanced_SUP-028_quiz</t>
        </is>
      </c>
    </row>
    <row r="30" ht="108" customHeight="1">
      <c r="A30" s="29" t="inlineStr">
        <is>
          <t>MCQ: What happens to API access on a table with RLS enabled but no policies?
A) Everyone can read B) The table is deleted C) Access is denied D) Only admins can read
FILL: RLS rules are written as ____ on a table
APPLY: How do you let users see only their own rows?</t>
        </is>
      </c>
      <c r="B30" s="29" t="inlineStr">
        <is>
          <t>MCQ answer: C  With RLS on, access is denied until a policy allows it.
Fill answer: policies
Apply: Enable RLS and add a policy comparing auth.uid() with the row's user id</t>
        </is>
      </c>
      <c r="C30" s="29" t="inlineStr">
        <is>
          <t>05_Row_Level_Security_Intermediate_SUP-029_quiz</t>
        </is>
      </c>
    </row>
    <row r="31" ht="135" customHeight="1">
      <c r="A31" s="29" t="inlineStr">
        <is>
          <t>MCQ: What do you do first to make policies take effect?
A) Enable row level security B) Create a bucket C) Rename the table D) Create an index
FILL: alter table todos enable row level ____;
HINDI TO TASK: Enable RLS on the notes table.
PRACTICE QUESTION: What can API users do on an RLS table that has no policies?</t>
        </is>
      </c>
      <c r="B31" s="29" t="inlineStr">
        <is>
          <t>MCQ answer: A  Policies only apply after RLS is enabled.
Fill answer: security
Task answer:
alter table notes enable row level security;
Practice answer:
Nothing, access is denied until policies allow it.</t>
        </is>
      </c>
      <c r="C31" s="29" t="inlineStr">
        <is>
          <t>05_Row_Level_Security_Intermediate_SUP-030_quiz</t>
        </is>
      </c>
    </row>
    <row r="32" ht="135" customHeight="1">
      <c r="A32" s="29" t="inlineStr">
        <is>
          <t>MCQ: Which clause validates new rows on insert?
A) LIMIT B) USING C) ORDER BY D) WITH CHECK
FILL: A select policy uses the ____ clause
HINDI TO TASK: Write a select policy that lets users read only rows where user_id equals their id.
PRACTICE QUESTION: Which clause does an update policy use to pick editable rows?</t>
        </is>
      </c>
      <c r="B32" s="29" t="inlineStr">
        <is>
          <t>MCQ answer: D  WITH CHECK validates the values being written.
Fill answer: using
Task answer:
create policy "read own" on todos for select to authenticated using ((select auth.uid()) = user_id);
Practice answer:
USING</t>
        </is>
      </c>
      <c r="C32" s="29" t="inlineStr">
        <is>
          <t>05_Row_Level_Security_Intermediate_SUP-031_quiz</t>
        </is>
      </c>
    </row>
    <row r="33" ht="108" customHeight="1">
      <c r="A33" s="29" t="inlineStr">
        <is>
          <t>MCQ: What does auth.uid() return for a logged-out request?
A) A random id B) null C) An empty table D) The admin id
FILL: auth.____() returns the full token claims as JSON
HINDI TO TASK: Select the current user's id.
PRACTICE QUESTION: Where does auth.uid() read the id from?</t>
        </is>
      </c>
      <c r="B33" s="29" t="inlineStr">
        <is>
          <t>MCQ answer: B  Without a token there is no user, so the result is null.
Fill answer: jwt
Task answer:
select auth.uid();
Practice answer:
From the sub claim of the request's JWT.</t>
        </is>
      </c>
      <c r="C33" s="29" t="inlineStr">
        <is>
          <t>05_Row_Level_Security_Intermediate_SUP-032_quiz</t>
        </is>
      </c>
    </row>
    <row r="34" ht="94.5" customHeight="1">
      <c r="A34" s="29" t="inlineStr">
        <is>
          <t>MCQ: Which key makes requests that ignore RLS?
A) The anon key B) A signed URL C) The service role key D) A magic link
FILL: Browser users run as the anon or ____ role
APPLY: An ORM connects as postgres. How do you protect data?</t>
        </is>
      </c>
      <c r="B34" s="29" t="inlineStr">
        <is>
          <t>MCQ answer: C  The service role bypasses Row Level Security.
Fill answer: authenticated
Apply: Enforce authorisation in your own server code</t>
        </is>
      </c>
      <c r="C34" s="29" t="inlineStr">
        <is>
          <t>05_Row_Level_Security_Advanced_SUP-033_quiz</t>
        </is>
      </c>
    </row>
    <row r="35" ht="94.5" customHeight="1">
      <c r="A35" s="29" t="inlineStr">
        <is>
          <t>MCQ: Why can an SQL Editor test mislead you about RLS?
A) It cannot run SQL B) It deletes policies C) It only reads D) It may run as a role that bypasses RLS
FILL: You should test as the owner, a stranger and an ____ visitor
APPLY: How can you prove user A cannot read user B's rows?</t>
        </is>
      </c>
      <c r="B35" s="29" t="inlineStr">
        <is>
          <t>MCQ answer: D  A powerful role ignores policies, hiding mistakes.
Fill answer: anonymous
Apply: Sign in as A with the client and query B's rows expecting none</t>
        </is>
      </c>
      <c r="C35" s="29" t="inlineStr">
        <is>
          <t>05_Row_Level_Security_Advanced_SUP-034_quiz</t>
        </is>
      </c>
    </row>
    <row r="36" ht="94.5" customHeight="1">
      <c r="A36" s="29" t="inlineStr">
        <is>
          <t>MCQ: What is the top-level container in Supabase Storage?
A) Bucket B) Index C) Policy D) Table
FILL: A file in a bucket is addressed by its ____
APPLY: How would you keep public pictures apart from private documents?</t>
        </is>
      </c>
      <c r="B36" s="29" t="inlineStr">
        <is>
          <t>MCQ answer: A  Files are stored inside buckets.
Fill answer: path
Apply: Use separate buckets with different settings</t>
        </is>
      </c>
      <c r="C36" s="29" t="inlineStr">
        <is>
          <t>06_Storage_Beginner_SUP-035_quiz</t>
        </is>
      </c>
    </row>
    <row r="37" ht="108" customHeight="1">
      <c r="A37" s="29" t="inlineStr">
        <is>
          <t>MCQ: Which part of the chain picks the bucket?
A) data B) from C) upload D) path
FILL: await supabase.storage.from("avatars").____("a/b.png", file);
HINDI TO TASK: Upload a file to the avatars bucket at user-1/me.png.
PRACTICE QUESTION: What does upsert true do?</t>
        </is>
      </c>
      <c r="B37" s="29" t="inlineStr">
        <is>
          <t>MCQ answer: B  from("bucket") selects the bucket.
Fill answer: upload
Task answer:
await supabase.storage.from("avatars").upload("user-1/me.png", file);
Practice answer:
It replaces a file that already exists at that path.</t>
        </is>
      </c>
      <c r="C37" s="29" t="inlineStr">
        <is>
          <t>06_Storage_Beginner_SUP-036_quiz</t>
        </is>
      </c>
    </row>
    <row r="38" ht="81" customHeight="1">
      <c r="A38" s="29" t="inlineStr">
        <is>
          <t>MCQ: Who can read a file in a public bucket?
A) Nobody B) Anyone with the URL C) Only admins D) Only the uploader
FILL: A private file can be shared temporarily with a ____ URL
APPLY: Which bucket type should hold personal recordings?</t>
        </is>
      </c>
      <c r="B38" s="29" t="inlineStr">
        <is>
          <t>MCQ answer: B  Public buckets serve files to anyone who has the link.
Fill answer: signed
Apply: A private bucket</t>
        </is>
      </c>
      <c r="C38" s="29" t="inlineStr">
        <is>
          <t>06_Storage_Beginner_SUP-037_quiz</t>
        </is>
      </c>
    </row>
    <row r="39" ht="148.5" customHeight="1">
      <c r="A39" s="29" t="inlineStr">
        <is>
          <t>MCQ: What is the second argument of createSignedUrl?
A) The file size B) The bucket C) The user id D) How many seconds the link lasts
FILL: The second argument of createSignedUrl sets the expiry time in ____
HINDI TO TASK: Create a signed link for reports/a.pdf that lasts five minutes.
PRACTICE QUESTION: Who can open a signed URL?</t>
        </is>
      </c>
      <c r="B39" s="29" t="inlineStr">
        <is>
          <t>MCQ answer: D  It sets the lifetime of the link in seconds.
Fill answer: seconds
Task answer:
await supabase.storage.from("reports").createSignedUrl("a.pdf", 300);
Practice answer:
Anyone who holds it, until it expires.</t>
        </is>
      </c>
      <c r="C39" s="29" t="inlineStr">
        <is>
          <t>06_Storage_Intermediate_SUP-038_quiz</t>
        </is>
      </c>
    </row>
    <row r="40" ht="121.5" customHeight="1">
      <c r="A40" s="29" t="inlineStr">
        <is>
          <t>MCQ: On which table are storage policies written?
A) storage.objects B) pg_class C) auth.users D) public.todos
FILL: storage.____(name) returns the folders of a file path
HINDI TO TASK: Allow anyone to read files in the public-images bucket.
PRACTICE QUESTION: Which helper function splits a path into folders?</t>
        </is>
      </c>
      <c r="B40" s="29" t="inlineStr">
        <is>
          <t>MCQ answer: A  Every file is a row in storage.objects.
Fill answer: foldername
Task answer:
create policy "Public read" on storage.objects for select using (bucket_id = 'public-images');
Practice answer:
storage.foldername(name)</t>
        </is>
      </c>
      <c r="C40" s="29" t="inlineStr">
        <is>
          <t>06_Storage_Advanced_SUP-039_quiz</t>
        </is>
      </c>
    </row>
    <row r="41" ht="121.5" customHeight="1">
      <c r="A41" s="29" t="inlineStr">
        <is>
          <t>MCQ: What must you do for a table before listening to its changes?
A) Rename it B) Make a bucket C) Add it to the realtime publication D) Delete its rows
FILL: Stop listening with supabase.____(channel)
HINDI TO TASK: Listen to every change on the messages table.
PRACTICE QUESTION: Which events can you listen for?</t>
        </is>
      </c>
      <c r="B41" s="29" t="inlineStr">
        <is>
          <t>MCQ answer: C  Only tables in the publication send change events.
Fill answer: removeChannel
Task answer:
supabase.channel("m").on("postgres_changes", { event: "*", schema: "public", table: "messages" }, (p) =&gt; console.log(p)).subscribe();
Practice answer:
INSERT, UPDATE, DELETE, or all of them.</t>
        </is>
      </c>
      <c r="C41" s="29" t="inlineStr">
        <is>
          <t>07_Realtime_and_functions_Intermediate_SUP-040_quiz</t>
        </is>
      </c>
    </row>
    <row r="42" ht="81" customHeight="1">
      <c r="A42" s="29" t="inlineStr">
        <is>
          <t>MCQ: Which feature shows a list of online users?
A) Broadcast B) Presence C) Auth D) Storage
FILL: Short-lived messages between clients use ____
APPLY: How would you show typing indicators?</t>
        </is>
      </c>
      <c r="B42" s="29" t="inlineStr">
        <is>
          <t>MCQ answer: B  Presence tracks who is connected and their state.
Fill answer: Broadcast
Apply: Send them through Broadcast on a channel</t>
        </is>
      </c>
      <c r="C42" s="29" t="inlineStr">
        <is>
          <t>07_Realtime_and_functions_Intermediate_SUP-041_quiz</t>
        </is>
      </c>
    </row>
    <row r="43" ht="135" customHeight="1">
      <c r="A43" s="29" t="inlineStr">
        <is>
          <t>MCQ: Which runtime do Edge Functions use?
A) COBOL B) Flash C) Excel D) Deno
FILL: You call a function from the client with supabase.functions.____
HINDI TO TASK: Call a function named hello with the body name set to Ravi.
PRACTICE QUESTION: How do you publish a function?</t>
        </is>
      </c>
      <c r="B43" s="29" t="inlineStr">
        <is>
          <t>MCQ answer: D  Supabase Edge Functions run on Deno.
Fill answer: invoke
Task answer:
await supabase.functions.invoke("hello", { body: { name: "Ravi" } });
Practice answer:
supabase functions deploy &lt;name&gt;</t>
        </is>
      </c>
      <c r="C43" s="29" t="inlineStr">
        <is>
          <t>07_Realtime_and_functions_Advanced_SUP-042_quiz</t>
        </is>
      </c>
    </row>
    <row r="44" ht="148.5" customHeight="1">
      <c r="A44" s="29" t="inlineStr">
        <is>
          <t>MCQ: What does a trigger do?
A) Creates a bucket B) Renames a column C) Runs a function automatically on a table event D) Sends an email directly
FILL: Inside a row trigger, the row that was just added is available as ____
HINDI TO TASK: Name the clause that runs a trigger after a row is inserted.
PRACTICE QUESTION: What does security definer do for a function?</t>
        </is>
      </c>
      <c r="B44" s="29" t="inlineStr">
        <is>
          <t>MCQ answer: C  A trigger executes a function when a table event occurs.
Fill answer: new
Task answer:
after insert on table_name for each row execute function fn();
Practice answer:
It runs the function with the owner's rights instead of the caller's.</t>
        </is>
      </c>
      <c r="C44" s="29" t="inlineStr">
        <is>
          <t>07_Realtime_and_functions_Advanced_SUP-043_quiz</t>
        </is>
      </c>
    </row>
    <row r="45" ht="94.5" customHeight="1">
      <c r="A45" s="29" t="inlineStr">
        <is>
          <t>MCQ: What does a database webhook send?
A) An HTTP request about a row change B) A table C) A password D) A file
FILL: A database webhook is built on a ____
APPLY: How do you send an email when a row is inserted?</t>
        </is>
      </c>
      <c r="B45" s="29" t="inlineStr">
        <is>
          <t>MCQ answer: A  It calls a URL with the details of the change.
Fill answer: trigger
Apply: Add a database webhook that calls an Edge Function</t>
        </is>
      </c>
      <c r="C45" s="29" t="inlineStr">
        <is>
          <t>07_Realtime_and_functions_Advanced_SUP-044_quiz</t>
        </is>
      </c>
    </row>
    <row r="46" ht="108" customHeight="1">
      <c r="A46" s="29" t="inlineStr">
        <is>
          <t>MCQ: Which mode suits serverless functions?
A) No pooling B) Session mode only C) Transaction mode D) Read-only mode
FILL: A pooler shares a few real ____ among many clients
APPLY: Migrations fail through the transaction pooler. What should you use?</t>
        </is>
      </c>
      <c r="B46" s="29" t="inlineStr">
        <is>
          <t>MCQ answer: C  Transaction mode releases connections after each transaction, which suits short-lived functions.
Fill answer: connections
Apply: The direct or session connection string</t>
        </is>
      </c>
      <c r="C46" s="29" t="inlineStr">
        <is>
          <t>08_Production_and_advanced_Advanced_SUP-045_quiz</t>
        </is>
      </c>
    </row>
    <row r="47" ht="81" customHeight="1">
      <c r="A47" s="29" t="inlineStr">
        <is>
          <t>MCQ: What should you do to be sure a backup works?
A) Test a restore B) Rename it C) Compress it twice D) Delete it
FILL: Restoring to a chosen moment is called point-in-time ____
APPLY: What should you do before a risky migration?</t>
        </is>
      </c>
      <c r="B47" s="29" t="inlineStr">
        <is>
          <t>MCQ answer: A  An untested backup may fail when you need it.
Fill answer: recovery
Apply: Take a fresh backup or dump</t>
        </is>
      </c>
      <c r="C47" s="29" t="inlineStr">
        <is>
          <t>08_Production_and_advanced_Intermediate_SUP-046_quiz</t>
        </is>
      </c>
    </row>
    <row r="48" ht="135" customHeight="1">
      <c r="A48" s="29" t="inlineStr">
        <is>
          <t>MCQ: Which command starts the local Supabase stack?
A) supabase run B) supabase start C) supabase push D) supabase deploy
FILL: supabase db ____ rebuilds the local database from migrations
HINDI TO TASK: Start the local stack and then stop it.
PRACTICE QUESTION: Which tool does the local stack need to run its services?</t>
        </is>
      </c>
      <c r="B48" s="29" t="inlineStr">
        <is>
          <t>MCQ answer: B  supabase start launches the local services.
Fill answer: reset
Task answer:
supabase start &amp;&amp; supabase stop
Practice answer:
A container runtime such as Docker.</t>
        </is>
      </c>
      <c r="C48" s="29" t="inlineStr">
        <is>
          <t>08_Production_and_advanced_Intermediate_SUP-047_quiz</t>
        </is>
      </c>
    </row>
    <row r="49" ht="121.5" customHeight="1">
      <c r="A49" s="29" t="inlineStr">
        <is>
          <t>MCQ: What does the number in vector(1536) set?
A) The password length B) The number of rows C) The table limit D) The embedding size
FILL: create extension if not exists ____;
HINDI TO TASK: Add a vector column of size 768 named embedding.
PRACTICE QUESTION: Which operator measures cosine distance?</t>
        </is>
      </c>
      <c r="B49" s="29" t="inlineStr">
        <is>
          <t>MCQ answer: D  It is the number of values in each embedding.
Fill answer: vector
Task answer:
alter table documents add column embedding vector(768);
Practice answer:
&lt;=&gt;</t>
        </is>
      </c>
      <c r="C49" s="29" t="inlineStr">
        <is>
          <t>08_Production_and_advanced_Advanced_SUP-048_quiz</t>
        </is>
      </c>
    </row>
    <row r="50" ht="135" customHeight="1">
      <c r="A50" s="29" t="inlineStr">
        <is>
          <t>MCQ: What does a Seq Scan on a large table often suggest?
A) A faster query B) Too many columns C) A wrong password D) A missing index
FILL: explain ____ runs the query and reports timings
HINDI TO TASK: Show the execution plan and timings for selecting all rows from todos.
PRACTICE QUESTION: Which scan type suggests an index is being used?</t>
        </is>
      </c>
      <c r="B50" s="29" t="inlineStr">
        <is>
          <t>MCQ answer: D  A sequential scan reads every row, so an index may help.
Fill answer: analyze
Task answer:
explain analyze select * from todos;
Practice answer:
Index Scan</t>
        </is>
      </c>
      <c r="C50" s="29" t="inlineStr">
        <is>
          <t>08_Production_and_advanced_Advanced_SUP-049_quiz</t>
        </is>
      </c>
    </row>
    <row r="51" ht="94.5" customHeight="1">
      <c r="A51" s="29" t="inlineStr">
        <is>
          <t>MCQ: Which item must never be in browser code?
A) The project URL B) The page title C) The service role key D) The client key
FILL: Every exposed table should have ____ enabled
APPLY: What should you check for private files before launch?</t>
        </is>
      </c>
      <c r="B51" s="29" t="inlineStr">
        <is>
          <t>MCQ answer: C  The service role key bypasses RLS and must stay on servers.
Fill answer: RLS
Apply: That buckets are private and storage policies are correct</t>
        </is>
      </c>
      <c r="C51" s="29" t="inlineStr">
        <is>
          <t>08_Production_and_advanced_Advanced_SUP-050_quiz</t>
        </is>
      </c>
    </row>
    <row r="52" ht="162" customHeight="1">
      <c r="A52" s="29" t="inlineStr">
        <is>
          <t>MCQ: Which string should Prisma Migrate use?
A) The anon key B) DIRECT_URL C) The project URL D) DATABASE_URL pooled
FILL: The pooled string usually adds pgbouncer=true and connection_limit=____
HINDI TO TASK: Point the Prisma datasource at the two environment variables.
PRACTICE QUESTION: Which file does Prisma read for environment variables?</t>
        </is>
      </c>
      <c r="B52" s="29" t="inlineStr">
        <is>
          <t>MCQ answer: B  Migrations need a direct or session connection, not the transaction pooler.
Fill answer: 1
Task answer:
datasource db { provider = "postgresql" url = env("DATABASE_URL") directUrl = env("DIRECT_URL") }
Practice answer:
.env</t>
        </is>
      </c>
      <c r="C52" s="29" t="inlineStr">
        <is>
          <t>09_Prisma_with_Supabase_Advanced_SUP-051_quiz</t>
        </is>
      </c>
    </row>
    <row r="53" ht="94.5" customHeight="1">
      <c r="A53" s="29" t="inlineStr">
        <is>
          <t>MCQ: Why does RLS not stop a Prisma query?
A) Prisma connects as a role that bypasses RLS B) Prisma uses the anon key C) RLS only works on views D) Prisma encrypts rows
FILL: Every Prisma query should be ____ by the current user
APPLY: How do you protect rows when using Prisma?</t>
        </is>
      </c>
      <c r="B53" s="29" t="inlineStr">
        <is>
          <t>MCQ answer: A  The database role used by the connection string bypasses policies.
Fill answer: scoped
Apply: Filter every query by the signed-in user in your own code</t>
        </is>
      </c>
      <c r="C53" s="29" t="inlineStr">
        <is>
          <t>09_Prisma_with_Supabase_Advanced_SUP-052_quiz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Code concept (56-pt)</t>
        </is>
      </c>
      <c r="B2" t="n">
        <v>28</v>
      </c>
    </row>
    <row r="3">
      <c r="A3" t="inlineStr">
        <is>
          <t>Topic (56-pt)</t>
        </is>
      </c>
      <c r="B3" t="n">
        <v>24</v>
      </c>
    </row>
    <row r="5">
      <c r="A5" s="21" t="inlineStr">
        <is>
          <t>Cards by topic</t>
        </is>
      </c>
    </row>
    <row r="6">
      <c r="A6" t="inlineStr">
        <is>
          <t>02 Database</t>
        </is>
      </c>
      <c r="B6" t="n">
        <v>8</v>
      </c>
    </row>
    <row r="7">
      <c r="A7" t="inlineStr">
        <is>
          <t>03 API and client</t>
        </is>
      </c>
      <c r="B7" t="n">
        <v>7</v>
      </c>
    </row>
    <row r="8">
      <c r="A8" t="inlineStr">
        <is>
          <t>04 Auth</t>
        </is>
      </c>
      <c r="B8" t="n">
        <v>7</v>
      </c>
    </row>
    <row r="9">
      <c r="A9" t="inlineStr">
        <is>
          <t>01 Basics</t>
        </is>
      </c>
      <c r="B9" t="n">
        <v>6</v>
      </c>
    </row>
    <row r="10">
      <c r="A10" t="inlineStr">
        <is>
          <t>05 Row Level Security</t>
        </is>
      </c>
      <c r="B10" t="n">
        <v>6</v>
      </c>
    </row>
    <row r="11">
      <c r="A11" t="inlineStr">
        <is>
          <t>08 Production and advanced</t>
        </is>
      </c>
      <c r="B11" t="n">
        <v>6</v>
      </c>
    </row>
    <row r="12">
      <c r="A12" t="inlineStr">
        <is>
          <t>06 Storage</t>
        </is>
      </c>
      <c r="B12" t="n">
        <v>5</v>
      </c>
    </row>
    <row r="13">
      <c r="A13" t="inlineStr">
        <is>
          <t>07 Realtime and functions</t>
        </is>
      </c>
      <c r="B13" t="n">
        <v>5</v>
      </c>
    </row>
    <row r="14">
      <c r="A14" t="inlineStr">
        <is>
          <t>09 Prisma with Supabase</t>
        </is>
      </c>
      <c r="B14" t="n">
        <v>2</v>
      </c>
    </row>
    <row r="16">
      <c r="A16" s="21" t="inlineStr">
        <is>
          <t>Cards by level</t>
        </is>
      </c>
    </row>
    <row r="17">
      <c r="A17" t="inlineStr">
        <is>
          <t>Beginner</t>
        </is>
      </c>
      <c r="B17" t="n">
        <v>19</v>
      </c>
    </row>
    <row r="18">
      <c r="A18" t="inlineStr">
        <is>
          <t>Intermediate</t>
        </is>
      </c>
      <c r="B18" t="n">
        <v>18</v>
      </c>
    </row>
    <row r="19">
      <c r="A19" t="inlineStr">
        <is>
          <t>Advanced</t>
        </is>
      </c>
      <c r="B19" t="n">
        <v>15</v>
      </c>
    </row>
    <row r="21">
      <c r="A21" s="21" t="inlineStr">
        <is>
          <t>Cards by source</t>
        </is>
      </c>
    </row>
    <row r="22">
      <c r="A22" t="inlineStr">
        <is>
          <t>Claude knowledge</t>
        </is>
      </c>
      <c r="B22" t="n">
        <v>52</v>
      </c>
    </row>
    <row r="24">
      <c r="A24" s="21" t="inlineStr">
        <is>
          <t>Error check</t>
        </is>
      </c>
    </row>
    <row r="25">
      <c r="A25"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2026-10-07T16:54:26Z</dcterms:created>
  <dcterms:modified xmlns:dcterms="http://purl.org/dc/terms/" xmlns:xsi="http://www.w3.org/2001/XMLSchema-instance" xsi:type="dcterms:W3CDTF">2026-10-07T16:54:26Z</dcterms:modified>
</cp:coreProperties>
</file>