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Anki Import" sheetId="4" state="visible" r:id="rId4"/>
    <sheet xmlns:r="http://schemas.openxmlformats.org/officeDocument/2006/relationships" name="Anki Quiz" sheetId="5" state="visible" r:id="rId5"/>
    <sheet xmlns:r="http://schemas.openxmlformats.org/officeDocument/2006/relationships" name="Summary" sheetId="6" state="visible" r:id="rId6"/>
  </sheets>
  <definedNames>
    <definedName name="_xlnm._FilterDatabase" localSheetId="1" hidden="1">'Code concept (56-pt) cards'!$A$2:$BN$62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JavaScript and TypeScript – Beginner to Advanced Flashcards</t>
        </is>
      </c>
    </row>
    <row r="2">
      <c r="A2" s="2" t="inlineStr">
        <is>
          <t>Subject: JavaScript, Node.js, TypeScript and React basics   ·   Learner: Self learner, English   ·   Cards: 60</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35" customHeight="1">
      <c r="A3" s="17" t="inlineStr">
        <is>
          <t>TS-001</t>
        </is>
      </c>
      <c r="B3" s="17" t="inlineStr">
        <is>
          <t>01 JavaScript Core</t>
        </is>
      </c>
      <c r="C3" s="17" t="inlineStr">
        <is>
          <t>Beginner</t>
        </is>
      </c>
      <c r="D3" s="17" t="n">
        <v>1</v>
      </c>
      <c r="E3" s="17" t="inlineStr">
        <is>
          <t>Claude knowledge</t>
        </is>
      </c>
      <c r="F3" s="18" t="inlineStr">
        <is>
          <t>let, const and var</t>
        </is>
      </c>
      <c r="G3" s="18" t="inlineStr">
        <is>
          <t>Which three keywords declare variables, and which one should you reach for first?</t>
        </is>
      </c>
      <c r="H3" s="17" t="n"/>
      <c r="I3" s="18" t="inlineStr">
        <is>
          <t>Declaration keyword</t>
        </is>
      </c>
      <c r="J3" s="18" t="inlineStr">
        <is>
          <t>Very high</t>
        </is>
      </c>
      <c r="K3" s="18" t="n">
        <v>5</v>
      </c>
      <c r="L3" s="18" t="inlineStr">
        <is>
          <t>Early JavaScript had only var, which caused surprising bugs, so let and const were added to give clearer rules about scope and change.</t>
        </is>
      </c>
      <c r="M3" s="18" t="inlineStr">
        <is>
          <t>Default to const, and use let only when the value must change.</t>
        </is>
      </c>
      <c r="N3" s="17" t="n"/>
      <c r="O3" s="18" t="inlineStr">
        <is>
          <t>Const is a name tag glued to one person, let is a tag you may move, and var is a tag that floats around the whole function.</t>
        </is>
      </c>
      <c r="P3" s="18" t="inlineStr">
        <is>
          <t>Three labelled boxes, one sealed, one changeable and one leaking outside its room.</t>
        </is>
      </c>
      <c r="Q3" s="18" t="inlineStr">
        <is>
          <t>The relief of bugs disappearing once variables stay in their blocks.</t>
        </is>
      </c>
      <c r="R3" s="18" t="inlineStr">
        <is>
          <t>const declares a binding that cannot be reassigned, let declares a block-scoped binding that can be reassigned, and var declares a function-scoped binding that is hoisted.</t>
        </is>
      </c>
      <c r="S3" s="17" t="n"/>
      <c r="T3" s="19" t="inlineStr">
        <is>
          <t>const apiUrl = "https://api.example.com";
let retries = 0;
retries += 1;
if (true) { var leaked = "visible"; let hidden = "blocked"; }
console.log(leaked);</t>
        </is>
      </c>
      <c r="U3" s="19" t="inlineStr">
        <is>
          <t>visible</t>
        </is>
      </c>
      <c r="V3" s="18" t="inlineStr">
        <is>
          <t>A const binding cannot point to a new value, but an object stored in it can still be changed. let and const live only inside the braces where they are written. var ignores blocks, so a value declared inside an if statement is visible outside it. Variables from let and const exist in a temporal dead zone before their line, and reading them there throws an error.</t>
        </is>
      </c>
      <c r="W3" s="18" t="inlineStr">
        <is>
          <t>Use const by default, let when you must reassign, and avoid var in new code.</t>
        </is>
      </c>
      <c r="X3" s="18" t="inlineStr">
        <is>
          <t>Const is a name tag glued to one person, let is a tag you may move, and var is a tag that floats around the whole room.</t>
        </is>
      </c>
      <c r="Y3" s="19" t="inlineStr">
        <is>
          <t>const name = value; | let name = value;</t>
        </is>
      </c>
      <c r="Z3" s="18" t="inlineStr">
        <is>
          <t>const = fixed binding | let = changeable binding | block = the braces that limit scope</t>
        </is>
      </c>
      <c r="AA3" s="19" t="inlineStr">
        <is>
          <t>const taxRate = 0.18;</t>
        </is>
      </c>
      <c r="AB3" s="19" t="inlineStr">
        <is>
          <t>let counter = 0; counter++;</t>
        </is>
      </c>
      <c r="AC3" s="19" t="inlineStr">
        <is>
          <t>for (let i = 0; i &lt; 3; i++) { console.log(i); }</t>
        </is>
      </c>
      <c r="AD3" s="19" t="inlineStr">
        <is>
          <t>const user = { name: "Asha" }; user.name = "Ravi";   // allowed, the object itself changes</t>
        </is>
      </c>
      <c r="AE3" s="18" t="inlineStr">
        <is>
          <t>loops, functions, modules</t>
        </is>
      </c>
      <c r="AF3" s="18" t="inlineStr">
        <is>
          <t>scope, closures, hoisting, objects</t>
        </is>
      </c>
      <c r="AG3" s="18" t="inlineStr">
        <is>
          <t>Object.freeze to block changes inside an object</t>
        </is>
      </c>
      <c r="AH3" s="17" t="n"/>
      <c r="AI3" s="18" t="inlineStr">
        <is>
          <t>Every JavaScript file | Loops | Configuration</t>
        </is>
      </c>
      <c r="AJ3" s="18" t="inlineStr">
        <is>
          <t>A: Why did my variable still exist after the if block? | B: You used var, which ignores block scope, so switch to let or const.</t>
        </is>
      </c>
      <c r="AK3" s="18" t="inlineStr">
        <is>
          <t>✗ const makes the value completely unchangeable → ✓ const only stops reassignment, and objects inside it can still change</t>
        </is>
      </c>
      <c r="AL3" s="18" t="inlineStr">
        <is>
          <t>let vs var: let is block scoped, var is function scoped.</t>
        </is>
      </c>
      <c r="AM3" s="18" t="inlineStr">
        <is>
          <t>Do not use var in new code.</t>
        </is>
      </c>
      <c r="AN3" s="19" t="inlineStr">
        <is>
          <t>const total = 0;
total = total + 5;</t>
        </is>
      </c>
      <c r="AO3" s="19" t="inlineStr">
        <is>
          <t>let total = 0;
total = total + 5;</t>
        </is>
      </c>
      <c r="AP3" s="18" t="inlineStr">
        <is>
          <t>Const first, let when needed, never var.</t>
        </is>
      </c>
      <c r="AQ3" s="18" t="inlineStr">
        <is>
          <t>Replacing var with const and let removed a loop bug in a customer script.</t>
        </is>
      </c>
      <c r="AR3" s="18" t="inlineStr">
        <is>
          <t>An interviewer may ask: What is the difference between let, const and var?</t>
        </is>
      </c>
      <c r="AS3" s="18" t="inlineStr">
        <is>
          <t>It is like a name tag that is either glued, movable or loose.</t>
        </is>
      </c>
      <c r="AT3" s="18" t="inlineStr">
        <is>
          <t>Which keyword should you use for a value that never changes?</t>
        </is>
      </c>
      <c r="AU3" s="18" t="inlineStr">
        <is>
          <t>A) let B) var C) function D) const</t>
        </is>
      </c>
      <c r="AV3" s="18" t="inlineStr">
        <is>
          <t>D</t>
        </is>
      </c>
      <c r="AW3" s="18" t="inlineStr">
        <is>
          <t>const prevents reassignment and signals intent.</t>
        </is>
      </c>
      <c r="AX3" s="19" t="inlineStr">
        <is>
          <t>A variable declared inside braces with let is limited to that ____ → block</t>
        </is>
      </c>
      <c r="AY3" s="18" t="inlineStr">
        <is>
          <t>Declare a fixed value called maxUsers with the value 100.</t>
        </is>
      </c>
      <c r="AZ3" s="19" t="inlineStr">
        <is>
          <t>const maxUsers = 100;</t>
        </is>
      </c>
      <c r="BA3" s="18" t="inlineStr">
        <is>
          <t>Rewrite a loop that uses var so it uses let instead.</t>
        </is>
      </c>
      <c r="BB3" s="19" t="inlineStr">
        <is>
          <t>Can you change a property of an object stored in a const?</t>
        </is>
      </c>
      <c r="BC3" s="19" t="inlineStr">
        <is>
          <t>Yes, only reassigning the binding itself is blocked.</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21.5" customHeight="1">
      <c r="A4" s="17" t="inlineStr">
        <is>
          <t>TS-002</t>
        </is>
      </c>
      <c r="B4" s="17" t="inlineStr">
        <is>
          <t>01 JavaScript Core</t>
        </is>
      </c>
      <c r="C4" s="17" t="inlineStr">
        <is>
          <t>Beginner</t>
        </is>
      </c>
      <c r="D4" s="17" t="n">
        <v>2</v>
      </c>
      <c r="E4" s="17" t="inlineStr">
        <is>
          <t>Claude knowledge</t>
        </is>
      </c>
      <c r="F4" s="18" t="inlineStr">
        <is>
          <t>Data types</t>
        </is>
      </c>
      <c r="G4" s="18" t="inlineStr">
        <is>
          <t>Which kinds of values does JavaScript have, and how do you check them?</t>
        </is>
      </c>
      <c r="H4" s="17" t="n"/>
      <c r="I4" s="18" t="inlineStr">
        <is>
          <t>Language concept</t>
        </is>
      </c>
      <c r="J4" s="18" t="inlineStr">
        <is>
          <t>Very high</t>
        </is>
      </c>
      <c r="K4" s="18" t="n">
        <v>5</v>
      </c>
      <c r="L4" s="18" t="inlineStr">
        <is>
          <t>Programs need to treat numbers, text and collections differently, so JavaScript defines a small set of built-in types.</t>
        </is>
      </c>
      <c r="M4" s="18" t="inlineStr">
        <is>
          <t>Remember that arrays and null both report as objects with typeof, so use Array.isArray and a null check.</t>
        </is>
      </c>
      <c r="N4" s="17" t="n"/>
      <c r="O4" s="18" t="inlineStr">
        <is>
          <t>Types are the different containers in a kitchen, such as a jar, a bottle and a box, each meant for one kind of thing.</t>
        </is>
      </c>
      <c r="P4" s="18" t="inlineStr">
        <is>
          <t>A shelf of labelled containers holding a number, a word, a list and an empty slot.</t>
        </is>
      </c>
      <c r="Q4" s="18" t="inlineStr">
        <is>
          <t>The comfort of knowing what kind of value you hold.</t>
        </is>
      </c>
      <c r="R4" s="18" t="inlineStr">
        <is>
          <t>JavaScript has primitive types such as string, number, boolean, null, undefined, bigint and symbol, plus objects including arrays and functions.</t>
        </is>
      </c>
      <c r="S4" s="17" t="n"/>
      <c r="T4" s="19" t="inlineStr">
        <is>
          <t>console.log(typeof "hi");
console.log(typeof 42);
console.log(typeof [1, 2]);
console.log(typeof null);
console.log(Array.isArray([1, 2]));</t>
        </is>
      </c>
      <c r="U4" s="19" t="inlineStr">
        <is>
          <t>string
number
object
object
true</t>
        </is>
      </c>
      <c r="V4" s="18" t="inlineStr">
        <is>
          <t>Primitives are immutable and compared by value. Objects are compared by reference, so two equal-looking objects are different. All numbers are floating point, which gives results such as 0.1 plus 0.2 not equal to 0.3. undefined means no value was given, while null is an intentional empty value. typeof null returning object is an old mistake that was never fixed.</t>
        </is>
      </c>
      <c r="W4" s="18" t="inlineStr">
        <is>
          <t>There are a few primitive types and everything else is an object. Check carefully, because typeof is not always enough.</t>
        </is>
      </c>
      <c r="X4" s="18" t="inlineStr">
        <is>
          <t>Types are different kitchen containers, each meant for one kind of thing.</t>
        </is>
      </c>
      <c r="Y4" s="19" t="inlineStr">
        <is>
          <t>typeof value | Array.isArray(value)</t>
        </is>
      </c>
      <c r="Z4" s="18" t="inlineStr">
        <is>
          <t>typeof = type name as text | Array.isArray = real array check | null = intentional empty</t>
        </is>
      </c>
      <c r="AA4" s="19" t="inlineStr">
        <is>
          <t>typeof true</t>
        </is>
      </c>
      <c r="AB4" s="19" t="inlineStr">
        <is>
          <t>typeof undefined</t>
        </is>
      </c>
      <c r="AC4" s="19" t="inlineStr">
        <is>
          <t>typeof function() {}</t>
        </is>
      </c>
      <c r="AD4" s="19" t="inlineStr">
        <is>
          <t>Number.isInteger(5)   // check for whole numbers</t>
        </is>
      </c>
      <c r="AE4" s="18" t="inlineStr">
        <is>
          <t>conditions, validation, TypeScript</t>
        </is>
      </c>
      <c r="AF4" s="18" t="inlineStr">
        <is>
          <t>truthiness, equality, objects, TypeScript types</t>
        </is>
      </c>
      <c r="AG4" s="18" t="inlineStr">
        <is>
          <t>TypeScript for compile-time checks</t>
        </is>
      </c>
      <c r="AH4" s="17" t="n"/>
      <c r="AI4" s="18" t="inlineStr">
        <is>
          <t>Validation | Parsing data | Debugging</t>
        </is>
      </c>
      <c r="AJ4" s="18" t="inlineStr">
        <is>
          <t>A: Why does typeof null say object? | B: It is a historic bug, so check for null explicitly.</t>
        </is>
      </c>
      <c r="AK4" s="18" t="inlineStr">
        <is>
          <t>✗ typeof tells you if something is an array → ✓ Arrays report as object, so you need Array.isArray</t>
        </is>
      </c>
      <c r="AL4" s="18" t="inlineStr">
        <is>
          <t>null vs undefined: null is a deliberate empty value, undefined means nothing was assigned.</t>
        </is>
      </c>
      <c r="AM4" s="18" t="inlineStr">
        <is>
          <t>Do not use typeof alone to detect null or arrays.</t>
        </is>
      </c>
      <c r="AN4" s="19" t="inlineStr">
        <is>
          <t>if (typeof items === "array") { }</t>
        </is>
      </c>
      <c r="AO4" s="19" t="inlineStr">
        <is>
          <t>if (Array.isArray(items)) { }</t>
        </is>
      </c>
      <c r="AP4" s="18" t="inlineStr">
        <is>
          <t>Null and arrays both pretend to be objects.</t>
        </is>
      </c>
      <c r="AQ4" s="18" t="inlineStr">
        <is>
          <t>Adding an Array.isArray check stopped a crash when an API returned null.</t>
        </is>
      </c>
      <c r="AR4" s="18" t="inlineStr">
        <is>
          <t>An interviewer may ask: Why does typeof null return object?</t>
        </is>
      </c>
      <c r="AS4" s="18" t="inlineStr">
        <is>
          <t>It is like checking which container holds what.</t>
        </is>
      </c>
      <c r="AT4" s="18" t="inlineStr">
        <is>
          <t>Which check correctly detects an array?</t>
        </is>
      </c>
      <c r="AU4" s="18" t="inlineStr">
        <is>
          <t>A) typeof equals array B) Array.isArray C) instanceof number D) isList</t>
        </is>
      </c>
      <c r="AV4" s="18" t="inlineStr">
        <is>
          <t>B</t>
        </is>
      </c>
      <c r="AW4" s="18" t="inlineStr">
        <is>
          <t>typeof reports arrays as object.</t>
        </is>
      </c>
      <c r="AX4" s="19" t="inlineStr">
        <is>
          <t>A value that has not been assigned is ____ → undefined</t>
        </is>
      </c>
      <c r="AY4" s="18" t="inlineStr">
        <is>
          <t>Check whether the variable data is an array.</t>
        </is>
      </c>
      <c r="AZ4" s="19" t="inlineStr">
        <is>
          <t>Array.isArray(data)</t>
        </is>
      </c>
      <c r="BA4" s="18" t="inlineStr">
        <is>
          <t>Write a function that returns the type of any value including null and arrays.</t>
        </is>
      </c>
      <c r="BB4" s="19" t="inlineStr">
        <is>
          <t>Are two objects with the same content equal with the strict equality operator?</t>
        </is>
      </c>
      <c r="BC4" s="19" t="inlineStr">
        <is>
          <t>No, objects are compared by reference.</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121.5" customHeight="1">
      <c r="A5" s="17" t="inlineStr">
        <is>
          <t>TS-003</t>
        </is>
      </c>
      <c r="B5" s="17" t="inlineStr">
        <is>
          <t>01 JavaScript Core</t>
        </is>
      </c>
      <c r="C5" s="17" t="inlineStr">
        <is>
          <t>Beginner</t>
        </is>
      </c>
      <c r="D5" s="17" t="n">
        <v>3</v>
      </c>
      <c r="E5" s="17" t="inlineStr">
        <is>
          <t>Claude knowledge</t>
        </is>
      </c>
      <c r="F5" s="18" t="inlineStr">
        <is>
          <t>Functions and arrow functions</t>
        </is>
      </c>
      <c r="G5" s="18" t="inlineStr">
        <is>
          <t>Which two syntaxes define reusable blocks of code, and how do they differ?</t>
        </is>
      </c>
      <c r="H5" s="17" t="n"/>
      <c r="I5" s="18" t="inlineStr">
        <is>
          <t>Language concept</t>
        </is>
      </c>
      <c r="J5" s="18" t="inlineStr">
        <is>
          <t>Very high</t>
        </is>
      </c>
      <c r="K5" s="18" t="n">
        <v>5</v>
      </c>
      <c r="L5" s="18" t="inlineStr">
        <is>
          <t>Repeating code is wasteful, so functions let you name a task and reuse it, and arrow functions arrived to make short ones lighter.</t>
        </is>
      </c>
      <c r="M5" s="18" t="inlineStr">
        <is>
          <t>Use arrow functions for short callbacks, and normal functions when you need your own this.</t>
        </is>
      </c>
      <c r="N5" s="17" t="n"/>
      <c r="O5" s="18" t="inlineStr">
        <is>
          <t>A function is a recipe card, and an arrow function is a short sticky-note version of it.</t>
        </is>
      </c>
      <c r="P5" s="18" t="inlineStr">
        <is>
          <t>A box with inputs going in and a result coming out.</t>
        </is>
      </c>
      <c r="Q5" s="18" t="inlineStr">
        <is>
          <t>The satisfaction of replacing ten repeated lines with one call.</t>
        </is>
      </c>
      <c r="R5" s="18" t="inlineStr">
        <is>
          <t>A function groups code that takes parameters and returns a value, and an arrow function is a shorter syntax that does not have its own this.</t>
        </is>
      </c>
      <c r="S5" s="17" t="n"/>
      <c r="T5" s="19" t="inlineStr">
        <is>
          <t>function add(a, b) { return a + b; }
const multiply = (a, b) =&gt; a * b;
const square = x =&gt; x * x;
console.log(add(2, 3), multiply(2, 3), square(4));</t>
        </is>
      </c>
      <c r="U5" s="19" t="inlineStr">
        <is>
          <t>5 6 16</t>
        </is>
      </c>
      <c r="V5" s="18" t="inlineStr">
        <is>
          <t>A function declaration is hoisted, so it can be called before its line. An arrow function assigned to a const is not. A single expression after the arrow is returned automatically, while braces need an explicit return. Default parameters give a fallback value. Arrow functions take this from the surrounding code, which suits callbacks but not object methods.</t>
        </is>
      </c>
      <c r="W5" s="18" t="inlineStr">
        <is>
          <t>Use functions to name and reuse logic, and arrows for short callbacks.</t>
        </is>
      </c>
      <c r="X5" s="18" t="inlineStr">
        <is>
          <t>A function is a recipe card, and an arrow function is a sticky-note version.</t>
        </is>
      </c>
      <c r="Y5" s="19" t="inlineStr">
        <is>
          <t>function name(params) { return value; } | const name = (params) =&gt; value;</t>
        </is>
      </c>
      <c r="Z5" s="18" t="inlineStr">
        <is>
          <t>params = inputs | return = output | =&gt; = arrow</t>
        </is>
      </c>
      <c r="AA5" s="19" t="inlineStr">
        <is>
          <t>const greet = (name = "friend") =&gt; `Hello ${name}`;</t>
        </is>
      </c>
      <c r="AB5" s="19" t="inlineStr">
        <is>
          <t>[1, 2, 3].map(n =&gt; n * 2);</t>
        </is>
      </c>
      <c r="AC5" s="19" t="inlineStr">
        <is>
          <t>function total(...nums) { return nums.reduce((a, b) =&gt; a + b, 0); }</t>
        </is>
      </c>
      <c r="AD5" s="19" t="inlineStr">
        <is>
          <t>(() =&gt; console.log("run now"))();   // immediately invoked arrow</t>
        </is>
      </c>
      <c r="AE5" s="18" t="inlineStr">
        <is>
          <t>array methods, callbacks, promises</t>
        </is>
      </c>
      <c r="AF5" s="18" t="inlineStr">
        <is>
          <t>scope, closures, this, array methods</t>
        </is>
      </c>
      <c r="AG5" s="18" t="inlineStr">
        <is>
          <t>Methods on classes</t>
        </is>
      </c>
      <c r="AH5" s="17" t="n"/>
      <c r="AI5" s="18" t="inlineStr">
        <is>
          <t>Callbacks | Utilities | Event handlers</t>
        </is>
      </c>
      <c r="AJ5" s="18" t="inlineStr">
        <is>
          <t>A: My arrow function returns undefined. | B: With braces you must write return, or remove the braces.</t>
        </is>
      </c>
      <c r="AK5" s="18" t="inlineStr">
        <is>
          <t>✗ Arrow functions are just shorter normal functions → ✓ They also do not have their own this or arguments</t>
        </is>
      </c>
      <c r="AL5" s="18" t="inlineStr">
        <is>
          <t>Declaration vs arrow: declarations are hoisted and have their own this, arrows are not hoisted and inherit this.</t>
        </is>
      </c>
      <c r="AM5" s="18" t="inlineStr">
        <is>
          <t>Do not use arrow functions as object methods that need this.</t>
        </is>
      </c>
      <c r="AN5" s="19" t="inlineStr">
        <is>
          <t>const double = x =&gt; { x * 2 };</t>
        </is>
      </c>
      <c r="AO5" s="19" t="inlineStr">
        <is>
          <t>const double = x =&gt; x * 2;</t>
        </is>
      </c>
      <c r="AP5" s="18" t="inlineStr">
        <is>
          <t>Braces need return, no braces returns itself.</t>
        </is>
      </c>
      <c r="AQ5" s="18" t="inlineStr">
        <is>
          <t>Converting repeated loops into small arrow callbacks shortened a data cleaning script.</t>
        </is>
      </c>
      <c r="AR5" s="18" t="inlineStr">
        <is>
          <t>An interviewer may ask: How do arrow functions differ from regular functions?</t>
        </is>
      </c>
      <c r="AS5" s="18" t="inlineStr">
        <is>
          <t>It is like a recipe card versus a sticky note.</t>
        </is>
      </c>
      <c r="AT5" s="18" t="inlineStr">
        <is>
          <t>What does an arrow function with braces and no return give back?</t>
        </is>
      </c>
      <c r="AU5" s="18" t="inlineStr">
        <is>
          <t>A) An error always B) null C) undefined D) The last expression</t>
        </is>
      </c>
      <c r="AV5" s="18" t="inlineStr">
        <is>
          <t>C</t>
        </is>
      </c>
      <c r="AW5" s="18" t="inlineStr">
        <is>
          <t>Without return the function gives back undefined.</t>
        </is>
      </c>
      <c r="AX5" s="19" t="inlineStr">
        <is>
          <t>A value used when an argument is missing is a ____ parameter → default</t>
        </is>
      </c>
      <c r="AY5" s="18" t="inlineStr">
        <is>
          <t>Write an arrow function that doubles a number.</t>
        </is>
      </c>
      <c r="AZ5" s="19" t="inlineStr">
        <is>
          <t>const double = n =&gt; n * 2;</t>
        </is>
      </c>
      <c r="BA5" s="18" t="inlineStr">
        <is>
          <t>Write an arrow function with a default parameter and call it twice.</t>
        </is>
      </c>
      <c r="BB5" s="19" t="inlineStr">
        <is>
          <t>Is an arrow function stored in a const hoisted like a declaration?</t>
        </is>
      </c>
      <c r="BC5" s="19" t="inlineStr">
        <is>
          <t>No, it exists only after its line runs.</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121.5" customHeight="1">
      <c r="A6" s="17" t="inlineStr">
        <is>
          <t>TS-004</t>
        </is>
      </c>
      <c r="B6" s="17" t="inlineStr">
        <is>
          <t>01 JavaScript Core</t>
        </is>
      </c>
      <c r="C6" s="17" t="inlineStr">
        <is>
          <t>Intermediate</t>
        </is>
      </c>
      <c r="D6" s="17" t="n">
        <v>4</v>
      </c>
      <c r="E6" s="17" t="inlineStr">
        <is>
          <t>Claude knowledge</t>
        </is>
      </c>
      <c r="F6" s="18" t="inlineStr">
        <is>
          <t>Scope</t>
        </is>
      </c>
      <c r="G6" s="18" t="inlineStr">
        <is>
          <t>Which rules decide where a variable can be read?</t>
        </is>
      </c>
      <c r="H6" s="17" t="n"/>
      <c r="I6" s="18" t="inlineStr">
        <is>
          <t>Language concept</t>
        </is>
      </c>
      <c r="J6" s="18" t="inlineStr">
        <is>
          <t>Very high</t>
        </is>
      </c>
      <c r="K6" s="18" t="n">
        <v>5</v>
      </c>
      <c r="L6" s="18" t="inlineStr">
        <is>
          <t>Large programs reuse names, so JavaScript limits where each name is visible and looks outward when a name is missing.</t>
        </is>
      </c>
      <c r="M6" s="18" t="inlineStr">
        <is>
          <t>Keep variables in the smallest scope that works.</t>
        </is>
      </c>
      <c r="N6" s="17" t="n"/>
      <c r="O6" s="18" t="inlineStr">
        <is>
          <t>Scope is a set of rooms, where you can see things in your room and in rooms around it, but not inside other private rooms.</t>
        </is>
      </c>
      <c r="P6" s="18" t="inlineStr">
        <is>
          <t>Nested boxes with inner boxes able to see outward but not the reverse.</t>
        </is>
      </c>
      <c r="Q6" s="18" t="inlineStr">
        <is>
          <t>The ease of tracing where a value comes from.</t>
        </is>
      </c>
      <c r="R6" s="18" t="inlineStr">
        <is>
          <t>Scope is the region of code where a variable is accessible, and inner scopes can read outer ones through the scope chain.</t>
        </is>
      </c>
      <c r="S6" s="17" t="n"/>
      <c r="T6" s="19" t="inlineStr">
        <is>
          <t>const level = "global";
function outer() {
  const inner = "outer value";
  function show() { console.log(level, inner); }
  show();
}
outer();
// console.log(inner) would throw an error</t>
        </is>
      </c>
      <c r="U6" s="19" t="inlineStr">
        <is>
          <t>global outer value</t>
        </is>
      </c>
      <c r="V6" s="18" t="inlineStr">
        <is>
          <t>Global scope is outermost, function scope is created by each function, and block scope by braces with let and const. When a name is used, JavaScript looks in the current scope and then outward. Inner variables with the same name shadow outer ones. Too many globals risk clashes, so modules are used.</t>
        </is>
      </c>
      <c r="W6" s="18" t="inlineStr">
        <is>
          <t>A variable is visible inside its own scope and in scopes nested within it.</t>
        </is>
      </c>
      <c r="X6" s="18" t="inlineStr">
        <is>
          <t>Scope is a set of rooms, and you can see your room and the rooms around it, but not other private ones.</t>
        </is>
      </c>
      <c r="Y6" s="19" t="inlineStr">
        <is>
          <t>{ let x = 1; }   // x exists only inside the braces</t>
        </is>
      </c>
      <c r="Z6" s="18" t="inlineStr">
        <is>
          <t>global = everywhere | function = inside the function | block = inside braces | chain = lookup path</t>
        </is>
      </c>
      <c r="AA6" s="19" t="inlineStr">
        <is>
          <t>function f() { const a = 1; }</t>
        </is>
      </c>
      <c r="AB6" s="19" t="inlineStr">
        <is>
          <t>{ const b = 2; }</t>
        </is>
      </c>
      <c r="AC6" s="19" t="inlineStr">
        <is>
          <t>const c = 3; function g() { return c; }</t>
        </is>
      </c>
      <c r="AD6" s="19" t="inlineStr">
        <is>
          <t>const x = 1; { const x = 2; }   // shadowing inside a block</t>
        </is>
      </c>
      <c r="AE6" s="18" t="inlineStr">
        <is>
          <t>closures, modules, functions</t>
        </is>
      </c>
      <c r="AF6" s="18" t="inlineStr">
        <is>
          <t>let const var, closures, hoisting, modules</t>
        </is>
      </c>
      <c r="AG6" s="18" t="inlineStr">
        <is>
          <t>Modules to avoid globals</t>
        </is>
      </c>
      <c r="AH6" s="17" t="n"/>
      <c r="AI6" s="18" t="inlineStr">
        <is>
          <t>Every program | Debugging | Library design</t>
        </is>
      </c>
      <c r="AJ6" s="18" t="inlineStr">
        <is>
          <t>A: Why is my variable not defined outside the function? | B: It lives only in the function scope, so return it instead.</t>
        </is>
      </c>
      <c r="AK6" s="18" t="inlineStr">
        <is>
          <t>✗ Variables declared in a function are available everywhere → ✓ They exist only inside that function</t>
        </is>
      </c>
      <c r="AL6" s="18" t="inlineStr">
        <is>
          <t>Scope vs context: scope is where a name is visible, context is what this refers to.</t>
        </is>
      </c>
      <c r="AM6" s="18" t="inlineStr">
        <is>
          <t>Do not create accidental globals by skipping declarations.</t>
        </is>
      </c>
      <c r="AN6" s="19" t="inlineStr">
        <is>
          <t>function setup() { count = 5; }</t>
        </is>
      </c>
      <c r="AO6" s="19" t="inlineStr">
        <is>
          <t>function setup() { const count = 5; return count; }</t>
        </is>
      </c>
      <c r="AP6" s="18" t="inlineStr">
        <is>
          <t>Look inside first, then outward.</t>
        </is>
      </c>
      <c r="AQ6" s="18" t="inlineStr">
        <is>
          <t>Moving a shared value into a module fixed a global name clash in two scripts.</t>
        </is>
      </c>
      <c r="AR6" s="18" t="inlineStr">
        <is>
          <t>An interviewer may ask: What is the scope chain?</t>
        </is>
      </c>
      <c r="AS6" s="18" t="inlineStr">
        <is>
          <t>It is like looking in your own room before others.</t>
        </is>
      </c>
      <c r="AT6" s="18" t="inlineStr">
        <is>
          <t>Where does JavaScript look first for a variable?</t>
        </is>
      </c>
      <c r="AU6" s="18" t="inlineStr">
        <is>
          <t>A) The current scope B) The browser C) The next file D) The global scope only</t>
        </is>
      </c>
      <c r="AV6" s="18" t="inlineStr">
        <is>
          <t>A</t>
        </is>
      </c>
      <c r="AW6" s="18" t="inlineStr">
        <is>
          <t>Lookup starts locally and moves outward.</t>
        </is>
      </c>
      <c r="AX6" s="19" t="inlineStr">
        <is>
          <t>An inner variable hiding an outer one with the same name is called ____ → shadowing</t>
        </is>
      </c>
      <c r="AY6" s="18" t="inlineStr">
        <is>
          <t>Return a value computed inside a function so it can be used outside.</t>
        </is>
      </c>
      <c r="AZ6" s="19" t="inlineStr">
        <is>
          <t>function calc() { const r = 2 * 3; return r; }</t>
        </is>
      </c>
      <c r="BA6" s="18" t="inlineStr">
        <is>
          <t>Write code where an inner variable shadows an outer one and explain the output.</t>
        </is>
      </c>
      <c r="BB6" s="19" t="inlineStr">
        <is>
          <t>What happens when you read a variable that was declared inside another function?</t>
        </is>
      </c>
      <c r="BC6" s="19" t="inlineStr">
        <is>
          <t>It throws a reference error.</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108" customHeight="1">
      <c r="A7" s="17" t="inlineStr">
        <is>
          <t>TS-005</t>
        </is>
      </c>
      <c r="B7" s="17" t="inlineStr">
        <is>
          <t>01 JavaScript Core</t>
        </is>
      </c>
      <c r="C7" s="17" t="inlineStr">
        <is>
          <t>Intermediate</t>
        </is>
      </c>
      <c r="D7" s="17" t="n">
        <v>5</v>
      </c>
      <c r="E7" s="17" t="inlineStr">
        <is>
          <t>Claude knowledge</t>
        </is>
      </c>
      <c r="F7" s="18" t="inlineStr">
        <is>
          <t>Closures</t>
        </is>
      </c>
      <c r="G7" s="18" t="inlineStr">
        <is>
          <t>Which feature lets a function remember variables from where it was created?</t>
        </is>
      </c>
      <c r="H7" s="17" t="n"/>
      <c r="I7" s="18" t="inlineStr">
        <is>
          <t>Language concept</t>
        </is>
      </c>
      <c r="J7" s="18" t="inlineStr">
        <is>
          <t>High</t>
        </is>
      </c>
      <c r="K7" s="18" t="n">
        <v>5</v>
      </c>
      <c r="L7" s="18" t="inlineStr">
        <is>
          <t>Functions are passed around as values, so they needed a way to keep access to the variables they were created with.</t>
        </is>
      </c>
      <c r="M7" s="18" t="inlineStr">
        <is>
          <t>Use closures to keep private state without classes.</t>
        </is>
      </c>
      <c r="N7" s="17" t="n"/>
      <c r="O7" s="18" t="inlineStr">
        <is>
          <t>A closure is a backpack that a function carries, holding the variables from its home.</t>
        </is>
      </c>
      <c r="P7" s="18" t="inlineStr">
        <is>
          <t>A small function with a backpack of variables attached.</t>
        </is>
      </c>
      <c r="Q7" s="18" t="inlineStr">
        <is>
          <t>The aha moment when a counter keeps its value.</t>
        </is>
      </c>
      <c r="R7" s="18" t="inlineStr">
        <is>
          <t>A closure is a function together with the variables from the scope in which it was defined, which stay available even after that scope has finished.</t>
        </is>
      </c>
      <c r="S7" s="17" t="n"/>
      <c r="T7" s="19" t="inlineStr">
        <is>
          <t>function makeCounter() {
  let count = 0;
  return () =&gt; ++count;
}
const next = makeCounter();
console.log(next(), next(), next());</t>
        </is>
      </c>
      <c r="U7" s="19" t="inlineStr">
        <is>
          <t>1 2 3</t>
        </is>
      </c>
      <c r="V7" s="18" t="inlineStr">
        <is>
          <t>makeCounter finishes running, but the returned function still holds count. Each call to makeCounter creates a separate count. Closures power callbacks, event handlers, partial application and private data. A common trap is creating closures in a loop with var, where all share one variable, which let avoids.</t>
        </is>
      </c>
      <c r="W7" s="18" t="inlineStr">
        <is>
          <t>A function keeps access to the variables around it where it was made.</t>
        </is>
      </c>
      <c r="X7" s="18" t="inlineStr">
        <is>
          <t>A closure is a backpack that a function carries, holding variables from its home.</t>
        </is>
      </c>
      <c r="Y7" s="19" t="inlineStr">
        <is>
          <t>function outer() { let x; return function inner() { use(x); }; }</t>
        </is>
      </c>
      <c r="Z7" s="18" t="inlineStr">
        <is>
          <t>outer = creates the scope | inner = the closure | x = captured variable</t>
        </is>
      </c>
      <c r="AA7" s="19" t="inlineStr">
        <is>
          <t>const add = a =&gt; b =&gt; a + b;</t>
        </is>
      </c>
      <c r="AB7" s="19" t="inlineStr">
        <is>
          <t>setTimeout(() =&gt; console.log(id), 100);</t>
        </is>
      </c>
      <c r="AC7" s="19" t="inlineStr">
        <is>
          <t>button.addEventListener("click", () =&gt; count++);</t>
        </is>
      </c>
      <c r="AD7" s="19" t="inlineStr">
        <is>
          <t>const makeAdder = n =&gt; x =&gt; x + n;   // partial application with a closure</t>
        </is>
      </c>
      <c r="AE7" s="18" t="inlineStr">
        <is>
          <t>callbacks, event handlers, factories</t>
        </is>
      </c>
      <c r="AF7" s="18" t="inlineStr">
        <is>
          <t>scope, functions, callbacks, modules</t>
        </is>
      </c>
      <c r="AG7" s="18" t="inlineStr">
        <is>
          <t>Classes with private fields</t>
        </is>
      </c>
      <c r="AH7" s="17" t="n"/>
      <c r="AI7" s="18" t="inlineStr">
        <is>
          <t>Counters | Event handlers | Private state</t>
        </is>
      </c>
      <c r="AJ7" s="18" t="inlineStr">
        <is>
          <t>A: How does the counter remember its value? | B: The returned function keeps a closure over count.</t>
        </is>
      </c>
      <c r="AK7" s="18" t="inlineStr">
        <is>
          <t>✗ Variables vanish when their function returns → ✓ A closure keeps them alive as long as the inner function exists</t>
        </is>
      </c>
      <c r="AL7" s="18" t="inlineStr">
        <is>
          <t>Closure vs global: a closure holds private state, a global is open to everyone.</t>
        </is>
      </c>
      <c r="AM7" s="18" t="inlineStr">
        <is>
          <t>Do not capture a var loop variable inside callbacks.</t>
        </is>
      </c>
      <c r="AN7" s="19" t="inlineStr">
        <is>
          <t>for (var i = 0; i &lt; 3; i++) { setTimeout(() =&gt; console.log(i), 0); }</t>
        </is>
      </c>
      <c r="AO7" s="19" t="inlineStr">
        <is>
          <t>for (let i = 0; i &lt; 3; i++) { setTimeout(() =&gt; console.log(i), 0); }</t>
        </is>
      </c>
      <c r="AP7" s="18" t="inlineStr">
        <is>
          <t>A function carries its home variables along.</t>
        </is>
      </c>
      <c r="AQ7" s="18" t="inlineStr">
        <is>
          <t>Using a closure to keep retry counts private in an API client.</t>
        </is>
      </c>
      <c r="AR7" s="18" t="inlineStr">
        <is>
          <t>An interviewer may ask: What is a closure and why is it useful?</t>
        </is>
      </c>
      <c r="AS7" s="18" t="inlineStr">
        <is>
          <t>It is like a backpack of things from home.</t>
        </is>
      </c>
      <c r="AT7" s="18" t="inlineStr">
        <is>
          <t>What does a closure keep?</t>
        </is>
      </c>
      <c r="AU7" s="18" t="inlineStr">
        <is>
          <t>A) A copy of the whole program B) Access to variables of its creation scope C) The network D) The browser window</t>
        </is>
      </c>
      <c r="AV7" s="18" t="inlineStr">
        <is>
          <t>B</t>
        </is>
      </c>
      <c r="AW7" s="18" t="inlineStr">
        <is>
          <t>It retains the scope where it was defined.</t>
        </is>
      </c>
      <c r="AX7" s="19" t="inlineStr">
        <is>
          <t>A function returned from another function keeps its outer variables through a ____ → closure</t>
        </is>
      </c>
      <c r="AY7" s="18" t="inlineStr">
        <is>
          <t>Write a function that returns another function adding a fixed number.</t>
        </is>
      </c>
      <c r="AZ7" s="19" t="inlineStr">
        <is>
          <t>const makeAdder = n =&gt; x =&gt; x + n;</t>
        </is>
      </c>
      <c r="BA7" s="18" t="inlineStr">
        <is>
          <t>Build a counter with increment and reset functions that share private state.</t>
        </is>
      </c>
      <c r="BB7" s="19" t="inlineStr">
        <is>
          <t>Why does the loop with var print the same number three times?</t>
        </is>
      </c>
      <c r="BC7" s="19" t="inlineStr">
        <is>
          <t>All callbacks share one variable.</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121.5" customHeight="1">
      <c r="A8" s="17" t="inlineStr">
        <is>
          <t>TS-006</t>
        </is>
      </c>
      <c r="B8" s="17" t="inlineStr">
        <is>
          <t>01 JavaScript Core</t>
        </is>
      </c>
      <c r="C8" s="17" t="inlineStr">
        <is>
          <t>Advanced</t>
        </is>
      </c>
      <c r="D8" s="17" t="n">
        <v>6</v>
      </c>
      <c r="E8" s="17" t="inlineStr">
        <is>
          <t>Claude knowledge</t>
        </is>
      </c>
      <c r="F8" s="18" t="inlineStr">
        <is>
          <t>this</t>
        </is>
      </c>
      <c r="G8" s="18" t="inlineStr">
        <is>
          <t>Which keyword refers to the object a function is working on, and why does it change?</t>
        </is>
      </c>
      <c r="H8" s="17" t="n"/>
      <c r="I8" s="18" t="inlineStr">
        <is>
          <t>Language concept</t>
        </is>
      </c>
      <c r="J8" s="18" t="inlineStr">
        <is>
          <t>High</t>
        </is>
      </c>
      <c r="K8" s="18" t="n">
        <v>4</v>
      </c>
      <c r="L8" s="18" t="inlineStr">
        <is>
          <t>Methods need to refer to their own object, so this was introduced and decided by how a function is called, not where it is written.</t>
        </is>
      </c>
      <c r="M8" s="18" t="inlineStr">
        <is>
          <t>Use arrow functions inside methods to keep the outer this, and bind when passing methods around.</t>
        </is>
      </c>
      <c r="N8" s="17" t="n"/>
      <c r="O8" s="18" t="inlineStr">
        <is>
          <t>This is a pointing finger that points at whoever called the function.</t>
        </is>
      </c>
      <c r="P8" s="18" t="inlineStr">
        <is>
          <t>A function with an arrow pointing to the object left of the dot.</t>
        </is>
      </c>
      <c r="Q8" s="18" t="inlineStr">
        <is>
          <t>The clarity when you finally see why a method lost its object.</t>
        </is>
      </c>
      <c r="R8" s="18" t="inlineStr">
        <is>
          <t>this is set at call time, and for a method call it is the object before the dot, while arrow functions take this from the surrounding code.</t>
        </is>
      </c>
      <c r="S8" s="17" t="n"/>
      <c r="T8" s="19" t="inlineStr">
        <is>
          <t>const user = {
  name: "Asha",
  hello() { return "Hi " + this.name; },
  later() { return [1].map(() =&gt; this.name); }
};
console.log(user.hello(), user.later());
const f = user.hello;
// f() would lose this</t>
        </is>
      </c>
      <c r="U8" s="19" t="inlineStr">
        <is>
          <t>Hi Asha [ 'Asha' ]</t>
        </is>
      </c>
      <c r="V8" s="18" t="inlineStr">
        <is>
          <t>Calling user.hello sets this to user. Detaching the method and calling it alone loses the object, which gives undefined or an error in strict mode. bind, call and apply set this explicitly. Arrow functions never have their own this, so they keep the outer one. In classes, methods passed as callbacks often need binding.</t>
        </is>
      </c>
      <c r="W8" s="18" t="inlineStr">
        <is>
          <t>Look at how the function is called, because that decides this.</t>
        </is>
      </c>
      <c r="X8" s="18" t="inlineStr">
        <is>
          <t>This is a pointing finger that points at whoever called the function.</t>
        </is>
      </c>
      <c r="Y8" s="19" t="inlineStr">
        <is>
          <t>obj.method() | fn.bind(obj) | fn.call(obj, arg)</t>
        </is>
      </c>
      <c r="Z8" s="18" t="inlineStr">
        <is>
          <t>obj.method() = this is obj | bind = fixed this | arrow = outer this</t>
        </is>
      </c>
      <c r="AA8" s="19" t="inlineStr">
        <is>
          <t>const bound = user.hello.bind(user);</t>
        </is>
      </c>
      <c r="AB8" s="19" t="inlineStr">
        <is>
          <t>user.hello.call({ name: "Ravi" });</t>
        </is>
      </c>
      <c r="AC8" s="19" t="inlineStr">
        <is>
          <t>button.addEventListener("click", () =&gt; this.save());</t>
        </is>
      </c>
      <c r="AD8" s="19" t="inlineStr">
        <is>
          <t>fn.apply(obj, [a, b])   // call with an array of arguments</t>
        </is>
      </c>
      <c r="AE8" s="18" t="inlineStr">
        <is>
          <t>classes, event handlers, callbacks</t>
        </is>
      </c>
      <c r="AF8" s="18" t="inlineStr">
        <is>
          <t>functions, closures, classes, scope</t>
        </is>
      </c>
      <c r="AG8" s="18" t="inlineStr">
        <is>
          <t>Arrow functions | Closures instead of this</t>
        </is>
      </c>
      <c r="AH8" s="17" t="n"/>
      <c r="AI8" s="18" t="inlineStr">
        <is>
          <t>Methods | Classes | Event handlers</t>
        </is>
      </c>
      <c r="AJ8" s="18" t="inlineStr">
        <is>
          <t>A: My method says this is undefined in the callback. | B: The call lost its object, so bind it or use an arrow function.</t>
        </is>
      </c>
      <c r="AK8" s="18" t="inlineStr">
        <is>
          <t>✗ this always refers to the object where the function is written → ✓ It depends on how the function is called</t>
        </is>
      </c>
      <c r="AL8" s="18" t="inlineStr">
        <is>
          <t>bind vs call: bind returns a new function, call runs the function now.</t>
        </is>
      </c>
      <c r="AM8" s="18" t="inlineStr">
        <is>
          <t>Do not pass a method as a callback without binding.</t>
        </is>
      </c>
      <c r="AN8" s="19" t="inlineStr">
        <is>
          <t>setTimeout(user.hello, 100);</t>
        </is>
      </c>
      <c r="AO8" s="19" t="inlineStr">
        <is>
          <t>setTimeout(user.hello.bind(user), 100);</t>
        </is>
      </c>
      <c r="AP8" s="18" t="inlineStr">
        <is>
          <t>This follows the caller, not the writer.</t>
        </is>
      </c>
      <c r="AQ8" s="18" t="inlineStr">
        <is>
          <t>Binding a class method fixed a lost context bug in an event handler.</t>
        </is>
      </c>
      <c r="AR8" s="18" t="inlineStr">
        <is>
          <t>An interviewer may ask: What determines the value of this?</t>
        </is>
      </c>
      <c r="AS8" s="18" t="inlineStr">
        <is>
          <t>It is like a finger pointing at the caller.</t>
        </is>
      </c>
      <c r="AT8" s="18" t="inlineStr">
        <is>
          <t>What decides the value of this in a normal function?</t>
        </is>
      </c>
      <c r="AU8" s="18" t="inlineStr">
        <is>
          <t>A) How the function is called B) The file name C) Where it is written D) The variable name</t>
        </is>
      </c>
      <c r="AV8" s="18" t="inlineStr">
        <is>
          <t>A</t>
        </is>
      </c>
      <c r="AW8" s="18" t="inlineStr">
        <is>
          <t>The call site sets this.</t>
        </is>
      </c>
      <c r="AX8" s="19" t="inlineStr">
        <is>
          <t>A method that fixes this permanently is called ____ → bind</t>
        </is>
      </c>
      <c r="AY8" s="18" t="inlineStr">
        <is>
          <t>Make user.hello run with the correct this when used later.</t>
        </is>
      </c>
      <c r="AZ8" s="19" t="inlineStr">
        <is>
          <t>const f = user.hello.bind(user);</t>
        </is>
      </c>
      <c r="BA8" s="18" t="inlineStr">
        <is>
          <t>Show how an arrow function inside a method keeps this.</t>
        </is>
      </c>
      <c r="BB8" s="19" t="inlineStr">
        <is>
          <t>Do arrow functions have their own this?</t>
        </is>
      </c>
      <c r="BC8" s="19" t="inlineStr">
        <is>
          <t>No, they use the outer this.</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121.5" customHeight="1">
      <c r="A9" s="17" t="inlineStr">
        <is>
          <t>TS-007</t>
        </is>
      </c>
      <c r="B9" s="17" t="inlineStr">
        <is>
          <t>01 JavaScript Core</t>
        </is>
      </c>
      <c r="C9" s="17" t="inlineStr">
        <is>
          <t>Beginner</t>
        </is>
      </c>
      <c r="D9" s="17" t="n">
        <v>7</v>
      </c>
      <c r="E9" s="17" t="inlineStr">
        <is>
          <t>Claude knowledge</t>
        </is>
      </c>
      <c r="F9" s="18" t="inlineStr">
        <is>
          <t>Array methods: map, filter and reduce</t>
        </is>
      </c>
      <c r="G9" s="18" t="inlineStr">
        <is>
          <t>Which three methods transform, select and combine items in an array?</t>
        </is>
      </c>
      <c r="H9" s="17" t="n"/>
      <c r="I9" s="18" t="inlineStr">
        <is>
          <t>Array method</t>
        </is>
      </c>
      <c r="J9" s="18" t="inlineStr">
        <is>
          <t>Very high</t>
        </is>
      </c>
      <c r="K9" s="18" t="n">
        <v>5</v>
      </c>
      <c r="L9" s="18" t="inlineStr">
        <is>
          <t>Writing loops by hand for every task is long, so arrays gained methods that express the intent of each common job.</t>
        </is>
      </c>
      <c r="M9" s="18" t="inlineStr">
        <is>
          <t>Chain them in the order select, transform, combine to keep code readable.</t>
        </is>
      </c>
      <c r="N9" s="17" t="n"/>
      <c r="O9" s="18" t="inlineStr">
        <is>
          <t>Map reshapes every item, filter keeps some, and reduce squeezes everything into one value.</t>
        </is>
      </c>
      <c r="P9" s="18" t="inlineStr">
        <is>
          <t>A row of boxes going through a funnel and a squeezer.</t>
        </is>
      </c>
      <c r="Q9" s="18" t="inlineStr">
        <is>
          <t>The satisfaction of replacing a loop with one clear line.</t>
        </is>
      </c>
      <c r="R9" s="18" t="inlineStr">
        <is>
          <t>map returns a new array by transforming each item, filter returns a new array of items that pass a test, and reduce combines all items into a single value.</t>
        </is>
      </c>
      <c r="S9" s="17" t="n"/>
      <c r="T9" s="19" t="inlineStr">
        <is>
          <t>const prices = [100, 250, 40];
const withTax = prices.map(p =&gt; p * 1.18);
const big = prices.filter(p =&gt; p &gt; 50);
const total = prices.reduce((sum, p) =&gt; sum + p, 0);
console.log(withTax, big, total);</t>
        </is>
      </c>
      <c r="U9" s="19" t="inlineStr">
        <is>
          <t>[ 118, 295, 47.199999999999996 ] [ 100, 250 ] 390</t>
        </is>
      </c>
      <c r="V9" s="18" t="inlineStr">
        <is>
          <t>None of the three changes the original array. map always returns an array of the same length, filter returns the same or fewer items, and reduce returns anything you build. reduce needs a starting value to behave well on empty arrays. forEach runs code for each item but returns nothing. Floating point results may need rounding.</t>
        </is>
      </c>
      <c r="W9" s="18" t="inlineStr">
        <is>
          <t>map changes each item, filter picks items, reduce builds one result.</t>
        </is>
      </c>
      <c r="X9" s="18" t="inlineStr">
        <is>
          <t>Map reshapes every item, filter keeps some, and reduce squeezes everything into one value.</t>
        </is>
      </c>
      <c r="Y9" s="19" t="inlineStr">
        <is>
          <t>arr.map(fn) | arr.filter(fn) | arr.reduce((acc, x) =&gt; ..., start)</t>
        </is>
      </c>
      <c r="Z9" s="18" t="inlineStr">
        <is>
          <t>map = same length | filter = keeps matches | reduce = accumulator and start value</t>
        </is>
      </c>
      <c r="AA9" s="19" t="inlineStr">
        <is>
          <t>["a", "b"].map(s =&gt; s.toUpperCase());</t>
        </is>
      </c>
      <c r="AB9" s="19" t="inlineStr">
        <is>
          <t>users.filter(u =&gt; u.active);</t>
        </is>
      </c>
      <c r="AC9" s="19" t="inlineStr">
        <is>
          <t>nums.reduce((max, n) =&gt; Math.max(max, n), -Infinity);</t>
        </is>
      </c>
      <c r="AD9" s="19" t="inlineStr">
        <is>
          <t>Object.fromEntries(arr.map(x =&gt; [x.id, x]));   // map into an object</t>
        </is>
      </c>
      <c r="AE9" s="18" t="inlineStr">
        <is>
          <t>arrow functions, objects, chaining</t>
        </is>
      </c>
      <c r="AF9" s="18" t="inlineStr">
        <is>
          <t>functions, destructuring, loops, objects</t>
        </is>
      </c>
      <c r="AG9" s="18" t="inlineStr">
        <is>
          <t>for loops | for of</t>
        </is>
      </c>
      <c r="AH9" s="17" t="n"/>
      <c r="AI9" s="18" t="inlineStr">
        <is>
          <t>Data cleaning | UI lists | Reports</t>
        </is>
      </c>
      <c r="AJ9" s="18" t="inlineStr">
        <is>
          <t>A: Why does reduce fail on an empty array? | B: You forgot the starting value, so add zero as the second argument.</t>
        </is>
      </c>
      <c r="AK9" s="18" t="inlineStr">
        <is>
          <t>✗ map changes the original array → ✓ It returns a new array and leaves the original untouched</t>
        </is>
      </c>
      <c r="AL9" s="18" t="inlineStr">
        <is>
          <t>map vs forEach: map returns a new array, forEach returns nothing.</t>
        </is>
      </c>
      <c r="AM9" s="18" t="inlineStr">
        <is>
          <t>Do not use map only for side effects.</t>
        </is>
      </c>
      <c r="AN9" s="19" t="inlineStr">
        <is>
          <t>const names = users.forEach(u =&gt; u.name);</t>
        </is>
      </c>
      <c r="AO9" s="19" t="inlineStr">
        <is>
          <t>const names = users.map(u =&gt; u.name);</t>
        </is>
      </c>
      <c r="AP9" s="18" t="inlineStr">
        <is>
          <t>Map reshapes, filter selects, reduce combines.</t>
        </is>
      </c>
      <c r="AQ9" s="18" t="inlineStr">
        <is>
          <t>Replacing nested loops with chained filter and map made a report script shorter.</t>
        </is>
      </c>
      <c r="AR9" s="18" t="inlineStr">
        <is>
          <t>An interviewer may ask: What is the difference between map and forEach?</t>
        </is>
      </c>
      <c r="AS9" s="18" t="inlineStr">
        <is>
          <t>It is like reshaping, picking and combining items.</t>
        </is>
      </c>
      <c r="AT9" s="18" t="inlineStr">
        <is>
          <t>Which method returns a single combined value?</t>
        </is>
      </c>
      <c r="AU9" s="18" t="inlineStr">
        <is>
          <t>A) map B) push C) reduce D) filter</t>
        </is>
      </c>
      <c r="AV9" s="18" t="inlineStr">
        <is>
          <t>C</t>
        </is>
      </c>
      <c r="AW9" s="18" t="inlineStr">
        <is>
          <t>reduce accumulates items into one result.</t>
        </is>
      </c>
      <c r="AX9" s="19" t="inlineStr">
        <is>
          <t>The method that keeps only items passing a test is ____ → filter</t>
        </is>
      </c>
      <c r="AY9" s="18" t="inlineStr">
        <is>
          <t>Get the names from an array of user objects.</t>
        </is>
      </c>
      <c r="AZ9" s="19" t="inlineStr">
        <is>
          <t>users.map(u =&gt; u.name)</t>
        </is>
      </c>
      <c r="BA9" s="18" t="inlineStr">
        <is>
          <t>Chain filter and map to list the names of active users.</t>
        </is>
      </c>
      <c r="BB9" s="19" t="inlineStr">
        <is>
          <t>Does filter change the original array?</t>
        </is>
      </c>
      <c r="BC9" s="19" t="inlineStr">
        <is>
          <t>No, it returns a new array.</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108" customHeight="1">
      <c r="A10" s="17" t="inlineStr">
        <is>
          <t>TS-008</t>
        </is>
      </c>
      <c r="B10" s="17" t="inlineStr">
        <is>
          <t>01 JavaScript Core</t>
        </is>
      </c>
      <c r="C10" s="17" t="inlineStr">
        <is>
          <t>Beginner</t>
        </is>
      </c>
      <c r="D10" s="17" t="n">
        <v>8</v>
      </c>
      <c r="E10" s="17" t="inlineStr">
        <is>
          <t>Claude knowledge</t>
        </is>
      </c>
      <c r="F10" s="18" t="inlineStr">
        <is>
          <t>Objects</t>
        </is>
      </c>
      <c r="G10" s="18" t="inlineStr">
        <is>
          <t>Which structure stores named values and how do you read and change them?</t>
        </is>
      </c>
      <c r="H10" s="17" t="n"/>
      <c r="I10" s="18" t="inlineStr">
        <is>
          <t>Data structure</t>
        </is>
      </c>
      <c r="J10" s="18" t="inlineStr">
        <is>
          <t>Very high</t>
        </is>
      </c>
      <c r="K10" s="18" t="n">
        <v>5</v>
      </c>
      <c r="L10" s="18" t="inlineStr">
        <is>
          <t>Real things have several named properties, so objects group related values under keys.</t>
        </is>
      </c>
      <c r="M10" s="18" t="inlineStr">
        <is>
          <t>Use dot notation for fixed names and bracket notation for names stored in variables.</t>
        </is>
      </c>
      <c r="N10" s="17" t="n"/>
      <c r="O10" s="18" t="inlineStr">
        <is>
          <t>An object is a form with labelled fields, each holding one answer.</t>
        </is>
      </c>
      <c r="P10" s="18" t="inlineStr">
        <is>
          <t>A card with labels on the left and values on the right.</t>
        </is>
      </c>
      <c r="Q10" s="18" t="inlineStr">
        <is>
          <t>The ease of grouping related data in one place.</t>
        </is>
      </c>
      <c r="R10" s="18" t="inlineStr">
        <is>
          <t>An object is a collection of key and value pairs, where values can be any type including functions and other objects.</t>
        </is>
      </c>
      <c r="S10" s="17" t="n"/>
      <c r="T10" s="19" t="inlineStr">
        <is>
          <t>const user = { name: "Asha", age: 28, skills: ["sql", "js"] };
user.age = 29;
user["city"] = "Pune";
delete user.skills;
console.log(user, Object.keys(user));</t>
        </is>
      </c>
      <c r="U10" s="19" t="inlineStr">
        <is>
          <t>{ name: 'Asha', age: 29, city: 'Pune' } [ 'name', 'age', 'city' ]</t>
        </is>
      </c>
      <c r="V10" s="18" t="inlineStr">
        <is>
          <t>Keys are strings or symbols. Dot access reads fixed names, and bracket access accepts any expression. Object.keys, values and entries list the contents for loops. Assigning an object to another variable copies the reference, not the object. Use spread to make a shallow copy, and structuredClone for a deep copy.</t>
        </is>
      </c>
      <c r="W10" s="18" t="inlineStr">
        <is>
          <t>Objects hold labelled values, and copies share the same object unless you clone.</t>
        </is>
      </c>
      <c r="X10" s="18" t="inlineStr">
        <is>
          <t>An object is a form with labelled fields.</t>
        </is>
      </c>
      <c r="Y10" s="19" t="inlineStr">
        <is>
          <t>const obj = { key: value }; obj.key; obj["key"];</t>
        </is>
      </c>
      <c r="Z10" s="18" t="inlineStr">
        <is>
          <t>key = label | value = data | dot = fixed access | bracket = dynamic access</t>
        </is>
      </c>
      <c r="AA10" s="19" t="inlineStr">
        <is>
          <t>Object.entries(user).forEach(([k, v]) =&gt; console.log(k, v));</t>
        </is>
      </c>
      <c r="AB10" s="19" t="inlineStr">
        <is>
          <t>const copy = { ...user };</t>
        </is>
      </c>
      <c r="AC10" s="19" t="inlineStr">
        <is>
          <t>const field = "name"; user[field];</t>
        </is>
      </c>
      <c r="AD10" s="19" t="inlineStr">
        <is>
          <t>const deep = structuredClone(user);   // independent deep copy</t>
        </is>
      </c>
      <c r="AE10" s="18" t="inlineStr">
        <is>
          <t>arrays, JSON, destructuring</t>
        </is>
      </c>
      <c r="AF10" s="18" t="inlineStr">
        <is>
          <t>destructuring and spread, JSON, arrays, classes</t>
        </is>
      </c>
      <c r="AG10" s="18" t="inlineStr">
        <is>
          <t>Map | classes</t>
        </is>
      </c>
      <c r="AH10" s="17" t="n"/>
      <c r="AI10" s="18" t="inlineStr">
        <is>
          <t>Configuration | API data | State</t>
        </is>
      </c>
      <c r="AJ10" s="18" t="inlineStr">
        <is>
          <t>A: I changed the copy and the original changed too. | B: Both names point to one object, so clone it first.</t>
        </is>
      </c>
      <c r="AK10" s="18" t="inlineStr">
        <is>
          <t>✗ Assigning an object to a new variable copies it → ✓ It copies only the reference to the same object</t>
        </is>
      </c>
      <c r="AL10" s="18" t="inlineStr">
        <is>
          <t>Dot vs bracket: dot uses a fixed name, bracket uses any expression.</t>
        </is>
      </c>
      <c r="AM10" s="18" t="inlineStr">
        <is>
          <t>Do not mutate shared objects without meaning to.</t>
        </is>
      </c>
      <c r="AN10" s="19" t="inlineStr">
        <is>
          <t>const b = a; b.name = "x";   // also changes a</t>
        </is>
      </c>
      <c r="AO10" s="19" t="inlineStr">
        <is>
          <t>const b = { ...a }; b.name = "x";</t>
        </is>
      </c>
      <c r="AP10" s="18" t="inlineStr">
        <is>
          <t>Equals shares the object, spread copies it.</t>
        </is>
      </c>
      <c r="AQ10" s="18" t="inlineStr">
        <is>
          <t>Cloning a configuration object stopped one tenant's settings leaking into another.</t>
        </is>
      </c>
      <c r="AR10" s="18" t="inlineStr">
        <is>
          <t>An interviewer may ask: How do you copy an object in JavaScript?</t>
        </is>
      </c>
      <c r="AS10" s="18" t="inlineStr">
        <is>
          <t>It is like a form with labelled fields.</t>
        </is>
      </c>
      <c r="AT10" s="18" t="inlineStr">
        <is>
          <t>Which creates a shallow copy of an object?</t>
        </is>
      </c>
      <c r="AU10" s="18" t="inlineStr">
        <is>
          <t>A) The equals sign B) The delete keyword C) Object.keys D) The spread syntax</t>
        </is>
      </c>
      <c r="AV10" s="18" t="inlineStr">
        <is>
          <t>D</t>
        </is>
      </c>
      <c r="AW10" s="18" t="inlineStr">
        <is>
          <t>Spread copies top-level properties into a new object.</t>
        </is>
      </c>
      <c r="AX10" s="19" t="inlineStr">
        <is>
          <t>A copy that duplicates nested objects as well is a ____ copy → deep</t>
        </is>
      </c>
      <c r="AY10" s="18" t="inlineStr">
        <is>
          <t>Add a field called email to the user object.</t>
        </is>
      </c>
      <c r="AZ10" s="19" t="inlineStr">
        <is>
          <t>user.email = "a@example.com";</t>
        </is>
      </c>
      <c r="BA10" s="18" t="inlineStr">
        <is>
          <t>List all keys and values of an object using a loop.</t>
        </is>
      </c>
      <c r="BB10" s="19" t="inlineStr">
        <is>
          <t>What does assigning an object to another variable copy?</t>
        </is>
      </c>
      <c r="BC10" s="19" t="inlineStr">
        <is>
          <t>Only the reference.</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108" customHeight="1">
      <c r="A11" s="17" t="inlineStr">
        <is>
          <t>TS-009</t>
        </is>
      </c>
      <c r="B11" s="17" t="inlineStr">
        <is>
          <t>01 JavaScript Core</t>
        </is>
      </c>
      <c r="C11" s="17" t="inlineStr">
        <is>
          <t>Intermediate</t>
        </is>
      </c>
      <c r="D11" s="17" t="n">
        <v>9</v>
      </c>
      <c r="E11" s="17" t="inlineStr">
        <is>
          <t>Claude knowledge</t>
        </is>
      </c>
      <c r="F11" s="18" t="inlineStr">
        <is>
          <t>Destructuring and spread</t>
        </is>
      </c>
      <c r="G11" s="18" t="inlineStr">
        <is>
          <t>Which syntax unpacks values from arrays and objects and expands them into new ones?</t>
        </is>
      </c>
      <c r="H11" s="17" t="n"/>
      <c r="I11" s="18" t="inlineStr">
        <is>
          <t>Syntax feature</t>
        </is>
      </c>
      <c r="J11" s="18" t="inlineStr">
        <is>
          <t>Very high</t>
        </is>
      </c>
      <c r="K11" s="18" t="n">
        <v>5</v>
      </c>
      <c r="L11" s="18" t="inlineStr">
        <is>
          <t>Pulling values out one at a time was noisy, so shorthand syntax was added to unpack and combine data in one line.</t>
        </is>
      </c>
      <c r="M11" s="18" t="inlineStr">
        <is>
          <t>Use destructuring in function parameters to name what a function needs.</t>
        </is>
      </c>
      <c r="N11" s="17" t="n"/>
      <c r="O11" s="18" t="inlineStr">
        <is>
          <t>Destructuring is unpacking a suitcase onto shelves, and spread is tipping one suitcase into another.</t>
        </is>
      </c>
      <c r="P11" s="18" t="inlineStr">
        <is>
          <t>A box opening into separate labelled items.</t>
        </is>
      </c>
      <c r="Q11" s="18" t="inlineStr">
        <is>
          <t>The pleasure of short, readable code.</t>
        </is>
      </c>
      <c r="R11" s="18" t="inlineStr">
        <is>
          <t>Destructuring pulls values out of arrays or objects into variables, and spread expands an array or object into another.</t>
        </is>
      </c>
      <c r="S11" s="17" t="n"/>
      <c r="T11" s="19" t="inlineStr">
        <is>
          <t>const user = { name: "Asha", age: 28, city: "Pune" };
const { name, age: years, country = "IN" } = user;
const [first, ...rest] = [1, 2, 3, 4];
const merged = { ...user, age: 29 };
console.log(name, years, country, first, rest, merged);</t>
        </is>
      </c>
      <c r="U11" s="19" t="inlineStr">
        <is>
          <t>Asha 28 IN 1 [ 2, 3, 4 ] { name: 'Asha', age: 29, city: 'Pune' }</t>
        </is>
      </c>
      <c r="V11" s="18" t="inlineStr">
        <is>
          <t>In object destructuring, names must match the keys, and a colon renames them. An equals sign gives a default. Array destructuring goes by position. The rest syntax collects what remains. Spread creates shallow copies, and later keys override earlier ones, which is handy for updates.</t>
        </is>
      </c>
      <c r="W11" s="18" t="inlineStr">
        <is>
          <t>Destructure to take values out, and spread to copy and combine.</t>
        </is>
      </c>
      <c r="X11" s="18" t="inlineStr">
        <is>
          <t>Destructuring is unpacking a suitcase onto shelves, and spread is tipping one suitcase into another.</t>
        </is>
      </c>
      <c r="Y11" s="19" t="inlineStr">
        <is>
          <t>const { a, b: c = 1 } = obj; const [x, ...rest] = arr; const copy = { ...obj };</t>
        </is>
      </c>
      <c r="Z11" s="18" t="inlineStr">
        <is>
          <t>{ } = by name | [ ] = by position | ... = rest or spread | = value = default</t>
        </is>
      </c>
      <c r="AA11" s="19" t="inlineStr">
        <is>
          <t>function show({ name, age }) { return name + age; }</t>
        </is>
      </c>
      <c r="AB11" s="19" t="inlineStr">
        <is>
          <t>[a, b] = [b, a];   // swap two existing let variables</t>
        </is>
      </c>
      <c r="AC11" s="19" t="inlineStr">
        <is>
          <t>const all = [...list1, ...list2];</t>
        </is>
      </c>
      <c r="AD11" s="19" t="inlineStr">
        <is>
          <t>const { data: { id } } = response;   // nested destructuring</t>
        </is>
      </c>
      <c r="AE11" s="18" t="inlineStr">
        <is>
          <t>function parameters, props, immutable updates</t>
        </is>
      </c>
      <c r="AF11" s="18" t="inlineStr">
        <is>
          <t>objects, arrays, React props, function parameters</t>
        </is>
      </c>
      <c r="AG11" s="18" t="inlineStr">
        <is>
          <t>Object.assign | concat</t>
        </is>
      </c>
      <c r="AH11" s="17" t="n"/>
      <c r="AI11" s="18" t="inlineStr">
        <is>
          <t>React props | API responses | State updates</t>
        </is>
      </c>
      <c r="AJ11" s="18" t="inlineStr">
        <is>
          <t>A: How do I update one field without changing the rest? | B: Spread the old object and override that field.</t>
        </is>
      </c>
      <c r="AK11" s="18" t="inlineStr">
        <is>
          <t>✗ Spread makes a deep copy → ✓ It copies only the first level, so nested objects are still shared</t>
        </is>
      </c>
      <c r="AL11" s="18" t="inlineStr">
        <is>
          <t>Rest vs spread: rest collects values together, spread expands them.</t>
        </is>
      </c>
      <c r="AM11" s="18" t="inlineStr">
        <is>
          <t>Do not rely on spread for nested copies.</t>
        </is>
      </c>
      <c r="AN11" s="19" t="inlineStr">
        <is>
          <t>const { fullName } = user;   // key does not exist</t>
        </is>
      </c>
      <c r="AO11" s="19" t="inlineStr">
        <is>
          <t>const { name: fullName } = user;</t>
        </is>
      </c>
      <c r="AP11" s="18" t="inlineStr">
        <is>
          <t>A colon renames it, an equals sign defaults it.</t>
        </is>
      </c>
      <c r="AQ11" s="18" t="inlineStr">
        <is>
          <t>Using spread to update one setting in a state object without touching others.</t>
        </is>
      </c>
      <c r="AR11" s="18" t="inlineStr">
        <is>
          <t>An interviewer may ask: What is the difference between rest and spread?</t>
        </is>
      </c>
      <c r="AS11" s="18" t="inlineStr">
        <is>
          <t>It is like unpacking a suitcase onto shelves.</t>
        </is>
      </c>
      <c r="AT11" s="18" t="inlineStr">
        <is>
          <t>Which part gives a default value in destructuring?</t>
        </is>
      </c>
      <c r="AU11" s="18" t="inlineStr">
        <is>
          <t>A) A colon B) A dot C) A semicolon D) An equals sign</t>
        </is>
      </c>
      <c r="AV11" s="18" t="inlineStr">
        <is>
          <t>D</t>
        </is>
      </c>
      <c r="AW11" s="18" t="inlineStr">
        <is>
          <t>The equals sign supplies a fallback when the value is undefined.</t>
        </is>
      </c>
      <c r="AX11" s="19" t="inlineStr">
        <is>
          <t>The three-dot syntax that gathers the remaining items is ____ → rest</t>
        </is>
      </c>
      <c r="AY11" s="18" t="inlineStr">
        <is>
          <t>Copy the user object but set age to 30.</t>
        </is>
      </c>
      <c r="AZ11" s="19" t="inlineStr">
        <is>
          <t>const next = { ...user, age: 30 };</t>
        </is>
      </c>
      <c r="BA11" s="18" t="inlineStr">
        <is>
          <t>Write a function that takes an object and uses destructuring in its parameter.</t>
        </is>
      </c>
      <c r="BB11" s="19" t="inlineStr">
        <is>
          <t>Does spread copy nested objects deeply?</t>
        </is>
      </c>
      <c r="BC11" s="19" t="inlineStr">
        <is>
          <t>No, only the first level.</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135" customHeight="1">
      <c r="A12" s="17" t="inlineStr">
        <is>
          <t>TS-010</t>
        </is>
      </c>
      <c r="B12" s="17" t="inlineStr">
        <is>
          <t>01 JavaScript Core</t>
        </is>
      </c>
      <c r="C12" s="17" t="inlineStr">
        <is>
          <t>Intermediate</t>
        </is>
      </c>
      <c r="D12" s="17" t="n">
        <v>10</v>
      </c>
      <c r="E12" s="17" t="inlineStr">
        <is>
          <t>Claude knowledge</t>
        </is>
      </c>
      <c r="F12" s="18" t="inlineStr">
        <is>
          <t>ES modules</t>
        </is>
      </c>
      <c r="G12" s="18" t="inlineStr">
        <is>
          <t>Which syntax splits code into files that import and export what they share?</t>
        </is>
      </c>
      <c r="H12" s="17" t="n"/>
      <c r="I12" s="18" t="inlineStr">
        <is>
          <t>Language concept</t>
        </is>
      </c>
      <c r="J12" s="18" t="inlineStr">
        <is>
          <t>Very high</t>
        </is>
      </c>
      <c r="K12" s="18" t="n">
        <v>5</v>
      </c>
      <c r="L12" s="18" t="inlineStr">
        <is>
          <t>Big programs in one file became unmanageable, so the language gained a standard way to split code into modules.</t>
        </is>
      </c>
      <c r="M12" s="18" t="inlineStr">
        <is>
          <t>Prefer named exports, because they are easier to find and refactor.</t>
        </is>
      </c>
      <c r="N12" s="17" t="n"/>
      <c r="O12" s="18" t="inlineStr">
        <is>
          <t>A module is a toolbox that shows only the tools you choose to export.</t>
        </is>
      </c>
      <c r="P12" s="18" t="inlineStr">
        <is>
          <t>Two files joined by an arrow labelled import.</t>
        </is>
      </c>
      <c r="Q12" s="18" t="inlineStr">
        <is>
          <t>The tidy feeling of small, focused files.</t>
        </is>
      </c>
      <c r="R12" s="18" t="inlineStr">
        <is>
          <t>A module is a file with its own scope that shares values using export and receives them using import.</t>
        </is>
      </c>
      <c r="S12" s="17" t="n"/>
      <c r="T12" s="19" t="inlineStr">
        <is>
          <t>// math.js
export const PI = 3.14159;
export function area(r) { return PI * r * r; }
export default function describe() { return "circle tools"; }
// app.js
import describe, { area, PI as pi } from "./math.js";
console.log(describe(), area(2), pi);</t>
        </is>
      </c>
      <c r="U12" s="19" t="inlineStr">
        <is>
          <t>circle tools 12.56636 3.14159</t>
        </is>
      </c>
      <c r="V12" s="18" t="inlineStr">
        <is>
          <t>Each module has its own scope, so top-level variables are not global. Named exports are imported with braces and must match the names. A default export can be imported under any name. Import paths for local files need the extension in the browser and in native Node ES modules. Modules run once and are cached, and imports are live bindings.</t>
        </is>
      </c>
      <c r="W12" s="18" t="inlineStr">
        <is>
          <t>Export what others need, import it by name, and keep everything else private.</t>
        </is>
      </c>
      <c r="X12" s="18" t="inlineStr">
        <is>
          <t>A module is a toolbox that shows only the tools you choose.</t>
        </is>
      </c>
      <c r="Y12" s="19" t="inlineStr">
        <is>
          <t>export const x; export default f; import f, { x } from "./file.js";</t>
        </is>
      </c>
      <c r="Z12" s="18" t="inlineStr">
        <is>
          <t>export = share | import = receive | default = one main export | as = rename</t>
        </is>
      </c>
      <c r="AA12" s="19" t="inlineStr">
        <is>
          <t>export { area, PI };</t>
        </is>
      </c>
      <c r="AB12" s="19" t="inlineStr">
        <is>
          <t>import * as math from "./math.js";</t>
        </is>
      </c>
      <c r="AC12" s="19" t="inlineStr">
        <is>
          <t>const mod = await import("./heavy.js");</t>
        </is>
      </c>
      <c r="AD12" s="19" t="inlineStr">
        <is>
          <t>export * from "./helpers.js";   // re-export everything</t>
        </is>
      </c>
      <c r="AE12" s="18" t="inlineStr">
        <is>
          <t>bundlers, Node, TypeScript</t>
        </is>
      </c>
      <c r="AF12" s="18" t="inlineStr">
        <is>
          <t>scope, ES modules vs CommonJS, package.json, TypeScript</t>
        </is>
      </c>
      <c r="AG12" s="18" t="inlineStr">
        <is>
          <t>CommonJS require</t>
        </is>
      </c>
      <c r="AH12" s="17" t="n"/>
      <c r="AI12" s="18" t="inlineStr">
        <is>
          <t>Every modern project | Libraries | Frontend apps</t>
        </is>
      </c>
      <c r="AJ12" s="18" t="inlineStr">
        <is>
          <t>A: Why does my import say the export does not exist? | B: Named imports must match exactly, and default ones have no braces.</t>
        </is>
      </c>
      <c r="AK12" s="18" t="inlineStr">
        <is>
          <t>✗ Default and named exports are imported the same way → ✓ Named ones need braces, and a default one does not</t>
        </is>
      </c>
      <c r="AL12" s="18" t="inlineStr">
        <is>
          <t>Named vs default export: a file may have many named exports but only one default.</t>
        </is>
      </c>
      <c r="AM12" s="18" t="inlineStr">
        <is>
          <t>Do not mix up braces for default imports.</t>
        </is>
      </c>
      <c r="AN12" s="19" t="inlineStr">
        <is>
          <t>import { describe } from "./math.js";</t>
        </is>
      </c>
      <c r="AO12" s="19" t="inlineStr">
        <is>
          <t>import describe from "./math.js";</t>
        </is>
      </c>
      <c r="AP12" s="18" t="inlineStr">
        <is>
          <t>Braces for named, bare for default.</t>
        </is>
      </c>
      <c r="AQ12" s="18" t="inlineStr">
        <is>
          <t>Splitting a large script into modules made each part testable.</t>
        </is>
      </c>
      <c r="AR12" s="18" t="inlineStr">
        <is>
          <t>An interviewer may ask: What is the difference between a default and a named export?</t>
        </is>
      </c>
      <c r="AS12" s="18" t="inlineStr">
        <is>
          <t>It is like a toolbox that shows only chosen tools.</t>
        </is>
      </c>
      <c r="AT12" s="18" t="inlineStr">
        <is>
          <t>How do you import a named export?</t>
        </is>
      </c>
      <c r="AU12" s="18" t="inlineStr">
        <is>
          <t>A) With parentheses B) With braces around the name C) With quotes only D) Without any name</t>
        </is>
      </c>
      <c r="AV12" s="18" t="inlineStr">
        <is>
          <t>B</t>
        </is>
      </c>
      <c r="AW12" s="18" t="inlineStr">
        <is>
          <t>Named exports use the braces form.</t>
        </is>
      </c>
      <c r="AX12" s="19" t="inlineStr">
        <is>
          <t>A module can have only one ____ export → default</t>
        </is>
      </c>
      <c r="AY12" s="18" t="inlineStr">
        <is>
          <t>Export a function called add from a file.</t>
        </is>
      </c>
      <c r="AZ12" s="19" t="inlineStr">
        <is>
          <t>export function add(a, b) { return a + b; }</t>
        </is>
      </c>
      <c r="BA12" s="18" t="inlineStr">
        <is>
          <t>Create two files where one imports a helper from the other.</t>
        </is>
      </c>
      <c r="BB12" s="19" t="inlineStr">
        <is>
          <t>Are top-level variables in a module global?</t>
        </is>
      </c>
      <c r="BC12" s="19" t="inlineStr">
        <is>
          <t>No, each module has its own scope.</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108" customHeight="1">
      <c r="A13" s="17" t="inlineStr">
        <is>
          <t>TS-011</t>
        </is>
      </c>
      <c r="B13" s="17" t="inlineStr">
        <is>
          <t>01 JavaScript Core</t>
        </is>
      </c>
      <c r="C13" s="17" t="inlineStr">
        <is>
          <t>Beginner</t>
        </is>
      </c>
      <c r="D13" s="17" t="n">
        <v>11</v>
      </c>
      <c r="E13" s="17" t="inlineStr">
        <is>
          <t>Claude knowledge</t>
        </is>
      </c>
      <c r="F13" s="18" t="inlineStr">
        <is>
          <t>Template strings</t>
        </is>
      </c>
      <c r="G13" s="18" t="inlineStr">
        <is>
          <t>Which backtick syntax lets you embed values and expressions inside text?</t>
        </is>
      </c>
      <c r="H13" s="17" t="n"/>
      <c r="I13" s="18" t="inlineStr">
        <is>
          <t>Syntax feature</t>
        </is>
      </c>
      <c r="J13" s="18" t="inlineStr">
        <is>
          <t>Very high</t>
        </is>
      </c>
      <c r="K13" s="18" t="n">
        <v>4</v>
      </c>
      <c r="L13" s="18" t="inlineStr">
        <is>
          <t>Joining text with plus signs is messy, so template literals allow values to be placed inside the text directly.</t>
        </is>
      </c>
      <c r="M13" s="18" t="inlineStr">
        <is>
          <t>Use template strings for any text that mixes variables, and for multi-line text.</t>
        </is>
      </c>
      <c r="N13" s="17" t="n"/>
      <c r="O13" s="18" t="inlineStr">
        <is>
          <t>A template string is a form letter with blanks that fill themselves in.</t>
        </is>
      </c>
      <c r="P13" s="18" t="inlineStr">
        <is>
          <t>A line of text with highlighted placeholders.</t>
        </is>
      </c>
      <c r="Q13" s="18" t="inlineStr">
        <is>
          <t>The joy of messages that read like plain sentences.</t>
        </is>
      </c>
      <c r="R13" s="18" t="inlineStr">
        <is>
          <t>A template literal is text written between backticks that can include expressions inside dollar-brace placeholders and can span several lines.</t>
        </is>
      </c>
      <c r="S13" s="17" t="n"/>
      <c r="T13" s="19" t="inlineStr">
        <is>
          <t>const name = "Asha";
const items = 3;
const msg = `Hello ${name},
you have ${items} item${items === 1 ? "" : "s"}.`;
console.log(msg);</t>
        </is>
      </c>
      <c r="U13" s="19" t="inlineStr">
        <is>
          <t>Hello Asha,
you have 3 items.</t>
        </is>
      </c>
      <c r="V13" s="18" t="inlineStr">
        <is>
          <t>Any expression can go inside the placeholder, including calls and conditionals. Line breaks inside the backticks stay in the text. Regular quotes cannot do this. Tagged templates run a function on the pieces and are used by some libraries. Never build database queries by pasting user input into a template, because that invites injection.</t>
        </is>
      </c>
      <c r="W13" s="18" t="inlineStr">
        <is>
          <t>Use backticks and dollar braces to put values in text.</t>
        </is>
      </c>
      <c r="X13" s="18" t="inlineStr">
        <is>
          <t>A template string is a form letter with blanks that fill themselves in.</t>
        </is>
      </c>
      <c r="Y13" s="19" t="inlineStr">
        <is>
          <t>`text ${expression} text`</t>
        </is>
      </c>
      <c r="Z13" s="18" t="inlineStr">
        <is>
          <t>backticks = template | ${ } = placeholder | expression = any code that gives a value</t>
        </is>
      </c>
      <c r="AA13" s="19" t="inlineStr">
        <is>
          <t>`Total: ${price * qty}`</t>
        </is>
      </c>
      <c r="AB13" s="19" t="inlineStr">
        <is>
          <t>`${user.name.toUpperCase()}`</t>
        </is>
      </c>
      <c r="AC13" s="19" t="inlineStr">
        <is>
          <t>`Line one
Line two`</t>
        </is>
      </c>
      <c r="AD13" s="19" t="inlineStr">
        <is>
          <t>String.raw`C:\new\folder`   // keeps backslashes as written</t>
        </is>
      </c>
      <c r="AE13" s="18" t="inlineStr">
        <is>
          <t>logging, messages, HTML</t>
        </is>
      </c>
      <c r="AF13" s="18" t="inlineStr">
        <is>
          <t>data types, functions, strings, security</t>
        </is>
      </c>
      <c r="AG13" s="18" t="inlineStr">
        <is>
          <t>String concatenation | format functions</t>
        </is>
      </c>
      <c r="AH13" s="17" t="n"/>
      <c r="AI13" s="18" t="inlineStr">
        <is>
          <t>Messages | Logging | URLs</t>
        </is>
      </c>
      <c r="AJ13" s="18" t="inlineStr">
        <is>
          <t>A: My message shows the placeholder text, not the value. | B: You used quotes, so switch to backticks.</t>
        </is>
      </c>
      <c r="AK13" s="18" t="inlineStr">
        <is>
          <t>✗ Quotes and backticks work the same for inserting variables → ✓ Only backticks evaluate placeholders</t>
        </is>
      </c>
      <c r="AL13" s="18" t="inlineStr">
        <is>
          <t>Template string vs concatenation: one embeds values, the other joins pieces with plus.</t>
        </is>
      </c>
      <c r="AM13" s="18" t="inlineStr">
        <is>
          <t>Do not paste user input into query strings with templates.</t>
        </is>
      </c>
      <c r="AN13" s="19" t="inlineStr">
        <is>
          <t>const s = "Hello ${name}";</t>
        </is>
      </c>
      <c r="AO13" s="19" t="inlineStr">
        <is>
          <t>const s = `Hello ${name}`;</t>
        </is>
      </c>
      <c r="AP13" s="18" t="inlineStr">
        <is>
          <t>Backticks fill blanks, quotes stay literal.</t>
        </is>
      </c>
      <c r="AQ13" s="18" t="inlineStr">
        <is>
          <t>Replacing string joins with templates cleaned up log messages in a service.</t>
        </is>
      </c>
      <c r="AR13" s="18" t="inlineStr">
        <is>
          <t>An interviewer may ask: What is a template literal?</t>
        </is>
      </c>
      <c r="AS13" s="18" t="inlineStr">
        <is>
          <t>It is like a form letter with blanks.</t>
        </is>
      </c>
      <c r="AT13" s="18" t="inlineStr">
        <is>
          <t>Which characters create a template literal?</t>
        </is>
      </c>
      <c r="AU13" s="18" t="inlineStr">
        <is>
          <t>A) Backticks B) Single quotes C) Slashes D) Double quotes</t>
        </is>
      </c>
      <c r="AV13" s="18" t="inlineStr">
        <is>
          <t>A</t>
        </is>
      </c>
      <c r="AW13" s="18" t="inlineStr">
        <is>
          <t>Only backticks support placeholders.</t>
        </is>
      </c>
      <c r="AX13" s="19" t="inlineStr">
        <is>
          <t>Expressions in a template go inside dollar and ____ → braces</t>
        </is>
      </c>
      <c r="AY13" s="18" t="inlineStr">
        <is>
          <t>Write a greeting using the variable name in a template string.</t>
        </is>
      </c>
      <c r="AZ13" s="19" t="inlineStr">
        <is>
          <t>const g = `Hello ${name}`;</t>
        </is>
      </c>
      <c r="BA13" s="18" t="inlineStr">
        <is>
          <t>Build a message that shows a plural word depending on a count.</t>
        </is>
      </c>
      <c r="BB13" s="19" t="inlineStr">
        <is>
          <t>Can a template string span multiple lines?</t>
        </is>
      </c>
      <c r="BC13" s="19" t="inlineStr">
        <is>
          <t>Yes, line breaks inside backticks are kept.</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108" customHeight="1">
      <c r="A14" s="17" t="inlineStr">
        <is>
          <t>TS-012</t>
        </is>
      </c>
      <c r="B14" s="17" t="inlineStr">
        <is>
          <t>01 JavaScript Core</t>
        </is>
      </c>
      <c r="C14" s="17" t="inlineStr">
        <is>
          <t>Intermediate</t>
        </is>
      </c>
      <c r="D14" s="17" t="n">
        <v>12</v>
      </c>
      <c r="E14" s="17" t="inlineStr">
        <is>
          <t>Claude knowledge</t>
        </is>
      </c>
      <c r="F14" s="18" t="inlineStr">
        <is>
          <t>Equality</t>
        </is>
      </c>
      <c r="G14" s="18" t="inlineStr">
        <is>
          <t>Which two comparison operators exist, and why should you prefer one?</t>
        </is>
      </c>
      <c r="H14" s="17" t="n"/>
      <c r="I14" s="18" t="inlineStr">
        <is>
          <t>Operator</t>
        </is>
      </c>
      <c r="J14" s="18" t="inlineStr">
        <is>
          <t>Very high</t>
        </is>
      </c>
      <c r="K14" s="18" t="n">
        <v>5</v>
      </c>
      <c r="L14" s="18" t="inlineStr">
        <is>
          <t>The loose operator converts types before comparing, which caused surprising results, so a strict version was added.</t>
        </is>
      </c>
      <c r="M14" s="18" t="inlineStr">
        <is>
          <t>Always use the strict operator unless you have a clear reason not to.</t>
        </is>
      </c>
      <c r="N14" s="17" t="n"/>
      <c r="O14" s="18" t="inlineStr">
        <is>
          <t>Strict equality is a customs officer who checks both the item and its type, and loose equality just glances.</t>
        </is>
      </c>
      <c r="P14" s="18" t="inlineStr">
        <is>
          <t>Two values being compared with a type label on each.</t>
        </is>
      </c>
      <c r="Q14" s="18" t="inlineStr">
        <is>
          <t>The safety of comparisons that behave the same way every time.</t>
        </is>
      </c>
      <c r="R14" s="18" t="inlineStr">
        <is>
          <t>Strict equality compares value and type without conversion, while loose equality converts types first, which can give surprising results.</t>
        </is>
      </c>
      <c r="S14" s="17" t="n"/>
      <c r="T14" s="19" t="inlineStr">
        <is>
          <t>console.log(5 === "5");
console.log(5 == "5");
console.log(0 == false);
console.log(null == undefined);
console.log(NaN === NaN);
console.log(Object.is(NaN, NaN));</t>
        </is>
      </c>
      <c r="U14" s="19" t="inlineStr">
        <is>
          <t>false
true
true
true
false
true</t>
        </is>
      </c>
      <c r="V14" s="18" t="inlineStr">
        <is>
          <t>Loose equality follows complicated conversion rules that few people remember. Strict equality has simple rules, except that NaN is never equal to itself. Object.is handles that case. Objects are compared by reference with both operators. null equals undefined only under loose equality, and checking value == null is one accepted use of it.</t>
        </is>
      </c>
      <c r="W14" s="18" t="inlineStr">
        <is>
          <t>Use three equals signs, and treat two equals signs as a risk.</t>
        </is>
      </c>
      <c r="X14" s="18" t="inlineStr">
        <is>
          <t>Strict equality is a customs officer who checks the item and its type, and loose equality just glances.</t>
        </is>
      </c>
      <c r="Y14" s="19" t="inlineStr">
        <is>
          <t>a === b | a !== b | Object.is(a, b)</t>
        </is>
      </c>
      <c r="Z14" s="18" t="inlineStr">
        <is>
          <t>=== = strict | == = loose | Object.is = special cases</t>
        </is>
      </c>
      <c r="AA14" s="19" t="inlineStr">
        <is>
          <t>"1" === 1</t>
        </is>
      </c>
      <c r="AB14" s="19" t="inlineStr">
        <is>
          <t>[] == false</t>
        </is>
      </c>
      <c r="AC14" s="19" t="inlineStr">
        <is>
          <t>value == null   // null or undefined</t>
        </is>
      </c>
      <c r="AD14" s="19" t="inlineStr">
        <is>
          <t>Number.isNaN(x)   // the safe NaN check</t>
        </is>
      </c>
      <c r="AE14" s="18" t="inlineStr">
        <is>
          <t>conditions, validation, tests</t>
        </is>
      </c>
      <c r="AF14" s="18" t="inlineStr">
        <is>
          <t>data types, truthiness, objects, conditions</t>
        </is>
      </c>
      <c r="AG14" s="18" t="inlineStr">
        <is>
          <t>Object.is | Number.isNaN</t>
        </is>
      </c>
      <c r="AH14" s="17" t="n"/>
      <c r="AI14" s="18" t="inlineStr">
        <is>
          <t>Conditions | Validation | Tests</t>
        </is>
      </c>
      <c r="AJ14" s="18" t="inlineStr">
        <is>
          <t>A: Why does zero equal false here? | B: You used loose equality, so switch to strict.</t>
        </is>
      </c>
      <c r="AK14" s="18" t="inlineStr">
        <is>
          <t>✗ Two equals signs are just a shorter way of writing three → ✓ They convert types first and give different results</t>
        </is>
      </c>
      <c r="AL14" s="18" t="inlineStr">
        <is>
          <t>== vs ===: loose converts types, strict does not.</t>
        </is>
      </c>
      <c r="AM14" s="18" t="inlineStr">
        <is>
          <t>Do not compare with NaN using an equality operator.</t>
        </is>
      </c>
      <c r="AN14" s="19" t="inlineStr">
        <is>
          <t>if (value == NaN) { }</t>
        </is>
      </c>
      <c r="AO14" s="19" t="inlineStr">
        <is>
          <t>if (Number.isNaN(value)) { }</t>
        </is>
      </c>
      <c r="AP14" s="18" t="inlineStr">
        <is>
          <t>Three signs check type too.</t>
        </is>
      </c>
      <c r="AQ14" s="18" t="inlineStr">
        <is>
          <t>Switching to strict equality removed a bug where an empty string matched zero.</t>
        </is>
      </c>
      <c r="AR14" s="18" t="inlineStr">
        <is>
          <t>An interviewer may ask: What is the difference between double and triple equals?</t>
        </is>
      </c>
      <c r="AS14" s="18" t="inlineStr">
        <is>
          <t>It is like a customs officer who checks type too.</t>
        </is>
      </c>
      <c r="AT14" s="18" t="inlineStr">
        <is>
          <t>What does the strict operator check?</t>
        </is>
      </c>
      <c r="AU14" s="18" t="inlineStr">
        <is>
          <t>A) Value only B) Neither C) Value and type D) Type only</t>
        </is>
      </c>
      <c r="AV14" s="18" t="inlineStr">
        <is>
          <t>C</t>
        </is>
      </c>
      <c r="AW14" s="18" t="inlineStr">
        <is>
          <t>No conversion happens with strict equality.</t>
        </is>
      </c>
      <c r="AX14" s="19" t="inlineStr">
        <is>
          <t>A value that is not equal even to itself is ____ → NaN</t>
        </is>
      </c>
      <c r="AY14" s="18" t="inlineStr">
        <is>
          <t>Compare a and b with the strict operator.</t>
        </is>
      </c>
      <c r="AZ14" s="19" t="inlineStr">
        <is>
          <t>a === b</t>
        </is>
      </c>
      <c r="BA14" s="18" t="inlineStr">
        <is>
          <t>Predict the results of five loose comparisons and check them.</t>
        </is>
      </c>
      <c r="BB14" s="19" t="inlineStr">
        <is>
          <t>Are two different objects with identical content strictly equal?</t>
        </is>
      </c>
      <c r="BC14" s="19" t="inlineStr">
        <is>
          <t>No, they have different references.</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121.5" customHeight="1">
      <c r="A15" s="17" t="inlineStr">
        <is>
          <t>TS-013</t>
        </is>
      </c>
      <c r="B15" s="17" t="inlineStr">
        <is>
          <t>01 JavaScript Core</t>
        </is>
      </c>
      <c r="C15" s="17" t="inlineStr">
        <is>
          <t>Beginner</t>
        </is>
      </c>
      <c r="D15" s="17" t="n">
        <v>13</v>
      </c>
      <c r="E15" s="17" t="inlineStr">
        <is>
          <t>Claude knowledge</t>
        </is>
      </c>
      <c r="F15" s="18" t="inlineStr">
        <is>
          <t>Truthiness</t>
        </is>
      </c>
      <c r="G15" s="18" t="inlineStr">
        <is>
          <t>Which values count as false in a condition, and which as true?</t>
        </is>
      </c>
      <c r="H15" s="17" t="n"/>
      <c r="I15" s="18" t="inlineStr">
        <is>
          <t>Language concept</t>
        </is>
      </c>
      <c r="J15" s="18" t="inlineStr">
        <is>
          <t>Very high</t>
        </is>
      </c>
      <c r="K15" s="18" t="n">
        <v>5</v>
      </c>
      <c r="L15" s="18" t="inlineStr">
        <is>
          <t>Conditions accept any value, so the language defines which values behave like false and treats all others as true.</t>
        </is>
      </c>
      <c r="M15" s="18" t="inlineStr">
        <is>
          <t>Remember the short list of falsy values and treat everything else as truthy.</t>
        </is>
      </c>
      <c r="N15" s="17" t="n"/>
      <c r="O15" s="18" t="inlineStr">
        <is>
          <t>Falsy values are the empty things, such as zero, nothing, empty text and not-a-number.</t>
        </is>
      </c>
      <c r="P15" s="18" t="inlineStr">
        <is>
          <t>A short list of falsy values beside a long list of truthy ones.</t>
        </is>
      </c>
      <c r="Q15" s="18" t="inlineStr">
        <is>
          <t>The ease of writing short conditions.</t>
        </is>
      </c>
      <c r="R15" s="18" t="inlineStr">
        <is>
          <t>Falsy values are false, 0, -0, 0n, empty string, null, undefined and NaN, and every other value is truthy, including empty arrays and objects.</t>
        </is>
      </c>
      <c r="S15" s="17" t="n"/>
      <c r="T15" s="19" t="inlineStr">
        <is>
          <t>const values = [0, "", null, undefined, NaN, [], {}, "0", "false"];
values.forEach(v =&gt; console.log(Boolean(v)));</t>
        </is>
      </c>
      <c r="U15" s="19" t="inlineStr">
        <is>
          <t>false
false
false
false
false
true
true
true
true</t>
        </is>
      </c>
      <c r="V15" s="18" t="inlineStr">
        <is>
          <t>A condition such as if (name) is true for any non-empty text. Empty arrays and objects are truthy, which surprises many people, so check length for arrays. The strings "0" and "false" are truthy because they are non-empty. Double negation converts a value to a boolean, and the nullish operator is better when zero or empty text are valid values.</t>
        </is>
      </c>
      <c r="W15" s="18" t="inlineStr">
        <is>
          <t>Only a short list of empty values are falsy, and everything else is truthy.</t>
        </is>
      </c>
      <c r="X15" s="18" t="inlineStr">
        <is>
          <t>Falsy values are the empty things, such as zero, nothing and empty text.</t>
        </is>
      </c>
      <c r="Y15" s="19" t="inlineStr">
        <is>
          <t>if (value) { } | Boolean(value) | !!value</t>
        </is>
      </c>
      <c r="Z15" s="18" t="inlineStr">
        <is>
          <t>falsy = the eight false-like values | truthy = everything else</t>
        </is>
      </c>
      <c r="AA15" s="19" t="inlineStr">
        <is>
          <t>if (items.length) { }</t>
        </is>
      </c>
      <c r="AB15" s="19" t="inlineStr">
        <is>
          <t>const ok = !!user;</t>
        </is>
      </c>
      <c r="AC15" s="19" t="inlineStr">
        <is>
          <t>const name = input || "anonymous";</t>
        </is>
      </c>
      <c r="AD15" s="19" t="inlineStr">
        <is>
          <t>const port = config.port ?? 3000;   // only null and undefined fall back</t>
        </is>
      </c>
      <c r="AE15" s="18" t="inlineStr">
        <is>
          <t>conditions, defaults, validation</t>
        </is>
      </c>
      <c r="AF15" s="18" t="inlineStr">
        <is>
          <t>equality, optional chaining, data types, conditions</t>
        </is>
      </c>
      <c r="AG15" s="18" t="inlineStr">
        <is>
          <t>Explicit comparisons</t>
        </is>
      </c>
      <c r="AH15" s="17" t="n"/>
      <c r="AI15" s="18" t="inlineStr">
        <is>
          <t>Conditions | Defaults | Validation</t>
        </is>
      </c>
      <c r="AJ15" s="18" t="inlineStr">
        <is>
          <t>A: My check treats zero as missing. | B: Zero is falsy, so test for null or undefined instead.</t>
        </is>
      </c>
      <c r="AK15" s="18" t="inlineStr">
        <is>
          <t>✗ An empty array is falsy → ✓ Empty arrays and objects are truthy, so check their length</t>
        </is>
      </c>
      <c r="AL15" s="18" t="inlineStr">
        <is>
          <t>|| vs ??: the first falls back on any falsy value, the second only on null or undefined.</t>
        </is>
      </c>
      <c r="AM15" s="18" t="inlineStr">
        <is>
          <t>Do not use a plain truthy check when zero is a valid value.</t>
        </is>
      </c>
      <c r="AN15" s="19" t="inlineStr">
        <is>
          <t>if (list) { console.log("has items"); }</t>
        </is>
      </c>
      <c r="AO15" s="19" t="inlineStr">
        <is>
          <t>if (list.length &gt; 0) { console.log("has items"); }</t>
        </is>
      </c>
      <c r="AP15" s="18" t="inlineStr">
        <is>
          <t>Zero, empty, null, undefined and NaN fail.</t>
        </is>
      </c>
      <c r="AQ15" s="18" t="inlineStr">
        <is>
          <t>Fixing a discount of zero that was ignored because of a truthy check.</t>
        </is>
      </c>
      <c r="AR15" s="18" t="inlineStr">
        <is>
          <t>An interviewer may ask: Which values are falsy in JavaScript?</t>
        </is>
      </c>
      <c r="AS15" s="18" t="inlineStr">
        <is>
          <t>It is like a list of empty things.</t>
        </is>
      </c>
      <c r="AT15" s="18" t="inlineStr">
        <is>
          <t>Which value is truthy?</t>
        </is>
      </c>
      <c r="AU15" s="18" t="inlineStr">
        <is>
          <t>A) An empty array B) null C) Zero D) An empty string</t>
        </is>
      </c>
      <c r="AV15" s="18" t="inlineStr">
        <is>
          <t>A</t>
        </is>
      </c>
      <c r="AW15" s="18" t="inlineStr">
        <is>
          <t>Arrays are objects and are always truthy.</t>
        </is>
      </c>
      <c r="AX15" s="19" t="inlineStr">
        <is>
          <t>A value that behaves as false in a condition is called ____ → falsy</t>
        </is>
      </c>
      <c r="AY15" s="18" t="inlineStr">
        <is>
          <t>Check that a list has at least one item.</t>
        </is>
      </c>
      <c r="AZ15" s="19" t="inlineStr">
        <is>
          <t>if (list.length &gt; 0) { }</t>
        </is>
      </c>
      <c r="BA15" s="18" t="inlineStr">
        <is>
          <t>List all eight falsy values from memory and test them.</t>
        </is>
      </c>
      <c r="BB15" s="19" t="inlineStr">
        <is>
          <t>Is the string "false" truthy?</t>
        </is>
      </c>
      <c r="BC15" s="19" t="inlineStr">
        <is>
          <t>Yes, any non-empty string is truthy.</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148.5" customHeight="1">
      <c r="A16" s="17" t="inlineStr">
        <is>
          <t>TS-014</t>
        </is>
      </c>
      <c r="B16" s="17" t="inlineStr">
        <is>
          <t>01 JavaScript Core</t>
        </is>
      </c>
      <c r="C16" s="17" t="inlineStr">
        <is>
          <t>Intermediate</t>
        </is>
      </c>
      <c r="D16" s="17" t="n">
        <v>14</v>
      </c>
      <c r="E16" s="17" t="inlineStr">
        <is>
          <t>Claude knowledge</t>
        </is>
      </c>
      <c r="F16" s="18" t="inlineStr">
        <is>
          <t>Error handling basics</t>
        </is>
      </c>
      <c r="G16" s="18" t="inlineStr">
        <is>
          <t>Which statements let your code react to failures instead of crashing?</t>
        </is>
      </c>
      <c r="H16" s="17" t="n"/>
      <c r="I16" s="18" t="inlineStr">
        <is>
          <t>Language concept</t>
        </is>
      </c>
      <c r="J16" s="18" t="inlineStr">
        <is>
          <t>Very high</t>
        </is>
      </c>
      <c r="K16" s="18" t="n">
        <v>5</v>
      </c>
      <c r="L16" s="18" t="inlineStr">
        <is>
          <t>Things fail at run time, such as bad input or missing files, so the language lets you throw and catch errors.</t>
        </is>
      </c>
      <c r="M16" s="18" t="inlineStr">
        <is>
          <t>Throw Error objects, not strings, so you get a stack trace.</t>
        </is>
      </c>
      <c r="N16" s="17" t="n"/>
      <c r="O16" s="18" t="inlineStr">
        <is>
          <t>Try is the safety net under the trapeze, and catch is the person who catches the fall.</t>
        </is>
      </c>
      <c r="P16" s="18" t="inlineStr">
        <is>
          <t>A try block with an arrow jumping to a catch block on failure.</t>
        </is>
      </c>
      <c r="Q16" s="18" t="inlineStr">
        <is>
          <t>The confidence of code that fails gracefully.</t>
        </is>
      </c>
      <c r="R16" s="18" t="inlineStr">
        <is>
          <t>try runs code that may fail, catch handles a thrown error, finally runs either way, and throw raises an error.</t>
        </is>
      </c>
      <c r="S16" s="17" t="n"/>
      <c r="T16" s="19" t="inlineStr">
        <is>
          <t>function parse(text) {
  try {
    return JSON.parse(text);
  } catch (err) {
    console.error("Bad JSON:", err.message);
    return null;
  } finally {
    console.log("done");
  }
}
console.log(parse("{oops"));</t>
        </is>
      </c>
      <c r="U16" s="19" t="inlineStr">
        <is>
          <t>Bad JSON: &lt;a SyntaxError message that varies by Node version&gt;
done
null</t>
        </is>
      </c>
      <c r="V16" s="18" t="inlineStr">
        <is>
          <t>Errors have a name, a message and a stack. Throwing an Error object records where it happened. catch receives whatever was thrown. finally is used for cleanup such as closing a file. Catching too broadly hides bugs, so handle only what you can fix and rethrow the rest. Promises need their own handling.</t>
        </is>
      </c>
      <c r="W16" s="18" t="inlineStr">
        <is>
          <t>Wrap risky code in try, handle problems in catch, and clean up in finally.</t>
        </is>
      </c>
      <c r="X16" s="18" t="inlineStr">
        <is>
          <t>Try is the safety net under the trapeze, and catch is the person who catches the fall.</t>
        </is>
      </c>
      <c r="Y16" s="19" t="inlineStr">
        <is>
          <t>try { } catch (err) { } finally { } | throw new Error("message")</t>
        </is>
      </c>
      <c r="Z16" s="18" t="inlineStr">
        <is>
          <t>try = risky code | catch = handler | finally = always runs | throw = raise error</t>
        </is>
      </c>
      <c r="AA16" s="19" t="inlineStr">
        <is>
          <t>throw new Error("Missing id");</t>
        </is>
      </c>
      <c r="AB16" s="19" t="inlineStr">
        <is>
          <t>if (!(err instanceof TypeError)) throw err;</t>
        </is>
      </c>
      <c r="AC16" s="19" t="inlineStr">
        <is>
          <t>class ApiError extends Error { }</t>
        </is>
      </c>
      <c r="AD16" s="19" t="inlineStr">
        <is>
          <t>new Error("failed", { cause: original })   // keep the original reason</t>
        </is>
      </c>
      <c r="AE16" s="18" t="inlineStr">
        <is>
          <t>JSON.parse, fetch, async code</t>
        </is>
      </c>
      <c r="AF16" s="18" t="inlineStr">
        <is>
          <t>JSON, promises, async and await, logging</t>
        </is>
      </c>
      <c r="AG16" s="18" t="inlineStr">
        <is>
          <t>Result objects | Validation before use</t>
        </is>
      </c>
      <c r="AH16" s="17" t="n"/>
      <c r="AI16" s="18" t="inlineStr">
        <is>
          <t>Parsing | API calls | Input handling</t>
        </is>
      </c>
      <c r="AJ16" s="18" t="inlineStr">
        <is>
          <t>A: The script crashes on bad input. | B: Wrap the parse call in try and catch, and return a clear message.</t>
        </is>
      </c>
      <c r="AK16" s="18" t="inlineStr">
        <is>
          <t>✗ catch blocks should swallow every error silently → ✓ Hidden errors make bugs hard to find, so log or rethrow what you cannot handle</t>
        </is>
      </c>
      <c r="AL16" s="18" t="inlineStr">
        <is>
          <t>catch vs finally: catch handles an error, finally runs regardless.</t>
        </is>
      </c>
      <c r="AM16" s="18" t="inlineStr">
        <is>
          <t>Do not leave a catch block empty.</t>
        </is>
      </c>
      <c r="AN16" s="19" t="inlineStr">
        <is>
          <t>try { risky(); } catch (e) { }</t>
        </is>
      </c>
      <c r="AO16" s="19" t="inlineStr">
        <is>
          <t>try { risky(); } catch (e) { console.error(e); throw e; }</t>
        </is>
      </c>
      <c r="AP16" s="18" t="inlineStr">
        <is>
          <t>Handle what you can, rethrow the rest.</t>
        </is>
      </c>
      <c r="AQ16" s="18" t="inlineStr">
        <is>
          <t>Adding try and catch around JSON parsing stopped a nightly job from crashing.</t>
        </is>
      </c>
      <c r="AR16" s="18" t="inlineStr">
        <is>
          <t>An interviewer may ask: When does finally run?</t>
        </is>
      </c>
      <c r="AS16" s="18" t="inlineStr">
        <is>
          <t>It is like a safety net under a trapeze.</t>
        </is>
      </c>
      <c r="AT16" s="18" t="inlineStr">
        <is>
          <t>Which block always runs after try?</t>
        </is>
      </c>
      <c r="AU16" s="18" t="inlineStr">
        <is>
          <t>A) catch B) return C) finally D) throw</t>
        </is>
      </c>
      <c r="AV16" s="18" t="inlineStr">
        <is>
          <t>C</t>
        </is>
      </c>
      <c r="AW16" s="18" t="inlineStr">
        <is>
          <t>finally runs whether or not an error occurred.</t>
        </is>
      </c>
      <c r="AX16" s="19" t="inlineStr">
        <is>
          <t>Errors are raised with the keyword ____ → throw</t>
        </is>
      </c>
      <c r="AY16" s="18" t="inlineStr">
        <is>
          <t>Throw an error with the message Missing id.</t>
        </is>
      </c>
      <c r="AZ16" s="19" t="inlineStr">
        <is>
          <t>throw new Error("Missing id");</t>
        </is>
      </c>
      <c r="BA16" s="18" t="inlineStr">
        <is>
          <t>Write a function that catches a parse error and returns a default.</t>
        </is>
      </c>
      <c r="BB16" s="19" t="inlineStr">
        <is>
          <t>Why throw an Error object instead of a string?</t>
        </is>
      </c>
      <c r="BC16" s="19" t="inlineStr">
        <is>
          <t>It carries a stack trace.</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row r="17" ht="108" customHeight="1">
      <c r="A17" s="17" t="inlineStr">
        <is>
          <t>TS-015</t>
        </is>
      </c>
      <c r="B17" s="17" t="inlineStr">
        <is>
          <t>01 JavaScript Core</t>
        </is>
      </c>
      <c r="C17" s="17" t="inlineStr">
        <is>
          <t>Beginner</t>
        </is>
      </c>
      <c r="D17" s="17" t="n">
        <v>15</v>
      </c>
      <c r="E17" s="17" t="inlineStr">
        <is>
          <t>Claude knowledge</t>
        </is>
      </c>
      <c r="F17" s="18" t="inlineStr">
        <is>
          <t>JSON</t>
        </is>
      </c>
      <c r="G17" s="18" t="inlineStr">
        <is>
          <t>Which text format moves data between programs, and which two methods convert it?</t>
        </is>
      </c>
      <c r="H17" s="17" t="n"/>
      <c r="I17" s="18" t="inlineStr">
        <is>
          <t>Data format</t>
        </is>
      </c>
      <c r="J17" s="18" t="inlineStr">
        <is>
          <t>Very high</t>
        </is>
      </c>
      <c r="K17" s="18" t="n">
        <v>5</v>
      </c>
      <c r="L17" s="18" t="inlineStr">
        <is>
          <t>Programs needed a simple text format to exchange data, and JavaScript object syntax turned out to be ideal.</t>
        </is>
      </c>
      <c r="M17" s="18" t="inlineStr">
        <is>
          <t>Always wrap JSON.parse in a try block when the text comes from outside.</t>
        </is>
      </c>
      <c r="N17" s="17" t="n"/>
      <c r="O17" s="18" t="inlineStr">
        <is>
          <t>JSON is a shipping box for data, where stringify packs it and parse unpacks it.</t>
        </is>
      </c>
      <c r="P17" s="18" t="inlineStr">
        <is>
          <t>An object turning into text and back again.</t>
        </is>
      </c>
      <c r="Q17" s="18" t="inlineStr">
        <is>
          <t>The ease of sending structured data anywhere.</t>
        </is>
      </c>
      <c r="R17" s="18" t="inlineStr">
        <is>
          <t>JSON is a text format for data, JSON.stringify turns a value into JSON text, and JSON.parse turns JSON text back into a value.</t>
        </is>
      </c>
      <c r="S17" s="17" t="n"/>
      <c r="T17" s="19" t="inlineStr">
        <is>
          <t>const user = { name: "Asha", age: 28, tags: ["a", "b"] };
const text = JSON.stringify(user);
const back = JSON.parse(text);
console.log(text);
console.log(back.tags[1]);
console.log(JSON.stringify(user, null, 2).split("\n").length);</t>
        </is>
      </c>
      <c r="U17" s="19" t="inlineStr">
        <is>
          <t>{"name":"Asha","age":28,"tags":["a","b"]}
b
8</t>
        </is>
      </c>
      <c r="V17" s="18" t="inlineStr">
        <is>
          <t>JSON keys and strings must use double quotes, and it has no comments or trailing commas. It supports objects, arrays, strings, numbers, booleans and null. Functions, undefined and symbols are dropped, and dates become strings. The third argument of stringify adds indentation. parse throws an error on invalid text.</t>
        </is>
      </c>
      <c r="W17" s="18" t="inlineStr">
        <is>
          <t>Stringify to send or save, parse to read it back.</t>
        </is>
      </c>
      <c r="X17" s="18" t="inlineStr">
        <is>
          <t>JSON is a shipping box for data, where stringify packs and parse unpacks.</t>
        </is>
      </c>
      <c r="Y17" s="19" t="inlineStr">
        <is>
          <t>JSON.stringify(value, replacer, space) | JSON.parse(text)</t>
        </is>
      </c>
      <c r="Z17" s="18" t="inlineStr">
        <is>
          <t>stringify = value to text | parse = text to value | space = indent</t>
        </is>
      </c>
      <c r="AA17" s="19" t="inlineStr">
        <is>
          <t>JSON.stringify({ ok: true })</t>
        </is>
      </c>
      <c r="AB17" s="19" t="inlineStr">
        <is>
          <t>JSON.parse("[1, 2, 3]")</t>
        </is>
      </c>
      <c r="AC17" s="19" t="inlineStr">
        <is>
          <t>JSON.stringify(new Date())</t>
        </is>
      </c>
      <c r="AD17" s="19" t="inlineStr">
        <is>
          <t>JSON.parse(text, (k, v) =&gt; v)   // a reviver to transform values</t>
        </is>
      </c>
      <c r="AE17" s="18" t="inlineStr">
        <is>
          <t>fetch, files, APIs</t>
        </is>
      </c>
      <c r="AF17" s="18" t="inlineStr">
        <is>
          <t>objects, error handling, fetch, Node file system</t>
        </is>
      </c>
      <c r="AG17" s="18" t="inlineStr">
        <is>
          <t>YAML | CSV</t>
        </is>
      </c>
      <c r="AH17" s="17" t="n"/>
      <c r="AI17" s="18" t="inlineStr">
        <is>
          <t>APIs | Config files | Storage</t>
        </is>
      </c>
      <c r="AJ17" s="18" t="inlineStr">
        <is>
          <t>A: Why does parse fail on my file? | B: JSON needs double quotes and no trailing commas.</t>
        </is>
      </c>
      <c r="AK17" s="18" t="inlineStr">
        <is>
          <t>✗ JSON.stringify keeps functions and dates as they are → ✓ Functions are dropped and dates become strings</t>
        </is>
      </c>
      <c r="AL17" s="18" t="inlineStr">
        <is>
          <t>JSON vs object: JSON is text, an object is a live value in memory.</t>
        </is>
      </c>
      <c r="AM17" s="18" t="inlineStr">
        <is>
          <t>Do not parse untrusted text without a try block.</t>
        </is>
      </c>
      <c r="AN17" s="19" t="inlineStr">
        <is>
          <t>JSON.parse("{'a': 1}")</t>
        </is>
      </c>
      <c r="AO17" s="19" t="inlineStr">
        <is>
          <t>JSON.parse('{"a": 1}')</t>
        </is>
      </c>
      <c r="AP17" s="18" t="inlineStr">
        <is>
          <t>Double quotes only, no trailing commas.</t>
        </is>
      </c>
      <c r="AQ17" s="18" t="inlineStr">
        <is>
          <t>Logging payloads as JSON made API errors searchable in the log tool.</t>
        </is>
      </c>
      <c r="AR17" s="18" t="inlineStr">
        <is>
          <t>An interviewer may ask: What does JSON.stringify do with undefined values?</t>
        </is>
      </c>
      <c r="AS17" s="18" t="inlineStr">
        <is>
          <t>It is like packing and unpacking a box.</t>
        </is>
      </c>
      <c r="AT17" s="18" t="inlineStr">
        <is>
          <t>Which quotes does JSON require for keys?</t>
        </is>
      </c>
      <c r="AU17" s="18" t="inlineStr">
        <is>
          <t>A) No quotes B) Double quotes C) Single quotes D) Backticks</t>
        </is>
      </c>
      <c r="AV17" s="18" t="inlineStr">
        <is>
          <t>B</t>
        </is>
      </c>
      <c r="AW17" s="18" t="inlineStr">
        <is>
          <t>The format allows only double-quoted strings.</t>
        </is>
      </c>
      <c r="AX17" s="19" t="inlineStr">
        <is>
          <t>Turning a value into JSON text is called ____ → stringify</t>
        </is>
      </c>
      <c r="AY17" s="18" t="inlineStr">
        <is>
          <t>Convert the object user to a JSON string.</t>
        </is>
      </c>
      <c r="AZ17" s="19" t="inlineStr">
        <is>
          <t>JSON.stringify(user)</t>
        </is>
      </c>
      <c r="BA17" s="18" t="inlineStr">
        <is>
          <t>Write a function that safely parses text and returns null on failure.</t>
        </is>
      </c>
      <c r="BB17" s="19" t="inlineStr">
        <is>
          <t>What happens to a function inside an object when stringified?</t>
        </is>
      </c>
      <c r="BC17" s="19" t="inlineStr">
        <is>
          <t>It is dropped.</t>
        </is>
      </c>
      <c r="BD17" s="17">
        <f>IF(K17="","",REPT("★",K17)&amp;REPT("☆",5-K17)&amp;" ("&amp;K17&amp;"/5)")</f>
        <v/>
      </c>
      <c r="BE17" s="17">
        <f>IF(S17="","","Meaning: "&amp;S17&amp;"  =  ______   (Answer: "&amp;F17&amp;")")</f>
        <v/>
      </c>
      <c r="BF17" s="17" t="inlineStr">
        <is>
          <t>New</t>
        </is>
      </c>
      <c r="BG17" s="17" t="n"/>
      <c r="BH17" s="17" t="n"/>
      <c r="BI17" s="17" t="n"/>
      <c r="BJ17" s="17" t="n"/>
      <c r="BK17" s="17" t="n"/>
      <c r="BL17" s="17" t="n"/>
      <c r="BM17" s="17" t="n"/>
      <c r="BN17" s="17" t="n"/>
    </row>
    <row r="18" ht="121.5" customHeight="1">
      <c r="A18" s="17" t="inlineStr">
        <is>
          <t>TS-016</t>
        </is>
      </c>
      <c r="B18" s="17" t="inlineStr">
        <is>
          <t>01 JavaScript Core</t>
        </is>
      </c>
      <c r="C18" s="17" t="inlineStr">
        <is>
          <t>Intermediate</t>
        </is>
      </c>
      <c r="D18" s="17" t="n">
        <v>16</v>
      </c>
      <c r="E18" s="17" t="inlineStr">
        <is>
          <t>Claude knowledge</t>
        </is>
      </c>
      <c r="F18" s="18" t="inlineStr">
        <is>
          <t>Optional chaining and nullish coalescing</t>
        </is>
      </c>
      <c r="G18" s="18" t="inlineStr">
        <is>
          <t>Which two operators safely read nested values and supply defaults?</t>
        </is>
      </c>
      <c r="H18" s="17" t="n"/>
      <c r="I18" s="18" t="inlineStr">
        <is>
          <t>Operator</t>
        </is>
      </c>
      <c r="J18" s="18" t="inlineStr">
        <is>
          <t>High</t>
        </is>
      </c>
      <c r="K18" s="18" t="n">
        <v>5</v>
      </c>
      <c r="L18" s="18" t="inlineStr">
        <is>
          <t>Deep objects from APIs often miss fields, so shorthand operators were added to avoid long chains of existence checks.</t>
        </is>
      </c>
      <c r="M18" s="18" t="inlineStr">
        <is>
          <t>Use the nullish operator for defaults, because zero and empty text stay valid.</t>
        </is>
      </c>
      <c r="N18" s="17" t="n"/>
      <c r="O18" s="18" t="inlineStr">
        <is>
          <t>Optional chaining is asking politely before opening each drawer, and nullish coalescing is the spare item if the drawer is empty.</t>
        </is>
      </c>
      <c r="P18" s="18" t="inlineStr">
        <is>
          <t>A path through nested boxes that stops safely at an empty one.</t>
        </is>
      </c>
      <c r="Q18" s="18" t="inlineStr">
        <is>
          <t>The relief of no more cannot read property errors.</t>
        </is>
      </c>
      <c r="R18" s="18" t="inlineStr">
        <is>
          <t>Optional chaining stops and returns undefined if a value in the chain is null or undefined, and nullish coalescing gives a fallback only for null or undefined.</t>
        </is>
      </c>
      <c r="S18" s="17" t="n"/>
      <c r="T18" s="19" t="inlineStr">
        <is>
          <t>const user = { profile: { city: "Pune" }, score: 0 };
console.log(user.profile?.city);
console.log(user.address?.street);
console.log(user.score ?? 10);
console.log(user.score || 10);
console.log(user.getName?.());</t>
        </is>
      </c>
      <c r="U18" s="19" t="inlineStr">
        <is>
          <t>Pune
undefined
0
10
undefined</t>
        </is>
      </c>
      <c r="V18" s="18" t="inlineStr">
        <is>
          <t>Without optional chaining, reading a property of undefined throws an error. The question dot form also works for calls and array indexes. The nullish operator differs from the or operator, which treats zero and empty text as missing. Combining them gives safe reads with defaults.</t>
        </is>
      </c>
      <c r="W18" s="18" t="inlineStr">
        <is>
          <t>Use ?. to read safely and ?? to set a default that respects zero.</t>
        </is>
      </c>
      <c r="X18" s="18" t="inlineStr">
        <is>
          <t>Optional chaining is asking politely before opening each drawer.</t>
        </is>
      </c>
      <c r="Y18" s="19" t="inlineStr">
        <is>
          <t>obj?.prop | obj?.[key] | fn?.() | value ?? fallback</t>
        </is>
      </c>
      <c r="Z18" s="18" t="inlineStr">
        <is>
          <t>?. = stop if missing | ?? = default for null or undefined</t>
        </is>
      </c>
      <c r="AA18" s="19" t="inlineStr">
        <is>
          <t>const city = order?.customer?.address?.city ?? "unknown";</t>
        </is>
      </c>
      <c r="AB18" s="19" t="inlineStr">
        <is>
          <t>items?.[0]</t>
        </is>
      </c>
      <c r="AC18" s="19" t="inlineStr">
        <is>
          <t>callback?.(result)</t>
        </is>
      </c>
      <c r="AD18" s="19" t="inlineStr">
        <is>
          <t>settings.retries ??= 3;   // assign only if null or undefined</t>
        </is>
      </c>
      <c r="AE18" s="18" t="inlineStr">
        <is>
          <t>API data, configuration, destructuring</t>
        </is>
      </c>
      <c r="AF18" s="18" t="inlineStr">
        <is>
          <t>truthiness, objects, error handling, TypeScript</t>
        </is>
      </c>
      <c r="AG18" s="18" t="inlineStr">
        <is>
          <t>Long and chains | lodash get</t>
        </is>
      </c>
      <c r="AH18" s="17" t="n"/>
      <c r="AI18" s="18" t="inlineStr">
        <is>
          <t>API responses | Configuration | Optional callbacks</t>
        </is>
      </c>
      <c r="AJ18" s="18" t="inlineStr">
        <is>
          <t>A: The page crashes when a user has no address. | B: Use optional chaining to read the street.</t>
        </is>
      </c>
      <c r="AK18" s="18" t="inlineStr">
        <is>
          <t>✗ The or operator and the nullish operator are the same → ✓ The or operator also replaces zero and empty text</t>
        </is>
      </c>
      <c r="AL18" s="18" t="inlineStr">
        <is>
          <t>?? vs ||: ?? checks only null and undefined, || checks every falsy value.</t>
        </is>
      </c>
      <c r="AM18" s="18" t="inlineStr">
        <is>
          <t>Do not chain optional access on values that must exist.</t>
        </is>
      </c>
      <c r="AN18" s="19" t="inlineStr">
        <is>
          <t>const limit = config.limit || 10;   // wrong when limit is 0</t>
        </is>
      </c>
      <c r="AO18" s="19" t="inlineStr">
        <is>
          <t>const limit = config.limit ?? 10;</t>
        </is>
      </c>
      <c r="AP18" s="18" t="inlineStr">
        <is>
          <t>Double question mark spares the zero.</t>
        </is>
      </c>
      <c r="AQ18" s="18" t="inlineStr">
        <is>
          <t>Optional chaining removed crashes from half-filled customer records.</t>
        </is>
      </c>
      <c r="AR18" s="18" t="inlineStr">
        <is>
          <t>An interviewer may ask: When would you use nullish coalescing instead of or?</t>
        </is>
      </c>
      <c r="AS18" s="18" t="inlineStr">
        <is>
          <t>It is like asking before opening each drawer.</t>
        </is>
      </c>
      <c r="AT18" s="18" t="inlineStr">
        <is>
          <t>When does optional chaining return undefined?</t>
        </is>
      </c>
      <c r="AU18" s="18" t="inlineStr">
        <is>
          <t>A) Always B) Only for arrays C) Never D) When a link in the chain is null or undefined</t>
        </is>
      </c>
      <c r="AV18" s="18" t="inlineStr">
        <is>
          <t>D</t>
        </is>
      </c>
      <c r="AW18" s="18" t="inlineStr">
        <is>
          <t>It stops safely at a missing value.</t>
        </is>
      </c>
      <c r="AX18" s="19" t="inlineStr">
        <is>
          <t>A fallback only for null or undefined uses the operator ____ → ??</t>
        </is>
      </c>
      <c r="AY18" s="18" t="inlineStr">
        <is>
          <t>Read the city safely from user.address.</t>
        </is>
      </c>
      <c r="AZ18" s="19" t="inlineStr">
        <is>
          <t>user.address?.city</t>
        </is>
      </c>
      <c r="BA18" s="18" t="inlineStr">
        <is>
          <t>Write a safe read with a default for a deeply nested field.</t>
        </is>
      </c>
      <c r="BB18" s="19" t="inlineStr">
        <is>
          <t>What does 0 ?? 5 return?</t>
        </is>
      </c>
      <c r="BC18" s="19" t="inlineStr">
        <is>
          <t>0</t>
        </is>
      </c>
      <c r="BD18" s="17">
        <f>IF(K18="","",REPT("★",K18)&amp;REPT("☆",5-K18)&amp;" ("&amp;K18&amp;"/5)")</f>
        <v/>
      </c>
      <c r="BE18" s="17">
        <f>IF(S18="","","Meaning: "&amp;S18&amp;"  =  ______   (Answer: "&amp;F18&amp;")")</f>
        <v/>
      </c>
      <c r="BF18" s="17" t="inlineStr">
        <is>
          <t>New</t>
        </is>
      </c>
      <c r="BG18" s="17" t="n"/>
      <c r="BH18" s="17" t="n"/>
      <c r="BI18" s="17" t="n"/>
      <c r="BJ18" s="17" t="n"/>
      <c r="BK18" s="17" t="n"/>
      <c r="BL18" s="17" t="n"/>
      <c r="BM18" s="17" t="n"/>
      <c r="BN18" s="17" t="n"/>
    </row>
    <row r="19" ht="108" customHeight="1">
      <c r="A19" s="17" t="inlineStr">
        <is>
          <t>TS-017</t>
        </is>
      </c>
      <c r="B19" s="17" t="inlineStr">
        <is>
          <t>01 JavaScript Core</t>
        </is>
      </c>
      <c r="C19" s="17" t="inlineStr">
        <is>
          <t>Intermediate</t>
        </is>
      </c>
      <c r="D19" s="17" t="n">
        <v>17</v>
      </c>
      <c r="E19" s="17" t="inlineStr">
        <is>
          <t>Claude knowledge</t>
        </is>
      </c>
      <c r="F19" s="18" t="inlineStr">
        <is>
          <t>Map and Set</t>
        </is>
      </c>
      <c r="G19" s="18" t="inlineStr">
        <is>
          <t>Which built-in collections store key-value pairs and unique values?</t>
        </is>
      </c>
      <c r="H19" s="17" t="n"/>
      <c r="I19" s="18" t="inlineStr">
        <is>
          <t>Data structure</t>
        </is>
      </c>
      <c r="J19" s="18" t="inlineStr">
        <is>
          <t>Medium</t>
        </is>
      </c>
      <c r="K19" s="18" t="n">
        <v>4</v>
      </c>
      <c r="L19" s="18" t="inlineStr">
        <is>
          <t>Plain objects have limits as dictionaries, and arrays allow duplicates, so Map and Set were added.</t>
        </is>
      </c>
      <c r="M19" s="18" t="inlineStr">
        <is>
          <t>Use Set to remove duplicates in one line.</t>
        </is>
      </c>
      <c r="N19" s="17" t="n"/>
      <c r="O19" s="18" t="inlineStr">
        <is>
          <t>A Map is a labelled locker room with any key as a label, and a Set is a guest list that never repeats a name.</t>
        </is>
      </c>
      <c r="P19" s="18" t="inlineStr">
        <is>
          <t>A grid of keyed boxes beside a bag of unique items.</t>
        </is>
      </c>
      <c r="Q19" s="18" t="inlineStr">
        <is>
          <t>The satisfaction of deduplicating data in one line.</t>
        </is>
      </c>
      <c r="R19" s="18" t="inlineStr">
        <is>
          <t>A Map stores key and value pairs where keys can be any type and order is kept, and a Set stores unique values.</t>
        </is>
      </c>
      <c r="S19" s="17" t="n"/>
      <c r="T19" s="19" t="inlineStr">
        <is>
          <t>const seen = new Set([1, 2, 2, 3, 3]);
console.log([...seen], seen.size);
const lookup = new Map();
lookup.set("a", 1).set(42, "answer");
console.log(lookup.get(42), lookup.has("a"), lookup.size);</t>
        </is>
      </c>
      <c r="U19" s="19" t="inlineStr">
        <is>
          <t>[ 1, 2, 3 ] 3
answer true 2</t>
        </is>
      </c>
      <c r="V19" s="18" t="inlineStr">
        <is>
          <t>Maps accept any key, including objects, and keep insertion order. Sets compare values with the same-value-zero rule, so each value appears once. Both have size and iterate in insertion order. Looking up in a Set or Map is fast even for large collections. WeakMap and WeakSet hold keys without blocking garbage collection.</t>
        </is>
      </c>
      <c r="W19" s="18" t="inlineStr">
        <is>
          <t>Set removes duplicates, Map is a flexible dictionary.</t>
        </is>
      </c>
      <c r="X19" s="18" t="inlineStr">
        <is>
          <t>A Map is a locker room with any label, and a Set is a guest list that never repeats a name.</t>
        </is>
      </c>
      <c r="Y19" s="19" t="inlineStr">
        <is>
          <t>new Map() | new Set(iterable)</t>
        </is>
      </c>
      <c r="Z19" s="18" t="inlineStr">
        <is>
          <t>set/get/has/delete = Map methods | add/has/delete = Set methods | size = count</t>
        </is>
      </c>
      <c r="AA19" s="19" t="inlineStr">
        <is>
          <t>const unique = [...new Set(emails)];</t>
        </is>
      </c>
      <c r="AB19" s="19" t="inlineStr">
        <is>
          <t>const counts = new Map(); counts.set(word, (counts.get(word) ?? 0) + 1);</t>
        </is>
      </c>
      <c r="AC19" s="19" t="inlineStr">
        <is>
          <t>for (const [k, v] of lookup) { }</t>
        </is>
      </c>
      <c r="AD19" s="19" t="inlineStr">
        <is>
          <t>new Map(Object.entries(obj))   // build a Map from an object</t>
        </is>
      </c>
      <c r="AE19" s="18" t="inlineStr">
        <is>
          <t>arrays, loops, caching</t>
        </is>
      </c>
      <c r="AF19" s="18" t="inlineStr">
        <is>
          <t>objects, arrays, array methods, caching</t>
        </is>
      </c>
      <c r="AG19" s="18" t="inlineStr">
        <is>
          <t>Plain objects | arrays with includes</t>
        </is>
      </c>
      <c r="AH19" s="17" t="n"/>
      <c r="AI19" s="18" t="inlineStr">
        <is>
          <t>Deduplication | Counting | Caches</t>
        </is>
      </c>
      <c r="AJ19" s="18" t="inlineStr">
        <is>
          <t>A: How do I remove duplicate IDs from a list? | B: Pass it through a Set and spread it back.</t>
        </is>
      </c>
      <c r="AK19" s="18" t="inlineStr">
        <is>
          <t>✗ Plain objects are always the best dictionary → ✓ Maps allow any key type and keep a reliable size and order</t>
        </is>
      </c>
      <c r="AL19" s="18" t="inlineStr">
        <is>
          <t>Map vs object: Map accepts any key and has size, objects use string keys.</t>
        </is>
      </c>
      <c r="AM19" s="18" t="inlineStr">
        <is>
          <t>Do not use a Set for items that need ordering by value.</t>
        </is>
      </c>
      <c r="AN19" s="19" t="inlineStr">
        <is>
          <t>const unique = list.filter(x =&gt; list.indexOf(x));</t>
        </is>
      </c>
      <c r="AO19" s="19" t="inlineStr">
        <is>
          <t>const unique = [...new Set(list)];</t>
        </is>
      </c>
      <c r="AP19" s="18" t="inlineStr">
        <is>
          <t>Set keeps one, Map keeps pairs.</t>
        </is>
      </c>
      <c r="AQ19" s="18" t="inlineStr">
        <is>
          <t>Using a Set removed duplicate customer ids from a large import in seconds.</t>
        </is>
      </c>
      <c r="AR19" s="18" t="inlineStr">
        <is>
          <t>An interviewer may ask: How would you remove duplicates from an array?</t>
        </is>
      </c>
      <c r="AS19" s="18" t="inlineStr">
        <is>
          <t>It is like a guest list that never repeats a name.</t>
        </is>
      </c>
      <c r="AT19" s="18" t="inlineStr">
        <is>
          <t>Which collection keeps only unique values?</t>
        </is>
      </c>
      <c r="AU19" s="18" t="inlineStr">
        <is>
          <t>A) Set B) Map C) Array D) Object</t>
        </is>
      </c>
      <c r="AV19" s="18" t="inlineStr">
        <is>
          <t>A</t>
        </is>
      </c>
      <c r="AW19" s="18" t="inlineStr">
        <is>
          <t>A Set ignores values that are already present.</t>
        </is>
      </c>
      <c r="AX19" s="19" t="inlineStr">
        <is>
          <t>A collection of key and value pairs with any key type is a ____ → Map</t>
        </is>
      </c>
      <c r="AY19" s="18" t="inlineStr">
        <is>
          <t>Remove duplicates from the array ids.</t>
        </is>
      </c>
      <c r="AZ19" s="19" t="inlineStr">
        <is>
          <t>const unique = [...new Set(ids)];</t>
        </is>
      </c>
      <c r="BA19" s="18" t="inlineStr">
        <is>
          <t>Count word frequencies in a list using a Map.</t>
        </is>
      </c>
      <c r="BB19" s="19" t="inlineStr">
        <is>
          <t>Which has a size property, an object or a Map?</t>
        </is>
      </c>
      <c r="BC19" s="19" t="inlineStr">
        <is>
          <t>A Map has size, and objects do not.</t>
        </is>
      </c>
      <c r="BD19" s="17">
        <f>IF(K19="","",REPT("★",K19)&amp;REPT("☆",5-K19)&amp;" ("&amp;K19&amp;"/5)")</f>
        <v/>
      </c>
      <c r="BE19" s="17">
        <f>IF(S19="","","Meaning: "&amp;S19&amp;"  =  ______   (Answer: "&amp;F19&amp;")")</f>
        <v/>
      </c>
      <c r="BF19" s="17" t="inlineStr">
        <is>
          <t>New</t>
        </is>
      </c>
      <c r="BG19" s="17" t="n"/>
      <c r="BH19" s="17" t="n"/>
      <c r="BI19" s="17" t="n"/>
      <c r="BJ19" s="17" t="n"/>
      <c r="BK19" s="17" t="n"/>
      <c r="BL19" s="17" t="n"/>
      <c r="BM19" s="17" t="n"/>
      <c r="BN19" s="17" t="n"/>
    </row>
    <row r="20" ht="121.5" customHeight="1">
      <c r="A20" s="17" t="inlineStr">
        <is>
          <t>TS-018</t>
        </is>
      </c>
      <c r="B20" s="17" t="inlineStr">
        <is>
          <t>02 Async JavaScript</t>
        </is>
      </c>
      <c r="C20" s="17" t="inlineStr">
        <is>
          <t>Beginner</t>
        </is>
      </c>
      <c r="D20" s="17" t="n">
        <v>18</v>
      </c>
      <c r="E20" s="17" t="inlineStr">
        <is>
          <t>Claude knowledge</t>
        </is>
      </c>
      <c r="F20" s="18" t="inlineStr">
        <is>
          <t>Callbacks</t>
        </is>
      </c>
      <c r="G20" s="18" t="inlineStr">
        <is>
          <t>Which functions are passed to other code to be called later?</t>
        </is>
      </c>
      <c r="H20" s="17" t="n"/>
      <c r="I20" s="18" t="inlineStr">
        <is>
          <t>Async pattern</t>
        </is>
      </c>
      <c r="J20" s="18" t="inlineStr">
        <is>
          <t>High</t>
        </is>
      </c>
      <c r="K20" s="18" t="n">
        <v>4</v>
      </c>
      <c r="L20" s="18" t="inlineStr">
        <is>
          <t>Some work, such as timers and file reads, takes time, so JavaScript lets you hand over a function to run when the work finishes.</t>
        </is>
      </c>
      <c r="M20" s="18" t="inlineStr">
        <is>
          <t>Handle the error argument first in Node style callbacks.</t>
        </is>
      </c>
      <c r="N20" s="17" t="n"/>
      <c r="O20" s="18" t="inlineStr">
        <is>
          <t>A callback is leaving your phone number so the shop calls you when the order is ready.</t>
        </is>
      </c>
      <c r="P20" s="18" t="inlineStr">
        <is>
          <t>A request going out and a function coming back later.</t>
        </is>
      </c>
      <c r="Q20" s="18" t="inlineStr">
        <is>
          <t>The understanding of how waiting works without freezing.</t>
        </is>
      </c>
      <c r="R20" s="18" t="inlineStr">
        <is>
          <t>A callback is a function passed as an argument that the receiving code calls when its work is done or an event occurs.</t>
        </is>
      </c>
      <c r="S20" s="17" t="n"/>
      <c r="T20" s="19" t="inlineStr">
        <is>
          <t>function loadUser(id, done) {
  setTimeout(() =&gt; done(null, { id, name: "Asha" }), 100);
}
loadUser(1, (err, user) =&gt; {
  if (err) return console.error(err);
  console.log("loaded", user.name);
});
console.log("waiting");</t>
        </is>
      </c>
      <c r="U20" s="19" t="inlineStr">
        <is>
          <t>waiting
loaded Asha</t>
        </is>
      </c>
      <c r="V20" s="18" t="inlineStr">
        <is>
          <t>The last line prints first, because the timer runs later and the main code continues. Node style callbacks pass an error first and the result second. Nesting many callbacks leads to code that drifts to the right, called callback hell. Promises and async functions solve that problem.</t>
        </is>
      </c>
      <c r="W20" s="18" t="inlineStr">
        <is>
          <t>Give a function to be called when work finishes, and expect it to run later.</t>
        </is>
      </c>
      <c r="X20" s="18" t="inlineStr">
        <is>
          <t>A callback is leaving your phone number so the shop calls when your order is ready.</t>
        </is>
      </c>
      <c r="Y20" s="19" t="inlineStr">
        <is>
          <t>doWork(arg, (err, result) =&gt; { ... })</t>
        </is>
      </c>
      <c r="Z20" s="18" t="inlineStr">
        <is>
          <t>callback = function passed in | err = first argument | result = second argument</t>
        </is>
      </c>
      <c r="AA20" s="19" t="inlineStr">
        <is>
          <t>array.forEach(item =&gt; console.log(item));</t>
        </is>
      </c>
      <c r="AB20" s="19" t="inlineStr">
        <is>
          <t>button.addEventListener("click", () =&gt; save());</t>
        </is>
      </c>
      <c r="AC20" s="19" t="inlineStr">
        <is>
          <t>fs.readFile(path, "utf8", (err, text) =&gt; { });</t>
        </is>
      </c>
      <c r="AD20" s="19" t="inlineStr">
        <is>
          <t>setInterval(() =&gt; tick(), 1000);   // repeat a callback</t>
        </is>
      </c>
      <c r="AE20" s="18" t="inlineStr">
        <is>
          <t>timers, events, Node APIs</t>
        </is>
      </c>
      <c r="AF20" s="18" t="inlineStr">
        <is>
          <t>promises, async and await, event loop, timers</t>
        </is>
      </c>
      <c r="AG20" s="18" t="inlineStr">
        <is>
          <t>Promises | async and await</t>
        </is>
      </c>
      <c r="AH20" s="17" t="n"/>
      <c r="AI20" s="18" t="inlineStr">
        <is>
          <t>Events | Timers | Older Node APIs</t>
        </is>
      </c>
      <c r="AJ20" s="18" t="inlineStr">
        <is>
          <t>A: Why does my code after the call run before the result? | B: The callback runs later, so use the result inside it.</t>
        </is>
      </c>
      <c r="AK20" s="18" t="inlineStr">
        <is>
          <t>✗ Callbacks always run asynchronously → ✓ Some, such as the ones in forEach, run immediately</t>
        </is>
      </c>
      <c r="AL20" s="18" t="inlineStr">
        <is>
          <t>Callback vs promise: a callback is passed in, a promise is returned.</t>
        </is>
      </c>
      <c r="AM20" s="18" t="inlineStr">
        <is>
          <t>Do not nest many levels of callbacks.</t>
        </is>
      </c>
      <c r="AN20" s="19" t="inlineStr">
        <is>
          <t>let user; loadUser(1, u =&gt; { user = u; }); console.log(user.name);</t>
        </is>
      </c>
      <c r="AO20" s="19" t="inlineStr">
        <is>
          <t>loadUser(1, u =&gt; { console.log(u.name); });</t>
        </is>
      </c>
      <c r="AP20" s="18" t="inlineStr">
        <is>
          <t>Use the result inside the callback.</t>
        </is>
      </c>
      <c r="AQ20" s="18" t="inlineStr">
        <is>
          <t>Replacing nested callbacks with promises made an import script readable.</t>
        </is>
      </c>
      <c r="AR20" s="18" t="inlineStr">
        <is>
          <t>An interviewer may ask: What is callback hell?</t>
        </is>
      </c>
      <c r="AS20" s="18" t="inlineStr">
        <is>
          <t>It is like leaving a phone number at a shop.</t>
        </is>
      </c>
      <c r="AT20" s="18" t="inlineStr">
        <is>
          <t>When does a timer callback run?</t>
        </is>
      </c>
      <c r="AU20" s="18" t="inlineStr">
        <is>
          <t>A) Before the code B) Later, after the current code finishes C) Immediately D) Never</t>
        </is>
      </c>
      <c r="AV20" s="18" t="inlineStr">
        <is>
          <t>B</t>
        </is>
      </c>
      <c r="AW20" s="18" t="inlineStr">
        <is>
          <t>Callbacks wait for the event loop.</t>
        </is>
      </c>
      <c r="AX20" s="19" t="inlineStr">
        <is>
          <t>In Node style callbacks the first argument is the ____ → error</t>
        </is>
      </c>
      <c r="AY20" s="18" t="inlineStr">
        <is>
          <t>Run a function after one second.</t>
        </is>
      </c>
      <c r="AZ20" s="19" t="inlineStr">
        <is>
          <t>setTimeout(() =&gt; run(), 1000);</t>
        </is>
      </c>
      <c r="BA20" s="18" t="inlineStr">
        <is>
          <t>Write a function that takes a callback and calls it with a result.</t>
        </is>
      </c>
      <c r="BB20" s="19" t="inlineStr">
        <is>
          <t>Why does the line after the call print first?</t>
        </is>
      </c>
      <c r="BC20" s="19" t="inlineStr">
        <is>
          <t>The callback is scheduled to run later.</t>
        </is>
      </c>
      <c r="BD20" s="17">
        <f>IF(K20="","",REPT("★",K20)&amp;REPT("☆",5-K20)&amp;" ("&amp;K20&amp;"/5)")</f>
        <v/>
      </c>
      <c r="BE20" s="17">
        <f>IF(S20="","","Meaning: "&amp;S20&amp;"  =  ______   (Answer: "&amp;F20&amp;")")</f>
        <v/>
      </c>
      <c r="BF20" s="17" t="inlineStr">
        <is>
          <t>New</t>
        </is>
      </c>
      <c r="BG20" s="17" t="n"/>
      <c r="BH20" s="17" t="n"/>
      <c r="BI20" s="17" t="n"/>
      <c r="BJ20" s="17" t="n"/>
      <c r="BK20" s="17" t="n"/>
      <c r="BL20" s="17" t="n"/>
      <c r="BM20" s="17" t="n"/>
      <c r="BN20" s="17" t="n"/>
    </row>
    <row r="21" ht="121.5" customHeight="1">
      <c r="A21" s="17" t="inlineStr">
        <is>
          <t>TS-019</t>
        </is>
      </c>
      <c r="B21" s="17" t="inlineStr">
        <is>
          <t>02 Async JavaScript</t>
        </is>
      </c>
      <c r="C21" s="17" t="inlineStr">
        <is>
          <t>Intermediate</t>
        </is>
      </c>
      <c r="D21" s="17" t="n">
        <v>19</v>
      </c>
      <c r="E21" s="17" t="inlineStr">
        <is>
          <t>Claude knowledge</t>
        </is>
      </c>
      <c r="F21" s="18" t="inlineStr">
        <is>
          <t>Promises</t>
        </is>
      </c>
      <c r="G21" s="18" t="inlineStr">
        <is>
          <t>Which objects represent a value that will arrive later, or an error?</t>
        </is>
      </c>
      <c r="H21" s="17" t="n"/>
      <c r="I21" s="18" t="inlineStr">
        <is>
          <t>Async pattern</t>
        </is>
      </c>
      <c r="J21" s="18" t="inlineStr">
        <is>
          <t>Very high</t>
        </is>
      </c>
      <c r="K21" s="18" t="n">
        <v>5</v>
      </c>
      <c r="L21" s="18" t="inlineStr">
        <is>
          <t>Callbacks became tangled, so promises gave a single object to chain and handle results and errors in order.</t>
        </is>
      </c>
      <c r="M21" s="18" t="inlineStr">
        <is>
          <t>Always return the promise from a then handler to keep chains flat.</t>
        </is>
      </c>
      <c r="N21" s="17" t="n"/>
      <c r="O21" s="18" t="inlineStr">
        <is>
          <t>A promise is a restaurant buzzer that will light up with food or with an apology.</t>
        </is>
      </c>
      <c r="P21" s="18" t="inlineStr">
        <is>
          <t>A box that is pending, then filled with a value or an error.</t>
        </is>
      </c>
      <c r="Q21" s="18" t="inlineStr">
        <is>
          <t>The relief of flat, readable async chains.</t>
        </is>
      </c>
      <c r="R21" s="18" t="inlineStr">
        <is>
          <t>A promise is an object that is pending until it becomes fulfilled with a value or rejected with an error, and then and catch react to the outcome.</t>
        </is>
      </c>
      <c r="S21" s="17" t="n"/>
      <c r="T21" s="19" t="inlineStr">
        <is>
          <t>const wait = ms =&gt; new Promise(resolve =&gt; setTimeout(resolve, ms));
wait(100)
  .then(() =&gt; 42)
  .then(n =&gt; { console.log(n); return n * 2; })
  .then(n =&gt; console.log(n))
  .catch(err =&gt; console.error(err))
  .finally(() =&gt; console.log("done"));</t>
        </is>
      </c>
      <c r="U21" s="19" t="inlineStr">
        <is>
          <t>42
84
done</t>
        </is>
      </c>
      <c r="V21" s="18" t="inlineStr">
        <is>
          <t>A promise has three states: pending, fulfilled and rejected. Each then returns a new promise, so chains pass values forward. A thrown error or rejection skips to the next catch. finally runs in both cases. Callbacks passed to then always run asynchronously, after current code finishes.</t>
        </is>
      </c>
      <c r="W21" s="18" t="inlineStr">
        <is>
          <t>A promise is a placeholder for a future value, and then and catch handle the result.</t>
        </is>
      </c>
      <c r="X21" s="18" t="inlineStr">
        <is>
          <t>A promise is a restaurant buzzer that lights up with food or an apology.</t>
        </is>
      </c>
      <c r="Y21" s="19" t="inlineStr">
        <is>
          <t>new Promise((resolve, reject) =&gt; { ... }) | p.then(fn).catch(fn)</t>
        </is>
      </c>
      <c r="Z21" s="18" t="inlineStr">
        <is>
          <t>resolve = success | reject = failure | then = on success | catch = on failure</t>
        </is>
      </c>
      <c r="AA21" s="19" t="inlineStr">
        <is>
          <t>Promise.resolve(5).then(x =&gt; x + 1);</t>
        </is>
      </c>
      <c r="AB21" s="19" t="inlineStr">
        <is>
          <t>Promise.reject(new Error("bad")).catch(e =&gt; e.message);</t>
        </is>
      </c>
      <c r="AC21" s="19" t="inlineStr">
        <is>
          <t>fetch(url).then(r =&gt; r.json());</t>
        </is>
      </c>
      <c r="AD21" s="19" t="inlineStr">
        <is>
          <t>Promise.allSettled([p1, p2])   // wait for all, success or failure</t>
        </is>
      </c>
      <c r="AE21" s="18" t="inlineStr">
        <is>
          <t>fetch, async and await, timers</t>
        </is>
      </c>
      <c r="AF21" s="18" t="inlineStr">
        <is>
          <t>callbacks, async and await, Promise.all, error handling</t>
        </is>
      </c>
      <c r="AG21" s="18" t="inlineStr">
        <is>
          <t>Callbacks | async and await</t>
        </is>
      </c>
      <c r="AH21" s="17" t="n"/>
      <c r="AI21" s="18" t="inlineStr">
        <is>
          <t>Network calls | File work | Libraries</t>
        </is>
      </c>
      <c r="AJ21" s="18" t="inlineStr">
        <is>
          <t>A: My then handler gets undefined. | B: The previous step did not return a value.</t>
        </is>
      </c>
      <c r="AK21" s="18" t="inlineStr">
        <is>
          <t>✗ A then handler runs immediately when attached → ✓ It always runs later, after the current code finishes</t>
        </is>
      </c>
      <c r="AL21" s="18" t="inlineStr">
        <is>
          <t>then vs catch: then handles success, catch handles errors.</t>
        </is>
      </c>
      <c r="AM21" s="18" t="inlineStr">
        <is>
          <t>Do not forget to return inside then.</t>
        </is>
      </c>
      <c r="AN21" s="19" t="inlineStr">
        <is>
          <t>p.then(x =&gt; { x * 2; }).then(y =&gt; console.log(y));</t>
        </is>
      </c>
      <c r="AO21" s="19" t="inlineStr">
        <is>
          <t>p.then(x =&gt; x * 2).then(y =&gt; console.log(y));</t>
        </is>
      </c>
      <c r="AP21" s="18" t="inlineStr">
        <is>
          <t>Return inside then to pass it on.</t>
        </is>
      </c>
      <c r="AQ21" s="18" t="inlineStr">
        <is>
          <t>Converting callback code to promise chains cut an import script's nesting.</t>
        </is>
      </c>
      <c r="AR21" s="18" t="inlineStr">
        <is>
          <t>An interviewer may ask: What are the three states of a promise?</t>
        </is>
      </c>
      <c r="AS21" s="18" t="inlineStr">
        <is>
          <t>It is like a buzzer at a restaurant.</t>
        </is>
      </c>
      <c r="AT21" s="18" t="inlineStr">
        <is>
          <t>What are the promise states?</t>
        </is>
      </c>
      <c r="AU21" s="18" t="inlineStr">
        <is>
          <t>A) Start, middle and end B) Open and closed C) Hot and cold D) Pending, fulfilled and rejected</t>
        </is>
      </c>
      <c r="AV21" s="18" t="inlineStr">
        <is>
          <t>D</t>
        </is>
      </c>
      <c r="AW21" s="18" t="inlineStr">
        <is>
          <t>Those are the three defined states.</t>
        </is>
      </c>
      <c r="AX21" s="19" t="inlineStr">
        <is>
          <t>A promise that failed is said to be ____ → rejected</t>
        </is>
      </c>
      <c r="AY21" s="18" t="inlineStr">
        <is>
          <t>Create a promise that resolves with 5.</t>
        </is>
      </c>
      <c r="AZ21" s="19" t="inlineStr">
        <is>
          <t>Promise.resolve(5)</t>
        </is>
      </c>
      <c r="BA21" s="18" t="inlineStr">
        <is>
          <t>Write a chain that doubles a number twice and logs it.</t>
        </is>
      </c>
      <c r="BB21" s="19" t="inlineStr">
        <is>
          <t>What does finally do?</t>
        </is>
      </c>
      <c r="BC21" s="19" t="inlineStr">
        <is>
          <t>It runs whether the promise succeeded or failed.</t>
        </is>
      </c>
      <c r="BD21" s="17">
        <f>IF(K21="","",REPT("★",K21)&amp;REPT("☆",5-K21)&amp;" ("&amp;K21&amp;"/5)")</f>
        <v/>
      </c>
      <c r="BE21" s="17">
        <f>IF(S21="","","Meaning: "&amp;S21&amp;"  =  ______   (Answer: "&amp;F21&amp;")")</f>
        <v/>
      </c>
      <c r="BF21" s="17" t="inlineStr">
        <is>
          <t>New</t>
        </is>
      </c>
      <c r="BG21" s="17" t="n"/>
      <c r="BH21" s="17" t="n"/>
      <c r="BI21" s="17" t="n"/>
      <c r="BJ21" s="17" t="n"/>
      <c r="BK21" s="17" t="n"/>
      <c r="BL21" s="17" t="n"/>
      <c r="BM21" s="17" t="n"/>
      <c r="BN21" s="17" t="n"/>
    </row>
    <row r="22" ht="162" customHeight="1">
      <c r="A22" s="17" t="inlineStr">
        <is>
          <t>TS-020</t>
        </is>
      </c>
      <c r="B22" s="17" t="inlineStr">
        <is>
          <t>02 Async JavaScript</t>
        </is>
      </c>
      <c r="C22" s="17" t="inlineStr">
        <is>
          <t>Intermediate</t>
        </is>
      </c>
      <c r="D22" s="17" t="n">
        <v>20</v>
      </c>
      <c r="E22" s="17" t="inlineStr">
        <is>
          <t>Claude knowledge</t>
        </is>
      </c>
      <c r="F22" s="18" t="inlineStr">
        <is>
          <t>async and await</t>
        </is>
      </c>
      <c r="G22" s="18" t="inlineStr">
        <is>
          <t>Which syntax lets you write promise code that reads like normal steps?</t>
        </is>
      </c>
      <c r="H22" s="17" t="n"/>
      <c r="I22" s="18" t="inlineStr">
        <is>
          <t>Async pattern</t>
        </is>
      </c>
      <c r="J22" s="18" t="inlineStr">
        <is>
          <t>Very high</t>
        </is>
      </c>
      <c r="K22" s="18" t="n">
        <v>5</v>
      </c>
      <c r="L22" s="18" t="inlineStr">
        <is>
          <t>Promise chains were still harder to read than plain steps, so async and await let you wait for a result in a straight line.</t>
        </is>
      </c>
      <c r="M22" s="18" t="inlineStr">
        <is>
          <t>Use try and catch around await calls to handle failures.</t>
        </is>
      </c>
      <c r="N22" s="17" t="n"/>
      <c r="O22" s="18" t="inlineStr">
        <is>
          <t>Await is pausing at a crossing until the light turns green, while the rest of the town keeps moving.</t>
        </is>
      </c>
      <c r="P22" s="18" t="inlineStr">
        <is>
          <t>A function pausing at an await line while other code runs.</t>
        </is>
      </c>
      <c r="Q22" s="18" t="inlineStr">
        <is>
          <t>The comfort of async code that looks like a simple list.</t>
        </is>
      </c>
      <c r="R22" s="18" t="inlineStr">
        <is>
          <t>An async function always returns a promise, and await pauses it until a promise settles and gives its value or throws its error.</t>
        </is>
      </c>
      <c r="S22" s="17" t="n"/>
      <c r="T22" s="19" t="inlineStr">
        <is>
          <t>async function getName(id) {
  try {
    const res = await fetch(`https://api.example.com/users/${id}`);
    const user = await res.json();
    return user.name;
  } catch (err) {
    console.error("failed", err.message);
    return null;
  }
}
getName(1).then(console.log);</t>
        </is>
      </c>
      <c r="U22" s="19" t="inlineStr">
        <is>
          <t>Prints the user name, or failed with a message and null</t>
        </is>
      </c>
      <c r="V22" s="18" t="inlineStr">
        <is>
          <t>await can be used only inside async functions and at the top level of modules. It pauses only that function, not the whole program. Awaiting steps one after another makes them run in sequence, which is slower than starting them together. Errors from await become exceptions for try and catch.</t>
        </is>
      </c>
      <c r="W22" s="18" t="inlineStr">
        <is>
          <t>Mark the function async, await each promise, and handle errors with try and catch.</t>
        </is>
      </c>
      <c r="X22" s="18" t="inlineStr">
        <is>
          <t>Await is pausing at a crossing until the light turns green while the town keeps moving.</t>
        </is>
      </c>
      <c r="Y22" s="19" t="inlineStr">
        <is>
          <t>async function f() { const x = await promise; }</t>
        </is>
      </c>
      <c r="Z22" s="18" t="inlineStr">
        <is>
          <t>async = returns a promise | await = wait for a promise | try catch = error handling</t>
        </is>
      </c>
      <c r="AA22" s="19" t="inlineStr">
        <is>
          <t>const data = await readFile("a.json", "utf8");</t>
        </is>
      </c>
      <c r="AB22" s="19" t="inlineStr">
        <is>
          <t>const [a, b] = await Promise.all([getA(), getB()]);</t>
        </is>
      </c>
      <c r="AC22" s="19" t="inlineStr">
        <is>
          <t>const run = async () =&gt; { await wait(100); };</t>
        </is>
      </c>
      <c r="AD22" s="19" t="inlineStr">
        <is>
          <t>for await (const chunk of stream) { }   // async iteration</t>
        </is>
      </c>
      <c r="AE22" s="18" t="inlineStr">
        <is>
          <t>fetch, Promise.all, try and catch</t>
        </is>
      </c>
      <c r="AF22" s="18" t="inlineStr">
        <is>
          <t>promises, fetch, Promise.all, error handling</t>
        </is>
      </c>
      <c r="AG22" s="18" t="inlineStr">
        <is>
          <t>Promise chains</t>
        </is>
      </c>
      <c r="AH22" s="17" t="n"/>
      <c r="AI22" s="18" t="inlineStr">
        <is>
          <t>API calls | Scripts | Servers</t>
        </is>
      </c>
      <c r="AJ22" s="18" t="inlineStr">
        <is>
          <t>A: Why is await a syntax error here? | B: It is inside a normal function, so make the function async.</t>
        </is>
      </c>
      <c r="AK22" s="18" t="inlineStr">
        <is>
          <t>✗ await blocks the whole program → ✓ It pauses only the current async function</t>
        </is>
      </c>
      <c r="AL22" s="18" t="inlineStr">
        <is>
          <t>async vs await: async marks the function, await pauses inside it.</t>
        </is>
      </c>
      <c r="AM22" s="18" t="inlineStr">
        <is>
          <t>Do not await inside a loop when the calls are independent.</t>
        </is>
      </c>
      <c r="AN22" s="19" t="inlineStr">
        <is>
          <t>function load() { const r = await fetch(url); }</t>
        </is>
      </c>
      <c r="AO22" s="19" t="inlineStr">
        <is>
          <t>async function load() { const r = await fetch(url); }</t>
        </is>
      </c>
      <c r="AP22" s="18" t="inlineStr">
        <is>
          <t>Await needs async around it.</t>
        </is>
      </c>
      <c r="AQ22" s="18" t="inlineStr">
        <is>
          <t>Rewriting promise chains with async and await made a sync job easy to follow.</t>
        </is>
      </c>
      <c r="AR22" s="18" t="inlineStr">
        <is>
          <t>An interviewer may ask: What does an async function return?</t>
        </is>
      </c>
      <c r="AS22" s="18" t="inlineStr">
        <is>
          <t>It is like waiting at a crossing for the light.</t>
        </is>
      </c>
      <c r="AT22" s="18" t="inlineStr">
        <is>
          <t>What does an async function always return?</t>
        </is>
      </c>
      <c r="AU22" s="18" t="inlineStr">
        <is>
          <t>A) A number B) A string C) A promise D) undefined</t>
        </is>
      </c>
      <c r="AV22" s="18" t="inlineStr">
        <is>
          <t>C</t>
        </is>
      </c>
      <c r="AW22" s="18" t="inlineStr">
        <is>
          <t>Return values are wrapped in a promise.</t>
        </is>
      </c>
      <c r="AX22" s="19" t="inlineStr">
        <is>
          <t>await can be used inside an ____ function → async</t>
        </is>
      </c>
      <c r="AY22" s="18" t="inlineStr">
        <is>
          <t>Wait for fetch to finish and store the response.</t>
        </is>
      </c>
      <c r="AZ22" s="19" t="inlineStr">
        <is>
          <t>const res = await fetch(url);</t>
        </is>
      </c>
      <c r="BA22" s="18" t="inlineStr">
        <is>
          <t>Write an async function that reads two files one after another.</t>
        </is>
      </c>
      <c r="BB22" s="19" t="inlineStr">
        <is>
          <t>Does await freeze the whole program?</t>
        </is>
      </c>
      <c r="BC22" s="19" t="inlineStr">
        <is>
          <t>No, only that function pauses.</t>
        </is>
      </c>
      <c r="BD22" s="17">
        <f>IF(K22="","",REPT("★",K22)&amp;REPT("☆",5-K22)&amp;" ("&amp;K22&amp;"/5)")</f>
        <v/>
      </c>
      <c r="BE22" s="17">
        <f>IF(S22="","","Meaning: "&amp;S22&amp;"  =  ______   (Answer: "&amp;F22&amp;")")</f>
        <v/>
      </c>
      <c r="BF22" s="17" t="inlineStr">
        <is>
          <t>New</t>
        </is>
      </c>
      <c r="BG22" s="17" t="n"/>
      <c r="BH22" s="17" t="n"/>
      <c r="BI22" s="17" t="n"/>
      <c r="BJ22" s="17" t="n"/>
      <c r="BK22" s="17" t="n"/>
      <c r="BL22" s="17" t="n"/>
      <c r="BM22" s="17" t="n"/>
      <c r="BN22" s="17" t="n"/>
    </row>
    <row r="23" ht="148.5" customHeight="1">
      <c r="A23" s="17" t="inlineStr">
        <is>
          <t>TS-021</t>
        </is>
      </c>
      <c r="B23" s="17" t="inlineStr">
        <is>
          <t>02 Async JavaScript</t>
        </is>
      </c>
      <c r="C23" s="17" t="inlineStr">
        <is>
          <t>Intermediate</t>
        </is>
      </c>
      <c r="D23" s="17" t="n">
        <v>21</v>
      </c>
      <c r="E23" s="17" t="inlineStr">
        <is>
          <t>Claude knowledge</t>
        </is>
      </c>
      <c r="F23" s="18" t="inlineStr">
        <is>
          <t>fetch</t>
        </is>
      </c>
      <c r="G23" s="18" t="inlineStr">
        <is>
          <t>Which built-in function makes HTTP requests and returns a promise?</t>
        </is>
      </c>
      <c r="H23" s="17" t="n"/>
      <c r="I23" s="18" t="inlineStr">
        <is>
          <t>Web API</t>
        </is>
      </c>
      <c r="J23" s="18" t="inlineStr">
        <is>
          <t>Very high</t>
        </is>
      </c>
      <c r="K23" s="18" t="n">
        <v>5</v>
      </c>
      <c r="L23" s="18" t="inlineStr">
        <is>
          <t>Older request tools were clumsy, so fetch offered a promise-based way to call servers in browsers and in modern Node.</t>
        </is>
      </c>
      <c r="M23" s="18" t="inlineStr">
        <is>
          <t>Check response.ok, because fetch does not reject on HTTP error statuses.</t>
        </is>
      </c>
      <c r="N23" s="17" t="n"/>
      <c r="O23" s="18" t="inlineStr">
        <is>
          <t>Fetch is sending a runner to a shop with a note and waiting for the parcel.</t>
        </is>
      </c>
      <c r="P23" s="18" t="inlineStr">
        <is>
          <t>A request arrow and a response box with status and body.</t>
        </is>
      </c>
      <c r="Q23" s="18" t="inlineStr">
        <is>
          <t>The ease of calling any API in a few lines.</t>
        </is>
      </c>
      <c r="R23" s="18" t="inlineStr">
        <is>
          <t>fetch sends an HTTP request and resolves with a response object whose body is read with methods such as json or text.</t>
        </is>
      </c>
      <c r="S23" s="17" t="n"/>
      <c r="T23" s="19" t="inlineStr">
        <is>
          <t>const res = await fetch("https://api.example.com/items", {
  method: "POST",
  headers: { "Content-Type": "application/json" },
  body: JSON.stringify({ name: "pen" })
});
if (!res.ok) throw new Error(`HTTP ${res.status}`);
const item = await res.json();
console.log(item.id);</t>
        </is>
      </c>
      <c r="U23" s="19" t="inlineStr">
        <is>
          <t>Prints the id of the created item, or throws HTTP with the status code</t>
        </is>
      </c>
      <c r="V23" s="18" t="inlineStr">
        <is>
          <t>fetch rejects only on network failure, so a 404 or 500 still resolves, and you must test res.ok. The body can be read once. Headers and method go in the options. AbortController can cancel a request, and timeouts are not built in. In browsers, cross-origin rules apply.</t>
        </is>
      </c>
      <c r="W23" s="18" t="inlineStr">
        <is>
          <t>Call fetch, check ok, then read the body with json.</t>
        </is>
      </c>
      <c r="X23" s="18" t="inlineStr">
        <is>
          <t>Fetch is sending a runner to a shop with a note and waiting for the parcel.</t>
        </is>
      </c>
      <c r="Y23" s="19" t="inlineStr">
        <is>
          <t>await fetch(url, { method, headers, body })</t>
        </is>
      </c>
      <c r="Z23" s="18" t="inlineStr">
        <is>
          <t>res.ok = status in the 200s | res.status = code | res.json() = parse body</t>
        </is>
      </c>
      <c r="AA23" s="19" t="inlineStr">
        <is>
          <t>const res = await fetch(url);</t>
        </is>
      </c>
      <c r="AB23" s="19" t="inlineStr">
        <is>
          <t>await fetch(url, { signal: controller.signal });</t>
        </is>
      </c>
      <c r="AC23" s="19" t="inlineStr">
        <is>
          <t>const text = await res.text();</t>
        </is>
      </c>
      <c r="AD23" s="19" t="inlineStr">
        <is>
          <t>AbortSignal.timeout(5000)   // abort after five seconds</t>
        </is>
      </c>
      <c r="AE23" s="18" t="inlineStr">
        <is>
          <t>async and await, JSON, error handling</t>
        </is>
      </c>
      <c r="AF23" s="18" t="inlineStr">
        <is>
          <t>async and await, JSON, HTTP, error handling</t>
        </is>
      </c>
      <c r="AG23" s="18" t="inlineStr">
        <is>
          <t>axios | node http</t>
        </is>
      </c>
      <c r="AH23" s="17" t="n"/>
      <c r="AI23" s="18" t="inlineStr">
        <is>
          <t>API calls | Frontend apps | Scripts</t>
        </is>
      </c>
      <c r="AJ23" s="18" t="inlineStr">
        <is>
          <t>A: The code says success but the API returned 404. | B: fetch does not reject on 404, so check res.ok.</t>
        </is>
      </c>
      <c r="AK23" s="18" t="inlineStr">
        <is>
          <t>✗ fetch rejects when the server returns an error status → ✓ It rejects only on network failures</t>
        </is>
      </c>
      <c r="AL23" s="18" t="inlineStr">
        <is>
          <t>res.json vs res.text: json parses the body, text returns it raw.</t>
        </is>
      </c>
      <c r="AM23" s="18" t="inlineStr">
        <is>
          <t>Do not read the body twice.</t>
        </is>
      </c>
      <c r="AN23" s="19" t="inlineStr">
        <is>
          <t>const data = await fetch(url).json();</t>
        </is>
      </c>
      <c r="AO23" s="19" t="inlineStr">
        <is>
          <t>const res = await fetch(url); const data = await res.json();</t>
        </is>
      </c>
      <c r="AP23" s="18" t="inlineStr">
        <is>
          <t>Fetch fails only on the network, check ok.</t>
        </is>
      </c>
      <c r="AQ23" s="18" t="inlineStr">
        <is>
          <t>Adding a status check to fetch calls exposed hidden server errors in a script.</t>
        </is>
      </c>
      <c r="AR23" s="18" t="inlineStr">
        <is>
          <t>An interviewer may ask: Does fetch reject on a 500 response?</t>
        </is>
      </c>
      <c r="AS23" s="18" t="inlineStr">
        <is>
          <t>It is like sending a runner to a shop.</t>
        </is>
      </c>
      <c r="AT23" s="18" t="inlineStr">
        <is>
          <t>When does fetch reject its promise?</t>
        </is>
      </c>
      <c r="AU23" s="18" t="inlineStr">
        <is>
          <t>A) On a 404 B) On a 500 C) On network failure D) Never</t>
        </is>
      </c>
      <c r="AV23" s="18" t="inlineStr">
        <is>
          <t>C</t>
        </is>
      </c>
      <c r="AW23" s="18" t="inlineStr">
        <is>
          <t>HTTP error statuses still resolve normally.</t>
        </is>
      </c>
      <c r="AX23" s="19" t="inlineStr">
        <is>
          <t>The property that is true for statuses in the 200s is ____ → ok</t>
        </is>
      </c>
      <c r="AY23" s="18" t="inlineStr">
        <is>
          <t>Send a GET request and read the JSON body.</t>
        </is>
      </c>
      <c r="AZ23" s="19" t="inlineStr">
        <is>
          <t>const res = await fetch(url); const data = await res.json();</t>
        </is>
      </c>
      <c r="BA23" s="18" t="inlineStr">
        <is>
          <t>Write a helper that throws on any non-ok response.</t>
        </is>
      </c>
      <c r="BB23" s="19" t="inlineStr">
        <is>
          <t>Can a response body be read twice?</t>
        </is>
      </c>
      <c r="BC23" s="19" t="inlineStr">
        <is>
          <t>No, it can be read only once.</t>
        </is>
      </c>
      <c r="BD23" s="17">
        <f>IF(K23="","",REPT("★",K23)&amp;REPT("☆",5-K23)&amp;" ("&amp;K23&amp;"/5)")</f>
        <v/>
      </c>
      <c r="BE23" s="17">
        <f>IF(S23="","","Meaning: "&amp;S23&amp;"  =  ______   (Answer: "&amp;F23&amp;")")</f>
        <v/>
      </c>
      <c r="BF23" s="17" t="inlineStr">
        <is>
          <t>New</t>
        </is>
      </c>
      <c r="BG23" s="17" t="n"/>
      <c r="BH23" s="17" t="n"/>
      <c r="BI23" s="17" t="n"/>
      <c r="BJ23" s="17" t="n"/>
      <c r="BK23" s="17" t="n"/>
      <c r="BL23" s="17" t="n"/>
      <c r="BM23" s="17" t="n"/>
      <c r="BN23" s="17" t="n"/>
    </row>
    <row r="24" ht="135" customHeight="1">
      <c r="A24" s="17" t="inlineStr">
        <is>
          <t>TS-022</t>
        </is>
      </c>
      <c r="B24" s="17" t="inlineStr">
        <is>
          <t>02 Async JavaScript</t>
        </is>
      </c>
      <c r="C24" s="17" t="inlineStr">
        <is>
          <t>Intermediate</t>
        </is>
      </c>
      <c r="D24" s="17" t="n">
        <v>22</v>
      </c>
      <c r="E24" s="17" t="inlineStr">
        <is>
          <t>Claude knowledge</t>
        </is>
      </c>
      <c r="F24" s="18" t="inlineStr">
        <is>
          <t>try and catch with async code</t>
        </is>
      </c>
      <c r="G24" s="18" t="inlineStr">
        <is>
          <t>How do you handle errors that happen inside awaited calls and promise chains?</t>
        </is>
      </c>
      <c r="H24" s="17" t="n"/>
      <c r="I24" s="18" t="inlineStr">
        <is>
          <t>Async pattern</t>
        </is>
      </c>
      <c r="J24" s="18" t="inlineStr">
        <is>
          <t>High</t>
        </is>
      </c>
      <c r="K24" s="18" t="n">
        <v>5</v>
      </c>
      <c r="L24" s="18" t="inlineStr">
        <is>
          <t>Errors in asynchronous code do not travel through normal call stacks, so each style has its own way to catch them.</t>
        </is>
      </c>
      <c r="M24" s="18" t="inlineStr">
        <is>
          <t>Handle errors at the level that can do something useful about them.</t>
        </is>
      </c>
      <c r="N24" s="17" t="n"/>
      <c r="O24" s="18" t="inlineStr">
        <is>
          <t>Errors in async code are letters sent by post, so you must watch the right mailbox.</t>
        </is>
      </c>
      <c r="P24" s="18" t="inlineStr">
        <is>
          <t>A rejected promise travelling to the nearest catch.</t>
        </is>
      </c>
      <c r="Q24" s="18" t="inlineStr">
        <is>
          <t>The calm of failures that land in one place.</t>
        </is>
      </c>
      <c r="R24" s="18" t="inlineStr">
        <is>
          <t>Inside async functions, try and catch handle awaited rejections, and with promise chains the catch method handles them.</t>
        </is>
      </c>
      <c r="S24" s="17" t="n"/>
      <c r="T24" s="19" t="inlineStr">
        <is>
          <t>async function run() {
  try {
    await Promise.reject(new Error("boom"));
  } catch (err) {
    console.log("caught", err.message);
  }
}
run();
Promise.reject(new Error("later")).catch(e =&gt; console.log("chain", e.message));</t>
        </is>
      </c>
      <c r="U24" s="19" t="inlineStr">
        <is>
          <t>caught boom
chain later</t>
        </is>
      </c>
      <c r="V24" s="18" t="inlineStr">
        <is>
          <t>A rejected promise with no handler triggers an unhandled rejection warning, and in modern Node it can crash the process. try and catch around a call without await will not catch its rejection. A returned promise needs return await inside try for the catch to apply. Wrap the top of event handlers and jobs with a safety catch that logs.</t>
        </is>
      </c>
      <c r="W24" s="18" t="inlineStr">
        <is>
          <t>Await inside try, or add a catch to the chain, and never leave a rejection unhandled.</t>
        </is>
      </c>
      <c r="X24" s="18" t="inlineStr">
        <is>
          <t>Errors in async code are letters sent by post, so you must watch the right mailbox.</t>
        </is>
      </c>
      <c r="Y24" s="19" t="inlineStr">
        <is>
          <t>try { await p; } catch (e) { } | p.catch(e =&gt; { })</t>
        </is>
      </c>
      <c r="Z24" s="18" t="inlineStr">
        <is>
          <t>await in try = catches rejection | .catch = chain handler | unhandled = no handler found</t>
        </is>
      </c>
      <c r="AA24" s="19" t="inlineStr">
        <is>
          <t>await task().catch(err =&gt; log(err));</t>
        </is>
      </c>
      <c r="AB24" s="19" t="inlineStr">
        <is>
          <t>process.on("unhandledRejection", err =&gt; log(err));</t>
        </is>
      </c>
      <c r="AC24" s="19" t="inlineStr">
        <is>
          <t>return await fetchData();</t>
        </is>
      </c>
      <c r="AD24" s="19" t="inlineStr">
        <is>
          <t>Promise.allSettled(tasks)   // never rejects, reports each result</t>
        </is>
      </c>
      <c r="AE24" s="18" t="inlineStr">
        <is>
          <t>async and await, promises, logging</t>
        </is>
      </c>
      <c r="AF24" s="18" t="inlineStr">
        <is>
          <t>promises, async and await, error handling, Node</t>
        </is>
      </c>
      <c r="AG24" s="18" t="inlineStr">
        <is>
          <t>Result objects</t>
        </is>
      </c>
      <c r="AH24" s="17" t="n"/>
      <c r="AI24" s="18" t="inlineStr">
        <is>
          <t>Servers | Jobs | Frontend calls</t>
        </is>
      </c>
      <c r="AJ24" s="18" t="inlineStr">
        <is>
          <t>A: The error is not caught even though I used try. | B: You did not await the call, so the rejection escapes.</t>
        </is>
      </c>
      <c r="AK24" s="18" t="inlineStr">
        <is>
          <t>✗ try and catch catch every kind of async error → ✓ They catch only awaited rejections inside the same function</t>
        </is>
      </c>
      <c r="AL24" s="18" t="inlineStr">
        <is>
          <t>Unhandled rejection vs thrown error: one has no handler anywhere, the other is a normal exception.</t>
        </is>
      </c>
      <c r="AM24" s="18" t="inlineStr">
        <is>
          <t>Do not call async functions without handling their rejections.</t>
        </is>
      </c>
      <c r="AN24" s="19" t="inlineStr">
        <is>
          <t>try { fetchData(); } catch (e) { console.log(e); }</t>
        </is>
      </c>
      <c r="AO24" s="19" t="inlineStr">
        <is>
          <t>try { await fetchData(); } catch (e) { console.log(e); }</t>
        </is>
      </c>
      <c r="AP24" s="18" t="inlineStr">
        <is>
          <t>If you skip await, you skip catch.</t>
        </is>
      </c>
      <c r="AQ24" s="18" t="inlineStr">
        <is>
          <t>Adding a global rejection logger revealed silent failures in a nightly job.</t>
        </is>
      </c>
      <c r="AR24" s="18" t="inlineStr">
        <is>
          <t>An interviewer may ask: What is an unhandled promise rejection?</t>
        </is>
      </c>
      <c r="AS24" s="18" t="inlineStr">
        <is>
          <t>It is like watching the right mailbox for a letter.</t>
        </is>
      </c>
      <c r="AT24" s="18" t="inlineStr">
        <is>
          <t>Why does try not catch a call without await?</t>
        </is>
      </c>
      <c r="AU24" s="18" t="inlineStr">
        <is>
          <t>A) The rejection happens later, outside the try B) The function is sync C) try is broken D) fetch is faulty</t>
        </is>
      </c>
      <c r="AV24" s="18" t="inlineStr">
        <is>
          <t>A</t>
        </is>
      </c>
      <c r="AW24" s="18" t="inlineStr">
        <is>
          <t>The promise rejects after the try block finishes.</t>
        </is>
      </c>
      <c r="AX24" s="19" t="inlineStr">
        <is>
          <t>A rejection with no handler is called ____ → unhandled</t>
        </is>
      </c>
      <c r="AY24" s="18" t="inlineStr">
        <is>
          <t>Catch an error from await loadData().</t>
        </is>
      </c>
      <c r="AZ24" s="19" t="inlineStr">
        <is>
          <t>try { await loadData(); } catch (e) { console.error(e); }</t>
        </is>
      </c>
      <c r="BA24" s="18" t="inlineStr">
        <is>
          <t>Write code that logs any unhandled rejection in Node.</t>
        </is>
      </c>
      <c r="BB24" s="19" t="inlineStr">
        <is>
          <t>Does try and catch catch a rejection of a call without await?</t>
        </is>
      </c>
      <c r="BC24" s="19" t="inlineStr">
        <is>
          <t>No, only awaited rejections are caught.</t>
        </is>
      </c>
      <c r="BD24" s="17">
        <f>IF(K24="","",REPT("★",K24)&amp;REPT("☆",5-K24)&amp;" ("&amp;K24&amp;"/5)")</f>
        <v/>
      </c>
      <c r="BE24" s="17">
        <f>IF(S24="","","Meaning: "&amp;S24&amp;"  =  ______   (Answer: "&amp;F24&amp;")")</f>
        <v/>
      </c>
      <c r="BF24" s="17" t="inlineStr">
        <is>
          <t>New</t>
        </is>
      </c>
      <c r="BG24" s="17" t="n"/>
      <c r="BH24" s="17" t="n"/>
      <c r="BI24" s="17" t="n"/>
      <c r="BJ24" s="17" t="n"/>
      <c r="BK24" s="17" t="n"/>
      <c r="BL24" s="17" t="n"/>
      <c r="BM24" s="17" t="n"/>
      <c r="BN24" s="17" t="n"/>
    </row>
    <row r="25" ht="108" customHeight="1">
      <c r="A25" s="17" t="inlineStr">
        <is>
          <t>TS-023</t>
        </is>
      </c>
      <c r="B25" s="17" t="inlineStr">
        <is>
          <t>02 Async JavaScript</t>
        </is>
      </c>
      <c r="C25" s="17" t="inlineStr">
        <is>
          <t>Advanced</t>
        </is>
      </c>
      <c r="D25" s="17" t="n">
        <v>23</v>
      </c>
      <c r="E25" s="17" t="inlineStr">
        <is>
          <t>Claude knowledge</t>
        </is>
      </c>
      <c r="F25" s="18" t="inlineStr">
        <is>
          <t>The event loop</t>
        </is>
      </c>
      <c r="G25" s="18" t="inlineStr">
        <is>
          <t>Which mechanism lets single-threaded JavaScript handle waiting work without blocking?</t>
        </is>
      </c>
      <c r="H25" s="17" t="n"/>
      <c r="I25" s="18" t="inlineStr">
        <is>
          <t>Runtime concept</t>
        </is>
      </c>
      <c r="J25" s="18" t="inlineStr">
        <is>
          <t>High</t>
        </is>
      </c>
      <c r="K25" s="18" t="n">
        <v>5</v>
      </c>
      <c r="L25" s="18" t="inlineStr">
        <is>
          <t>JavaScript runs one piece of code at a time, so the event loop schedules finished async work to run when the main code is free.</t>
        </is>
      </c>
      <c r="M25" s="18" t="inlineStr">
        <is>
          <t>Never run long synchronous loops, since they freeze everything else.</t>
        </is>
      </c>
      <c r="N25" s="17" t="n"/>
      <c r="O25" s="18" t="inlineStr">
        <is>
          <t>The event loop is a single waiter who takes new orders only when the current table is served.</t>
        </is>
      </c>
      <c r="P25" s="18" t="inlineStr">
        <is>
          <t>A call stack, a queue of waiting callbacks and a loop moving items between them.</t>
        </is>
      </c>
      <c r="Q25" s="18" t="inlineStr">
        <is>
          <t>The insight of finally seeing why code runs in this order.</t>
        </is>
      </c>
      <c r="R25" s="18" t="inlineStr">
        <is>
          <t>The event loop moves callbacks from queues onto the call stack when it is empty, running microtasks such as promise callbacks before timer callbacks.</t>
        </is>
      </c>
      <c r="S25" s="17" t="n"/>
      <c r="T25" s="19" t="inlineStr">
        <is>
          <t>console.log("1 start");
setTimeout(() =&gt; console.log("4 timeout"), 0);
Promise.resolve().then(() =&gt; console.log("3 promise"));
console.log("2 end");</t>
        </is>
      </c>
      <c r="U25" s="19" t="inlineStr">
        <is>
          <t>1 start
2 end
3 promise
4 timeout</t>
        </is>
      </c>
      <c r="V25" s="18" t="inlineStr">
        <is>
          <t>Synchronous code runs first until the stack is empty. Then all microtasks run, such as promise reactions and queueMicrotask. Only after that does the loop take the next macrotask, such as a timer or an input event. A zero delay timer therefore runs after promise callbacks. Heavy computation blocks the loop, so move it to workers.</t>
        </is>
      </c>
      <c r="W25" s="18" t="inlineStr">
        <is>
          <t>Sync code first, then promise callbacks, then timers and events.</t>
        </is>
      </c>
      <c r="X25" s="18" t="inlineStr">
        <is>
          <t>The event loop is a single waiter who takes new orders only when the current table is served.</t>
        </is>
      </c>
      <c r="Y25" s="19" t="inlineStr">
        <is>
          <t>stack empties → microtasks → next macrotask</t>
        </is>
      </c>
      <c r="Z25" s="17" t="n"/>
      <c r="AA25" s="19" t="inlineStr">
        <is>
          <t>setTimeout(fn, 0) running after the current code.</t>
        </is>
      </c>
      <c r="AB25" s="19" t="inlineStr">
        <is>
          <t>queueMicrotask(() =&gt; log("micro"));</t>
        </is>
      </c>
      <c r="AC25" s="19" t="inlineStr">
        <is>
          <t>A long for loop that freezes a page.</t>
        </is>
      </c>
      <c r="AD25" s="19" t="inlineStr">
        <is>
          <t>setImmediate(() =&gt; log("immediate"));   // Node specific timing</t>
        </is>
      </c>
      <c r="AE25" s="18" t="inlineStr">
        <is>
          <t>promises, timers, Node</t>
        </is>
      </c>
      <c r="AF25" s="18" t="inlineStr">
        <is>
          <t>callbacks, promises, timers, async and await</t>
        </is>
      </c>
      <c r="AG25" s="18" t="inlineStr">
        <is>
          <t>Worker threads for heavy work</t>
        </is>
      </c>
      <c r="AH25" s="17" t="n"/>
      <c r="AI25" s="18" t="inlineStr">
        <is>
          <t>Interviews | Performance work | Debugging</t>
        </is>
      </c>
      <c r="AJ25" s="18" t="inlineStr">
        <is>
          <t>A: Why does a zero timeout run last? | B: Promise callbacks go first, then timers.</t>
        </is>
      </c>
      <c r="AK25" s="18" t="inlineStr">
        <is>
          <t>✗ setTimeout with zero runs immediately → ✓ It waits for the current code and all microtasks to finish</t>
        </is>
      </c>
      <c r="AL25" s="18" t="inlineStr">
        <is>
          <t>Microtask vs macrotask: microtasks run before the next timer or event.</t>
        </is>
      </c>
      <c r="AM25" s="18" t="inlineStr">
        <is>
          <t>Do not block the loop with long synchronous work.</t>
        </is>
      </c>
      <c r="AN25" s="19" t="inlineStr">
        <is>
          <t>setTimeout(() =&gt; log("timer"), 0); Promise.resolve().then(() =&gt; log("promise"));   // expecting timer first</t>
        </is>
      </c>
      <c r="AO25" s="19" t="inlineStr">
        <is>
          <t>Promise.resolve().then(() =&gt; log("promise"));   // always runs before a zero-delay timer</t>
        </is>
      </c>
      <c r="AP25" s="18" t="inlineStr">
        <is>
          <t>Promises always jump ahead of timers.</t>
        </is>
      </c>
      <c r="AQ25" s="18" t="inlineStr">
        <is>
          <t>Moving heavy parsing to a worker stopped a server from freezing.</t>
        </is>
      </c>
      <c r="AR25" s="18" t="inlineStr">
        <is>
          <t>An interviewer may ask: In what order do promise callbacks and timers run?</t>
        </is>
      </c>
      <c r="AS25" s="18" t="inlineStr">
        <is>
          <t>It is like a single waiter serving one table at a time.</t>
        </is>
      </c>
      <c r="AT25" s="18" t="inlineStr">
        <is>
          <t>Which runs first after sync code?</t>
        </is>
      </c>
      <c r="AU25" s="18" t="inlineStr">
        <is>
          <t>A) User clicks B) Promise callbacks C) Network replies D) Timers</t>
        </is>
      </c>
      <c r="AV25" s="18" t="inlineStr">
        <is>
          <t>B</t>
        </is>
      </c>
      <c r="AW25" s="18" t="inlineStr">
        <is>
          <t>Microtasks run before the next macrotask.</t>
        </is>
      </c>
      <c r="AX25" s="19" t="inlineStr">
        <is>
          <t>A promise callback is a ____ → microtask</t>
        </is>
      </c>
      <c r="AY25" s="18" t="inlineStr">
        <is>
          <t>Predict the order of a timeout and a promise callback.</t>
        </is>
      </c>
      <c r="AZ25" s="19" t="inlineStr">
        <is>
          <t>The promise callback runs first, then the timeout.</t>
        </is>
      </c>
      <c r="BA25" s="18" t="inlineStr">
        <is>
          <t>Write code that logs four steps and predict the order before running it.</t>
        </is>
      </c>
      <c r="BB25" s="19" t="inlineStr">
        <is>
          <t>Why can a long loop freeze a page?</t>
        </is>
      </c>
      <c r="BC25" s="19" t="inlineStr">
        <is>
          <t>The loop blocks the call stack, so nothing else can run.</t>
        </is>
      </c>
      <c r="BD25" s="17">
        <f>IF(K25="","",REPT("★",K25)&amp;REPT("☆",5-K25)&amp;" ("&amp;K25&amp;"/5)")</f>
        <v/>
      </c>
      <c r="BE25" s="17">
        <f>IF(S25="","","Meaning: "&amp;S25&amp;"  =  ______   (Answer: "&amp;F25&amp;")")</f>
        <v/>
      </c>
      <c r="BF25" s="17" t="inlineStr">
        <is>
          <t>New</t>
        </is>
      </c>
      <c r="BG25" s="17" t="n"/>
      <c r="BH25" s="17" t="n"/>
      <c r="BI25" s="17" t="n"/>
      <c r="BJ25" s="17" t="n"/>
      <c r="BK25" s="17" t="n"/>
      <c r="BL25" s="17" t="n"/>
      <c r="BM25" s="17" t="n"/>
      <c r="BN25" s="17" t="n"/>
    </row>
    <row r="26" ht="121.5" customHeight="1">
      <c r="A26" s="17" t="inlineStr">
        <is>
          <t>TS-024</t>
        </is>
      </c>
      <c r="B26" s="17" t="inlineStr">
        <is>
          <t>02 Async JavaScript</t>
        </is>
      </c>
      <c r="C26" s="17" t="inlineStr">
        <is>
          <t>Intermediate</t>
        </is>
      </c>
      <c r="D26" s="17" t="n">
        <v>24</v>
      </c>
      <c r="E26" s="17" t="inlineStr">
        <is>
          <t>Claude knowledge</t>
        </is>
      </c>
      <c r="F26" s="18" t="inlineStr">
        <is>
          <t>Promise.all</t>
        </is>
      </c>
      <c r="G26" s="18" t="inlineStr">
        <is>
          <t>Which method runs several promises together and waits for all of them?</t>
        </is>
      </c>
      <c r="H26" s="17" t="n"/>
      <c r="I26" s="18" t="inlineStr">
        <is>
          <t>Async pattern</t>
        </is>
      </c>
      <c r="J26" s="18" t="inlineStr">
        <is>
          <t>High</t>
        </is>
      </c>
      <c r="K26" s="18" t="n">
        <v>5</v>
      </c>
      <c r="L26" s="18" t="inlineStr">
        <is>
          <t>Awaiting independent tasks one by one wastes time, so Promise.all lets them run in parallel and collects the results.</t>
        </is>
      </c>
      <c r="M26" s="18" t="inlineStr">
        <is>
          <t>Use allSettled when you want every result even if some fail.</t>
        </is>
      </c>
      <c r="N26" s="17" t="n"/>
      <c r="O26" s="18" t="inlineStr">
        <is>
          <t>Promise.all is sending several runners to different shops and waiting until every one is back.</t>
        </is>
      </c>
      <c r="P26" s="18" t="inlineStr">
        <is>
          <t>Three parallel arrows joining into one result array.</t>
        </is>
      </c>
      <c r="Q26" s="18" t="inlineStr">
        <is>
          <t>The satisfaction of cutting wait time to the slowest call.</t>
        </is>
      </c>
      <c r="R26" s="18" t="inlineStr">
        <is>
          <t>Promise.all takes an array of promises and returns one promise that resolves with an array of results, or rejects as soon as any one rejects.</t>
        </is>
      </c>
      <c r="S26" s="17" t="n"/>
      <c r="T26" s="19" t="inlineStr">
        <is>
          <t>const wait = (ms, v) =&gt; new Promise(r =&gt; setTimeout(() =&gt; r(v), ms));
async function run() {
  const t0 = Date.now();
  const [a, b] = await Promise.all([wait(200, "A"), wait(200, "B")]);
  console.log(a, b, Date.now() - t0 &lt; 350);
}
run();</t>
        </is>
      </c>
      <c r="U26" s="19" t="inlineStr">
        <is>
          <t>A B true</t>
        </is>
      </c>
      <c r="V26" s="18" t="inlineStr">
        <is>
          <t>The tasks start immediately and run together, so the total time is about the slowest one, not the sum. The result array keeps the same order as the input. If one rejects, all rejects, but the others still continue in the background. Promise.allSettled returns the status of each, and Promise.race returns the first to settle.</t>
        </is>
      </c>
      <c r="W26" s="18" t="inlineStr">
        <is>
          <t>Start independent tasks together and await them as a group.</t>
        </is>
      </c>
      <c r="X26" s="18" t="inlineStr">
        <is>
          <t>Promise.all is sending several runners to different shops and waiting until every one returns.</t>
        </is>
      </c>
      <c r="Y26" s="19" t="inlineStr">
        <is>
          <t>await Promise.all([p1, p2, p3])</t>
        </is>
      </c>
      <c r="Z26" s="18" t="inlineStr">
        <is>
          <t>input = array of promises | output = array of results in order | rejects on first failure</t>
        </is>
      </c>
      <c r="AA26" s="19" t="inlineStr">
        <is>
          <t>const [users, posts] = await Promise.all([getUsers(), getPosts()]);</t>
        </is>
      </c>
      <c r="AB26" s="19" t="inlineStr">
        <is>
          <t>await Promise.allSettled(tasks);</t>
        </is>
      </c>
      <c r="AC26" s="19" t="inlineStr">
        <is>
          <t>await Promise.race([task, timeout]);</t>
        </is>
      </c>
      <c r="AD26" s="19" t="inlineStr">
        <is>
          <t>Promise.any([a, b])   // first success wins</t>
        </is>
      </c>
      <c r="AE26" s="18" t="inlineStr">
        <is>
          <t>async and await, fetch, batching</t>
        </is>
      </c>
      <c r="AF26" s="18" t="inlineStr">
        <is>
          <t>async and await, promises, fetch, rate limits</t>
        </is>
      </c>
      <c r="AG26" s="18" t="inlineStr">
        <is>
          <t>Sequential awaits | p-limit for concurrency control</t>
        </is>
      </c>
      <c r="AH26" s="17" t="n"/>
      <c r="AI26" s="18" t="inlineStr">
        <is>
          <t>Parallel API calls | Startup tasks | Batch work</t>
        </is>
      </c>
      <c r="AJ26" s="18" t="inlineStr">
        <is>
          <t>A: Three API calls take nine seconds in total. | B: They are awaited one by one, so run them with Promise.all.</t>
        </is>
      </c>
      <c r="AK26" s="18" t="inlineStr">
        <is>
          <t>✗ Promise.all stops the other tasks when one fails → ✓ It rejects at once, but the others keep running</t>
        </is>
      </c>
      <c r="AL26" s="18" t="inlineStr">
        <is>
          <t>all vs allSettled: all fails fast, allSettled always waits for everything.</t>
        </is>
      </c>
      <c r="AM26" s="18" t="inlineStr">
        <is>
          <t>Do not start thousands of calls at once.</t>
        </is>
      </c>
      <c r="AN26" s="19" t="inlineStr">
        <is>
          <t>for (const id of ids) { results.push(await getUser(id)); }</t>
        </is>
      </c>
      <c r="AO26" s="19" t="inlineStr">
        <is>
          <t>const results = await Promise.all(ids.map(id =&gt; getUser(id)));</t>
        </is>
      </c>
      <c r="AP26" s="18" t="inlineStr">
        <is>
          <t>All together, results in order.</t>
        </is>
      </c>
      <c r="AQ26" s="18" t="inlineStr">
        <is>
          <t>Lazy loading made the first page load noticeably faster.</t>
        </is>
      </c>
      <c r="AR26" s="18" t="inlineStr">
        <is>
          <t>An interviewer may ask: What is the difference between all and allSettled?</t>
        </is>
      </c>
      <c r="AS26" s="18" t="inlineStr">
        <is>
          <t>It is like sending runners to several shops.</t>
        </is>
      </c>
      <c r="AT26" s="18" t="inlineStr">
        <is>
          <t>What does Promise.all return when one input rejects?</t>
        </is>
      </c>
      <c r="AU26" s="18" t="inlineStr">
        <is>
          <t>A) undefined B) A resolved empty array C) All results anyway D) A rejected promise</t>
        </is>
      </c>
      <c r="AV26" s="18" t="inlineStr">
        <is>
          <t>D</t>
        </is>
      </c>
      <c r="AW26" s="18" t="inlineStr">
        <is>
          <t>It fails fast on the first rejection.</t>
        </is>
      </c>
      <c r="AX26" s="19" t="inlineStr">
        <is>
          <t>The method that never rejects and reports each outcome is Promise.____ → allSettled</t>
        </is>
      </c>
      <c r="AY26" s="18" t="inlineStr">
        <is>
          <t>Fetch two users at once and wait for both.</t>
        </is>
      </c>
      <c r="AZ26" s="19" t="inlineStr">
        <is>
          <t>const [a, b] = await Promise.all([getUser(1), getUser(2)]);</t>
        </is>
      </c>
      <c r="BA26" s="18" t="inlineStr">
        <is>
          <t>Rewrite a loop of awaited calls so the calls run together.</t>
        </is>
      </c>
      <c r="BB26" s="19" t="inlineStr">
        <is>
          <t>What order are the results in?</t>
        </is>
      </c>
      <c r="BC26" s="19" t="inlineStr">
        <is>
          <t>The same order as the input array.</t>
        </is>
      </c>
      <c r="BD26" s="17">
        <f>IF(K26="","",REPT("★",K26)&amp;REPT("☆",5-K26)&amp;" ("&amp;K26&amp;"/5)")</f>
        <v/>
      </c>
      <c r="BE26" s="17">
        <f>IF(S26="","","Meaning: "&amp;S26&amp;"  =  ______   (Answer: "&amp;F26&amp;")")</f>
        <v/>
      </c>
      <c r="BF26" s="17" t="inlineStr">
        <is>
          <t>New</t>
        </is>
      </c>
      <c r="BG26" s="17" t="n"/>
      <c r="BH26" s="17" t="n"/>
      <c r="BI26" s="17" t="n"/>
      <c r="BJ26" s="17" t="n"/>
      <c r="BK26" s="17" t="n"/>
      <c r="BL26" s="17" t="n"/>
      <c r="BM26" s="17" t="n"/>
      <c r="BN26" s="17" t="n"/>
    </row>
    <row r="27" ht="135" customHeight="1">
      <c r="A27" s="17" t="inlineStr">
        <is>
          <t>TS-025</t>
        </is>
      </c>
      <c r="B27" s="17" t="inlineStr">
        <is>
          <t>02 Async JavaScript</t>
        </is>
      </c>
      <c r="C27" s="17" t="inlineStr">
        <is>
          <t>Beginner</t>
        </is>
      </c>
      <c r="D27" s="17" t="n">
        <v>25</v>
      </c>
      <c r="E27" s="17" t="inlineStr">
        <is>
          <t>Claude knowledge</t>
        </is>
      </c>
      <c r="F27" s="18" t="inlineStr">
        <is>
          <t>Timers</t>
        </is>
      </c>
      <c r="G27" s="18" t="inlineStr">
        <is>
          <t>Which functions run code after a delay or repeatedly?</t>
        </is>
      </c>
      <c r="H27" s="17" t="n"/>
      <c r="I27" s="18" t="inlineStr">
        <is>
          <t>Web API</t>
        </is>
      </c>
      <c r="J27" s="18" t="inlineStr">
        <is>
          <t>High</t>
        </is>
      </c>
      <c r="K27" s="18" t="n">
        <v>3</v>
      </c>
      <c r="L27" s="18" t="inlineStr">
        <is>
          <t>Some actions must wait or repeat, so the runtime offers timer functions that schedule callbacks.</t>
        </is>
      </c>
      <c r="M27" s="18" t="inlineStr">
        <is>
          <t>Always keep the timer id so you can cancel it.</t>
        </is>
      </c>
      <c r="N27" s="17" t="n"/>
      <c r="O27" s="18" t="inlineStr">
        <is>
          <t>A timer is an alarm clock that rings your function.</t>
        </is>
      </c>
      <c r="P27" s="18" t="inlineStr">
        <is>
          <t>A clock with a function waiting for its time.</t>
        </is>
      </c>
      <c r="Q27" s="18" t="inlineStr">
        <is>
          <t>The ease of scheduling a task with one line.</t>
        </is>
      </c>
      <c r="R27" s="18" t="inlineStr">
        <is>
          <t>setTimeout runs a function once after a delay in milliseconds, setInterval runs it repeatedly, and clearTimeout and clearInterval cancel them.</t>
        </is>
      </c>
      <c r="S27" s="17" t="n"/>
      <c r="T27" s="19" t="inlineStr">
        <is>
          <t>const id = setTimeout(() =&gt; console.log("once"), 100);
let n = 0;
const tick = setInterval(() =&gt; {
  n += 1;
  console.log("tick", n);
  if (n === 3) clearInterval(tick);
}, 40);
// clearTimeout(id) would cancel the first one</t>
        </is>
      </c>
      <c r="U27" s="19" t="inlineStr">
        <is>
          <t>tick 1
tick 2
once
tick 3</t>
        </is>
      </c>
      <c r="V27" s="18" t="inlineStr">
        <is>
          <t>Delays are minimum values, not exact, because the loop may be busy. A forgotten interval keeps running and can keep a Node process alive. For waiting inside async code, wrap setTimeout in a promise. In browsers, timers in background tabs may be slowed down.</t>
        </is>
      </c>
      <c r="W27" s="18" t="inlineStr">
        <is>
          <t>setTimeout runs once, setInterval repeats, and clear functions stop them.</t>
        </is>
      </c>
      <c r="X27" s="18" t="inlineStr">
        <is>
          <t>A timer is an alarm clock that rings your function.</t>
        </is>
      </c>
      <c r="Y27" s="19" t="inlineStr">
        <is>
          <t>setTimeout(fn, ms) | setInterval(fn, ms) | clearTimeout(id)</t>
        </is>
      </c>
      <c r="Z27" s="18" t="inlineStr">
        <is>
          <t>fn = callback | ms = delay | id = handle for cancelling</t>
        </is>
      </c>
      <c r="AA27" s="19" t="inlineStr">
        <is>
          <t>const sleep = ms =&gt; new Promise(r =&gt; setTimeout(r, ms));</t>
        </is>
      </c>
      <c r="AB27" s="19" t="inlineStr">
        <is>
          <t>const t = setInterval(poll, 5000);</t>
        </is>
      </c>
      <c r="AC27" s="19" t="inlineStr">
        <is>
          <t>clearTimeout(timerId);</t>
        </is>
      </c>
      <c r="AD27" s="19" t="inlineStr">
        <is>
          <t>setTimeout(fn, 0)   // run after the current code</t>
        </is>
      </c>
      <c r="AE27" s="18" t="inlineStr">
        <is>
          <t>promises, polling, debouncing</t>
        </is>
      </c>
      <c r="AF27" s="18" t="inlineStr">
        <is>
          <t>callbacks, event loop, promises, polling</t>
        </is>
      </c>
      <c r="AG27" s="18" t="inlineStr">
        <is>
          <t>requestAnimationFrame | cron jobs</t>
        </is>
      </c>
      <c r="AH27" s="17" t="n"/>
      <c r="AI27" s="18" t="inlineStr">
        <is>
          <t>Delays | Polling | Debouncing</t>
        </is>
      </c>
      <c r="AJ27" s="18" t="inlineStr">
        <is>
          <t>A: My process never exits. | B: An interval is still running, so clear it.</t>
        </is>
      </c>
      <c r="AK27" s="18" t="inlineStr">
        <is>
          <t>✗ A timer fires at exactly the delay given → ✓ The delay is a minimum, and the callback waits for free time</t>
        </is>
      </c>
      <c r="AL27" s="18" t="inlineStr">
        <is>
          <t>setTimeout vs setInterval: one runs once, the other repeats.</t>
        </is>
      </c>
      <c r="AM27" s="18" t="inlineStr">
        <is>
          <t>Do not leave intervals running without a way to stop them.</t>
        </is>
      </c>
      <c r="AN27" s="19" t="inlineStr">
        <is>
          <t>setTimeout(run(), 1000);</t>
        </is>
      </c>
      <c r="AO27" s="19" t="inlineStr">
        <is>
          <t>setTimeout(run, 1000);</t>
        </is>
      </c>
      <c r="AP27" s="18" t="inlineStr">
        <is>
          <t>Pass the function, do not call it.</t>
        </is>
      </c>
      <c r="AQ27" s="18" t="inlineStr">
        <is>
          <t>Clearing a forgotten interval fixed a script that never finished.</t>
        </is>
      </c>
      <c r="AR27" s="18" t="inlineStr">
        <is>
          <t>An interviewer may ask: Why is a timer delay not exact?</t>
        </is>
      </c>
      <c r="AS27" s="18" t="inlineStr">
        <is>
          <t>It is like an alarm clock for a function.</t>
        </is>
      </c>
      <c r="AT27" s="18" t="inlineStr">
        <is>
          <t>Which function repeats a callback?</t>
        </is>
      </c>
      <c r="AU27" s="18" t="inlineStr">
        <is>
          <t>A) setOnce B) clearTimeout C) setTimeout D) setInterval</t>
        </is>
      </c>
      <c r="AV27" s="18" t="inlineStr">
        <is>
          <t>D</t>
        </is>
      </c>
      <c r="AW27" s="18" t="inlineStr">
        <is>
          <t>setInterval repeats until cleared.</t>
        </is>
      </c>
      <c r="AX27" s="19" t="inlineStr">
        <is>
          <t>To cancel an interval you call ____ → clearInterval</t>
        </is>
      </c>
      <c r="AY27" s="18" t="inlineStr">
        <is>
          <t>Wait two seconds and then print done.</t>
        </is>
      </c>
      <c r="AZ27" s="19" t="inlineStr">
        <is>
          <t>setTimeout(() =&gt; console.log("done"), 2000);</t>
        </is>
      </c>
      <c r="BA27" s="18" t="inlineStr">
        <is>
          <t>Write a sleep helper that returns a promise.</t>
        </is>
      </c>
      <c r="BB27" s="19" t="inlineStr">
        <is>
          <t>What does setTimeout(run(), 1000) do wrong?</t>
        </is>
      </c>
      <c r="BC27" s="19" t="inlineStr">
        <is>
          <t>It calls run immediately instead of passing it.</t>
        </is>
      </c>
      <c r="BD27" s="17">
        <f>IF(K27="","",REPT("★",K27)&amp;REPT("☆",5-K27)&amp;" ("&amp;K27&amp;"/5)")</f>
        <v/>
      </c>
      <c r="BE27" s="17">
        <f>IF(S27="","","Meaning: "&amp;S27&amp;"  =  ______   (Answer: "&amp;F27&amp;")")</f>
        <v/>
      </c>
      <c r="BF27" s="17" t="inlineStr">
        <is>
          <t>New</t>
        </is>
      </c>
      <c r="BG27" s="17" t="n"/>
      <c r="BH27" s="17" t="n"/>
      <c r="BI27" s="17" t="n"/>
      <c r="BJ27" s="17" t="n"/>
      <c r="BK27" s="17" t="n"/>
      <c r="BL27" s="17" t="n"/>
      <c r="BM27" s="17" t="n"/>
      <c r="BN27" s="17" t="n"/>
    </row>
    <row r="28" ht="108" customHeight="1">
      <c r="A28" s="17" t="inlineStr">
        <is>
          <t>TS-026</t>
        </is>
      </c>
      <c r="B28" s="17" t="inlineStr">
        <is>
          <t>03 Node and Tooling</t>
        </is>
      </c>
      <c r="C28" s="17" t="inlineStr">
        <is>
          <t>Beginner</t>
        </is>
      </c>
      <c r="D28" s="17" t="n">
        <v>26</v>
      </c>
      <c r="E28" s="17" t="inlineStr">
        <is>
          <t>Claude knowledge</t>
        </is>
      </c>
      <c r="F28" s="18" t="inlineStr">
        <is>
          <t>Node.js</t>
        </is>
      </c>
      <c r="G28" s="18" t="inlineStr">
        <is>
          <t>Which runtime lets you run JavaScript outside the browser?</t>
        </is>
      </c>
      <c r="H28" s="17" t="n"/>
      <c r="I28" s="18" t="inlineStr">
        <is>
          <t>Runtime</t>
        </is>
      </c>
      <c r="J28" s="18" t="inlineStr">
        <is>
          <t>Very high</t>
        </is>
      </c>
      <c r="K28" s="18" t="n">
        <v>5</v>
      </c>
      <c r="L28" s="18" t="inlineStr">
        <is>
          <t>JavaScript was limited to browsers, so Node.js took the same engine to servers and tools.</t>
        </is>
      </c>
      <c r="M28" s="18" t="inlineStr">
        <is>
          <t>Check the Node version with node --version, since features differ.</t>
        </is>
      </c>
      <c r="N28" s="17" t="n"/>
      <c r="O28" s="18" t="inlineStr">
        <is>
          <t>Node is a portable engine that lets JavaScript work in any workshop.</t>
        </is>
      </c>
      <c r="P28" s="18" t="inlineStr">
        <is>
          <t>A terminal window running a script file with the node command.</t>
        </is>
      </c>
      <c r="Q28" s="18" t="inlineStr">
        <is>
          <t>The thrill of running your first script outside the browser.</t>
        </is>
      </c>
      <c r="R28" s="18" t="inlineStr">
        <is>
          <t>Node.js is a runtime built on the V8 engine that runs JavaScript on servers and computers, with built-in modules for files, networks and more.</t>
        </is>
      </c>
      <c r="S28" s="17" t="n"/>
      <c r="T28" s="19" t="inlineStr">
        <is>
          <t>// hello.js
const os = require("os");
console.log("Hello from Node", process.version.startsWith("v"));
console.log(typeof os.cpus().length);</t>
        </is>
      </c>
      <c r="U28" s="19" t="inlineStr">
        <is>
          <t>Hello from Node true
number</t>
        </is>
      </c>
      <c r="V28" s="18" t="inlineStr">
        <is>
          <t>Node runs a file with the node command. It provides modules such as fs, path, http and os, and a global process object for arguments and the environment. It uses a single thread with an event loop and non-blocking input and output. Package managers add third-party libraries. There is no window or document, since there is no browser.</t>
        </is>
      </c>
      <c r="W28" s="18" t="inlineStr">
        <is>
          <t>Run node file.js to execute JavaScript on your machine.</t>
        </is>
      </c>
      <c r="X28" s="18" t="inlineStr">
        <is>
          <t>Node is a portable engine that lets JavaScript work in any workshop.</t>
        </is>
      </c>
      <c r="Y28" s="19" t="inlineStr">
        <is>
          <t>node file.js | node --version</t>
        </is>
      </c>
      <c r="Z28" s="18" t="inlineStr">
        <is>
          <t>node = the runtime | process = global info | modules = fs, path, http</t>
        </is>
      </c>
      <c r="AA28" s="19" t="inlineStr">
        <is>
          <t>node -e "console.log(1 + 1)"</t>
        </is>
      </c>
      <c r="AB28" s="19" t="inlineStr">
        <is>
          <t>console.log(process.argv);</t>
        </is>
      </c>
      <c r="AC28" s="19" t="inlineStr">
        <is>
          <t>node --watch server.js</t>
        </is>
      </c>
      <c r="AD28" s="19" t="inlineStr">
        <is>
          <t>node --env-file=.env app.js   // load a .env file in recent versions</t>
        </is>
      </c>
      <c r="AE28" s="18" t="inlineStr">
        <is>
          <t>npm, package.json, ES modules</t>
        </is>
      </c>
      <c r="AF28" s="18" t="inlineStr">
        <is>
          <t>npm and package.json, ES modules vs CommonJS, file system, HTTP server</t>
        </is>
      </c>
      <c r="AG28" s="18" t="inlineStr">
        <is>
          <t>Deno | Bun</t>
        </is>
      </c>
      <c r="AH28" s="17" t="n"/>
      <c r="AI28" s="18" t="inlineStr">
        <is>
          <t>Servers | Scripts | Tooling</t>
        </is>
      </c>
      <c r="AJ28" s="18" t="inlineStr">
        <is>
          <t>A: Does my script run in the browser or Node? | B: In Node, so there is no window object.</t>
        </is>
      </c>
      <c r="AK28" s="18" t="inlineStr">
        <is>
          <t>✗ Node.js is a programming language → ✓ It is a runtime that runs JavaScript outside the browser</t>
        </is>
      </c>
      <c r="AL28" s="18" t="inlineStr">
        <is>
          <t>Node vs browser: Node has fs and process, the browser has window and document.</t>
        </is>
      </c>
      <c r="AM28" s="18" t="inlineStr">
        <is>
          <t>Do not use browser-only globals in Node scripts.</t>
        </is>
      </c>
      <c r="AN28" s="19" t="inlineStr">
        <is>
          <t>console.log(window.location);</t>
        </is>
      </c>
      <c r="AO28" s="19" t="inlineStr">
        <is>
          <t>console.log(process.argv);</t>
        </is>
      </c>
      <c r="AP28" s="18" t="inlineStr">
        <is>
          <t>Node has process, browsers have window.</t>
        </is>
      </c>
      <c r="AQ28" s="18" t="inlineStr">
        <is>
          <t>Writing a data cleaning script in Node let the team reuse JavaScript skills.</t>
        </is>
      </c>
      <c r="AR28" s="18" t="inlineStr">
        <is>
          <t>An interviewer may ask: Is Node single threaded?</t>
        </is>
      </c>
      <c r="AS28" s="18" t="inlineStr">
        <is>
          <t>It is like a portable engine for any workshop.</t>
        </is>
      </c>
      <c r="AT28" s="18" t="inlineStr">
        <is>
          <t>Which global holds command line arguments in Node?</t>
        </is>
      </c>
      <c r="AU28" s="18" t="inlineStr">
        <is>
          <t>A) global.cmd B) process.argv C) document.args D) window.args</t>
        </is>
      </c>
      <c r="AV28" s="18" t="inlineStr">
        <is>
          <t>B</t>
        </is>
      </c>
      <c r="AW28" s="18" t="inlineStr">
        <is>
          <t>process.argv lists the arguments.</t>
        </is>
      </c>
      <c r="AX28" s="19" t="inlineStr">
        <is>
          <t>The engine behind Node is called ____ → V8</t>
        </is>
      </c>
      <c r="AY28" s="18" t="inlineStr">
        <is>
          <t>Run the file app.js with Node.</t>
        </is>
      </c>
      <c r="AZ28" s="19" t="inlineStr">
        <is>
          <t>node app.js</t>
        </is>
      </c>
      <c r="BA28" s="18" t="inlineStr">
        <is>
          <t>Write a script that prints its command line arguments.</t>
        </is>
      </c>
      <c r="BB28" s="19" t="inlineStr">
        <is>
          <t>Does Node have window or document?</t>
        </is>
      </c>
      <c r="BC28" s="19" t="inlineStr">
        <is>
          <t>No, those belong to browsers.</t>
        </is>
      </c>
      <c r="BD28" s="17">
        <f>IF(K28="","",REPT("★",K28)&amp;REPT("☆",5-K28)&amp;" ("&amp;K28&amp;"/5)")</f>
        <v/>
      </c>
      <c r="BE28" s="17">
        <f>IF(S28="","","Meaning: "&amp;S28&amp;"  =  ______   (Answer: "&amp;F28&amp;")")</f>
        <v/>
      </c>
      <c r="BF28" s="17" t="inlineStr">
        <is>
          <t>New</t>
        </is>
      </c>
      <c r="BG28" s="17" t="n"/>
      <c r="BH28" s="17" t="n"/>
      <c r="BI28" s="17" t="n"/>
      <c r="BJ28" s="17" t="n"/>
      <c r="BK28" s="17" t="n"/>
      <c r="BL28" s="17" t="n"/>
      <c r="BM28" s="17" t="n"/>
      <c r="BN28" s="17" t="n"/>
    </row>
    <row r="29" ht="108" customHeight="1">
      <c r="A29" s="17" t="inlineStr">
        <is>
          <t>TS-027</t>
        </is>
      </c>
      <c r="B29" s="17" t="inlineStr">
        <is>
          <t>03 Node and Tooling</t>
        </is>
      </c>
      <c r="C29" s="17" t="inlineStr">
        <is>
          <t>Beginner</t>
        </is>
      </c>
      <c r="D29" s="17" t="n">
        <v>27</v>
      </c>
      <c r="E29" s="17" t="inlineStr">
        <is>
          <t>Claude knowledge</t>
        </is>
      </c>
      <c r="F29" s="18" t="inlineStr">
        <is>
          <t>npm and package.json</t>
        </is>
      </c>
      <c r="G29" s="18" t="inlineStr">
        <is>
          <t>Which tool and file manage the libraries a JavaScript project uses?</t>
        </is>
      </c>
      <c r="H29" s="17" t="n"/>
      <c r="I29" s="18" t="inlineStr">
        <is>
          <t>Package manager</t>
        </is>
      </c>
      <c r="J29" s="18" t="inlineStr">
        <is>
          <t>Very high</t>
        </is>
      </c>
      <c r="K29" s="18" t="n">
        <v>5</v>
      </c>
      <c r="L29" s="18" t="inlineStr">
        <is>
          <t>Projects share code through libraries, so a package manager and a manifest file keep track of what is needed.</t>
        </is>
      </c>
      <c r="M29" s="18" t="inlineStr">
        <is>
          <t>Commit the lockfile so everyone installs identical versions.</t>
        </is>
      </c>
      <c r="N29" s="17" t="n"/>
      <c r="O29" s="18" t="inlineStr">
        <is>
          <t>package.json is a shopping list, and node_modules is the bag of groceries.</t>
        </is>
      </c>
      <c r="P29" s="18" t="inlineStr">
        <is>
          <t>A file listing dependencies and a folder of installed packages.</t>
        </is>
      </c>
      <c r="Q29" s="18" t="inlineStr">
        <is>
          <t>The ease of installing a library in one command.</t>
        </is>
      </c>
      <c r="R29" s="18" t="inlineStr">
        <is>
          <t>npm installs and manages packages, and package.json records the project name, scripts and dependencies with version ranges.</t>
        </is>
      </c>
      <c r="S29" s="17" t="n"/>
      <c r="T29" s="19" t="inlineStr">
        <is>
          <t>npm init -y
npm install express
npm install --save-dev typescript
npm ls --depth=0
cat package.json</t>
        </is>
      </c>
      <c r="U29" s="19" t="inlineStr">
        <is>
          <t>A package.json is created, express is added under dependencies, typescript under devDependencies, and the dependency list is shown.</t>
        </is>
      </c>
      <c r="V29" s="18" t="inlineStr">
        <is>
          <t>dependencies are needed at run time, and devDependencies only for development. A lockfile pins exact versions and should be committed. Version ranges such as ^4.18.0 allow compatible updates. node_modules should not be committed. npm ci installs exactly from the lockfile, which suits CI. npm audit reports known vulnerabilities.</t>
        </is>
      </c>
      <c r="W29" s="18" t="inlineStr">
        <is>
          <t>package.json lists what you need, npm installs it, and the lockfile fixes versions.</t>
        </is>
      </c>
      <c r="X29" s="18" t="inlineStr">
        <is>
          <t>package.json is a shopping list, and node_modules is the bag of groceries.</t>
        </is>
      </c>
      <c r="Y29" s="19" t="inlineStr">
        <is>
          <t>npm install &lt;package&gt; | npm install -D &lt;package&gt;</t>
        </is>
      </c>
      <c r="Z29" s="18" t="inlineStr">
        <is>
          <t>dependencies = runtime | devDependencies = tools | lockfile = exact versions | node_modules = installed code</t>
        </is>
      </c>
      <c r="AA29" s="19" t="inlineStr">
        <is>
          <t>npm install lodash</t>
        </is>
      </c>
      <c r="AB29" s="19" t="inlineStr">
        <is>
          <t>npm ci</t>
        </is>
      </c>
      <c r="AC29" s="19" t="inlineStr">
        <is>
          <t>npm audit</t>
        </is>
      </c>
      <c r="AD29" s="19" t="inlineStr">
        <is>
          <t>npm install express@4   // choose a major version</t>
        </is>
      </c>
      <c r="AE29" s="18" t="inlineStr">
        <is>
          <t>Node, scripts, CI</t>
        </is>
      </c>
      <c r="AF29" s="18" t="inlineStr">
        <is>
          <t>Node.js, scripts, ES modules, CI</t>
        </is>
      </c>
      <c r="AG29" s="18" t="inlineStr">
        <is>
          <t>yarn | pnpm</t>
        </is>
      </c>
      <c r="AH29" s="17" t="n"/>
      <c r="AI29" s="18" t="inlineStr">
        <is>
          <t>Every project | CI | Deployments</t>
        </is>
      </c>
      <c r="AJ29" s="18" t="inlineStr">
        <is>
          <t>A: It works on my laptop but not in CI. | B: Commit the lockfile and use npm ci.</t>
        </is>
      </c>
      <c r="AK29" s="18" t="inlineStr">
        <is>
          <t>✗ node_modules should be committed to Git → ✓ It is generated from package.json and the lockfile, so keep it out of Git</t>
        </is>
      </c>
      <c r="AL29" s="18" t="inlineStr">
        <is>
          <t>npm install vs npm ci: install may update the lockfile, ci installs exactly from it.</t>
        </is>
      </c>
      <c r="AM29" s="18" t="inlineStr">
        <is>
          <t>Never commit the node_modules folder to Git.</t>
        </is>
      </c>
      <c r="AN29" s="19" t="inlineStr">
        <is>
          <t>npm install typescript   // for a build tool</t>
        </is>
      </c>
      <c r="AO29" s="19" t="inlineStr">
        <is>
          <t>npm install --save-dev typescript</t>
        </is>
      </c>
      <c r="AP29" s="18" t="inlineStr">
        <is>
          <t>Lockfile in Git, node_modules out.</t>
        </is>
      </c>
      <c r="AQ29" s="18" t="inlineStr">
        <is>
          <t>Switching CI to npm ci made builds identical to developer machines.</t>
        </is>
      </c>
      <c r="AR29" s="18" t="inlineStr">
        <is>
          <t>An interviewer may ask: What is the difference between dependencies and devDependencies?</t>
        </is>
      </c>
      <c r="AS29" s="18" t="inlineStr">
        <is>
          <t>It is like a shopping list and a bag of groceries.</t>
        </is>
      </c>
      <c r="AT29" s="18" t="inlineStr">
        <is>
          <t>Which command installs exactly what the lockfile says?</t>
        </is>
      </c>
      <c r="AU29" s="18" t="inlineStr">
        <is>
          <t>A) npm ci B) npm audit C) npm init D) npm ls</t>
        </is>
      </c>
      <c r="AV29" s="18" t="inlineStr">
        <is>
          <t>A</t>
        </is>
      </c>
      <c r="AW29" s="18" t="inlineStr">
        <is>
          <t>ci is a clean install from the lockfile.</t>
        </is>
      </c>
      <c r="AX29" s="19" t="inlineStr">
        <is>
          <t>Tools needed only during development are ____ → devDependencies</t>
        </is>
      </c>
      <c r="AY29" s="18" t="inlineStr">
        <is>
          <t>Install express as a dependency.</t>
        </is>
      </c>
      <c r="AZ29" s="19" t="inlineStr">
        <is>
          <t>npm install express</t>
        </is>
      </c>
      <c r="BA29" s="18" t="inlineStr">
        <is>
          <t>Create a project, add one dependency and one dev dependency, and list them.</t>
        </is>
      </c>
      <c r="BB29" s="19" t="inlineStr">
        <is>
          <t>Should node_modules be committed to Git?</t>
        </is>
      </c>
      <c r="BC29" s="19" t="inlineStr">
        <is>
          <t>No, it can be rebuilt from the lockfile.</t>
        </is>
      </c>
      <c r="BD29" s="17">
        <f>IF(K29="","",REPT("★",K29)&amp;REPT("☆",5-K29)&amp;" ("&amp;K29&amp;"/5)")</f>
        <v/>
      </c>
      <c r="BE29" s="17">
        <f>IF(S29="","","Meaning: "&amp;S29&amp;"  =  ______   (Answer: "&amp;F29&amp;")")</f>
        <v/>
      </c>
      <c r="BF29" s="17" t="inlineStr">
        <is>
          <t>New</t>
        </is>
      </c>
      <c r="BG29" s="17" t="n"/>
      <c r="BH29" s="17" t="n"/>
      <c r="BI29" s="17" t="n"/>
      <c r="BJ29" s="17" t="n"/>
      <c r="BK29" s="17" t="n"/>
      <c r="BL29" s="17" t="n"/>
      <c r="BM29" s="17" t="n"/>
      <c r="BN29" s="17" t="n"/>
    </row>
    <row r="30" ht="135" customHeight="1">
      <c r="A30" s="17" t="inlineStr">
        <is>
          <t>TS-028</t>
        </is>
      </c>
      <c r="B30" s="17" t="inlineStr">
        <is>
          <t>03 Node and Tooling</t>
        </is>
      </c>
      <c r="C30" s="17" t="inlineStr">
        <is>
          <t>Beginner</t>
        </is>
      </c>
      <c r="D30" s="17" t="n">
        <v>28</v>
      </c>
      <c r="E30" s="17" t="inlineStr">
        <is>
          <t>Claude knowledge</t>
        </is>
      </c>
      <c r="F30" s="18" t="inlineStr">
        <is>
          <t>npm scripts</t>
        </is>
      </c>
      <c r="G30" s="18" t="inlineStr">
        <is>
          <t>How do you name and run common project tasks such as test and build?</t>
        </is>
      </c>
      <c r="H30" s="17" t="n"/>
      <c r="I30" s="18" t="inlineStr">
        <is>
          <t>Tooling</t>
        </is>
      </c>
      <c r="J30" s="18" t="inlineStr">
        <is>
          <t>Very high</t>
        </is>
      </c>
      <c r="K30" s="18" t="n">
        <v>4</v>
      </c>
      <c r="L30" s="18" t="inlineStr">
        <is>
          <t>Teams repeated long commands, so package.json gained a scripts section that gives each task a short name.</t>
        </is>
      </c>
      <c r="M30" s="18" t="inlineStr">
        <is>
          <t>Use the same script names across projects, such as dev, build and test.</t>
        </is>
      </c>
      <c r="N30" s="17" t="n"/>
      <c r="O30" s="18" t="inlineStr">
        <is>
          <t>Scripts are speed-dial buttons for your longest commands.</t>
        </is>
      </c>
      <c r="P30" s="18" t="inlineStr">
        <is>
          <t>A scripts block with short names mapped to commands.</t>
        </is>
      </c>
      <c r="Q30" s="18" t="inlineStr">
        <is>
          <t>The convenience of one short command for everything.</t>
        </is>
      </c>
      <c r="R30" s="18" t="inlineStr">
        <is>
          <t>The scripts field in package.json maps names to shell commands, which you run with npm run name.</t>
        </is>
      </c>
      <c r="S30" s="17" t="n"/>
      <c r="T30" s="19" t="inlineStr">
        <is>
          <t>{
  "scripts": {
    "dev": "node --watch server.js",
    "build": "tsc",
    "test": "node --test",
    "lint": "eslint ."
  }
}
npm run dev
npm test</t>
        </is>
      </c>
      <c r="U30" s="19" t="inlineStr">
        <is>
          <t>npm run dev starts the server in watch mode, and npm test runs the tests.</t>
        </is>
      </c>
      <c r="V30" s="18" t="inlineStr">
        <is>
          <t>test and start can be run without the word run. Scripts can call locally installed tools directly, since node_modules/.bin is on the path. Scripts named with pre and post prefixes run before and after another. Extra arguments go after two dashes. Keep scripts short and put complex logic in files.</t>
        </is>
      </c>
      <c r="W30" s="18" t="inlineStr">
        <is>
          <t>Add commands under scripts and run them with npm run name.</t>
        </is>
      </c>
      <c r="X30" s="18" t="inlineStr">
        <is>
          <t>Scripts are speed-dial buttons for your longest commands.</t>
        </is>
      </c>
      <c r="Y30" s="19" t="inlineStr">
        <is>
          <t>"scripts": { "name": "command" } | npm run name</t>
        </is>
      </c>
      <c r="Z30" s="18" t="inlineStr">
        <is>
          <t>name = what you type | command = what runs | -- = pass extra arguments</t>
        </is>
      </c>
      <c r="AA30" s="19" t="inlineStr">
        <is>
          <t>npm run build -- --watch</t>
        </is>
      </c>
      <c r="AB30" s="19" t="inlineStr">
        <is>
          <t>"prebuild": "rm -rf dist"</t>
        </is>
      </c>
      <c r="AC30" s="19" t="inlineStr">
        <is>
          <t>npm start</t>
        </is>
      </c>
      <c r="AD30" s="19" t="inlineStr">
        <is>
          <t>npm run --workspaces test   // run in every workspace</t>
        </is>
      </c>
      <c r="AE30" s="18" t="inlineStr">
        <is>
          <t>CI, TypeScript, linting</t>
        </is>
      </c>
      <c r="AF30" s="18" t="inlineStr">
        <is>
          <t>npm and package.json, CI, TypeScript, environment variables</t>
        </is>
      </c>
      <c r="AG30" s="18" t="inlineStr">
        <is>
          <t>Makefile | task runners</t>
        </is>
      </c>
      <c r="AH30" s="17" t="n"/>
      <c r="AI30" s="18" t="inlineStr">
        <is>
          <t>Every project | CI | Onboarding</t>
        </is>
      </c>
      <c r="AJ30" s="18" t="inlineStr">
        <is>
          <t>A: How do I run the tests? | B: Run npm test, which is in the scripts section.</t>
        </is>
      </c>
      <c r="AK30" s="18" t="inlineStr">
        <is>
          <t>✗ Scripts can only run Node files → ✓ They can run any shell command, including installed tools</t>
        </is>
      </c>
      <c r="AL30" s="18" t="inlineStr">
        <is>
          <t>npm start vs npm run dev: start is a special name, dev needs run.</t>
        </is>
      </c>
      <c r="AM30" s="18" t="inlineStr">
        <is>
          <t>Do not hide complex logic inside one long script line.</t>
        </is>
      </c>
      <c r="AN30" s="19" t="inlineStr">
        <is>
          <t>npm dev</t>
        </is>
      </c>
      <c r="AO30" s="19" t="inlineStr">
        <is>
          <t>npm run dev</t>
        </is>
      </c>
      <c r="AP30" s="18" t="inlineStr">
        <is>
          <t>Only test and start skip the word run.</t>
        </is>
      </c>
      <c r="AQ30" s="18" t="inlineStr">
        <is>
          <t>Adding standard scripts let new developers run the project with three commands.</t>
        </is>
      </c>
      <c r="AR30" s="18" t="inlineStr">
        <is>
          <t>An interviewer may ask: How do you add arguments to an npm script?</t>
        </is>
      </c>
      <c r="AS30" s="18" t="inlineStr">
        <is>
          <t>It is like speed-dial buttons for long commands.</t>
        </is>
      </c>
      <c r="AT30" s="18" t="inlineStr">
        <is>
          <t>Which script name can run without the word run?</t>
        </is>
      </c>
      <c r="AU30" s="18" t="inlineStr">
        <is>
          <t>A) dev B) build C) test D) deploy</t>
        </is>
      </c>
      <c r="AV30" s="18" t="inlineStr">
        <is>
          <t>C</t>
        </is>
      </c>
      <c r="AW30" s="18" t="inlineStr">
        <is>
          <t>test and start have shortcuts.</t>
        </is>
      </c>
      <c r="AX30" s="19" t="inlineStr">
        <is>
          <t>Extra arguments for a script go after ____ → two dashes</t>
        </is>
      </c>
      <c r="AY30" s="18" t="inlineStr">
        <is>
          <t>Run the build script.</t>
        </is>
      </c>
      <c r="AZ30" s="19" t="inlineStr">
        <is>
          <t>npm run build</t>
        </is>
      </c>
      <c r="BA30" s="18" t="inlineStr">
        <is>
          <t>Add a lint script and a test script to a package.json.</t>
        </is>
      </c>
      <c r="BB30" s="19" t="inlineStr">
        <is>
          <t>What does a prebuild script do?</t>
        </is>
      </c>
      <c r="BC30" s="19" t="inlineStr">
        <is>
          <t>It runs automatically before the build script.</t>
        </is>
      </c>
      <c r="BD30" s="17">
        <f>IF(K30="","",REPT("★",K30)&amp;REPT("☆",5-K30)&amp;" ("&amp;K30&amp;"/5)")</f>
        <v/>
      </c>
      <c r="BE30" s="17">
        <f>IF(S30="","","Meaning: "&amp;S30&amp;"  =  ______   (Answer: "&amp;F30&amp;")")</f>
        <v/>
      </c>
      <c r="BF30" s="17" t="inlineStr">
        <is>
          <t>New</t>
        </is>
      </c>
      <c r="BG30" s="17" t="n"/>
      <c r="BH30" s="17" t="n"/>
      <c r="BI30" s="17" t="n"/>
      <c r="BJ30" s="17" t="n"/>
      <c r="BK30" s="17" t="n"/>
      <c r="BL30" s="17" t="n"/>
      <c r="BM30" s="17" t="n"/>
      <c r="BN30" s="17" t="n"/>
    </row>
    <row r="31" ht="108" customHeight="1">
      <c r="A31" s="17" t="inlineStr">
        <is>
          <t>TS-029</t>
        </is>
      </c>
      <c r="B31" s="17" t="inlineStr">
        <is>
          <t>03 Node and Tooling</t>
        </is>
      </c>
      <c r="C31" s="17" t="inlineStr">
        <is>
          <t>Intermediate</t>
        </is>
      </c>
      <c r="D31" s="17" t="n">
        <v>29</v>
      </c>
      <c r="E31" s="17" t="inlineStr">
        <is>
          <t>Claude knowledge</t>
        </is>
      </c>
      <c r="F31" s="18" t="inlineStr">
        <is>
          <t>Environment variables in Node</t>
        </is>
      </c>
      <c r="G31" s="18" t="inlineStr">
        <is>
          <t>How does a Node program read settings and secrets from its environment?</t>
        </is>
      </c>
      <c r="H31" s="17" t="n"/>
      <c r="I31" s="18" t="inlineStr">
        <is>
          <t>Configuration</t>
        </is>
      </c>
      <c r="J31" s="18" t="inlineStr">
        <is>
          <t>Very high</t>
        </is>
      </c>
      <c r="K31" s="18" t="n">
        <v>5</v>
      </c>
      <c r="L31" s="18" t="inlineStr">
        <is>
          <t>Settings differ between machines and secrets must stay out of code, so programs read them from the environment.</t>
        </is>
      </c>
      <c r="M31" s="18" t="inlineStr">
        <is>
          <t>Validate required variables at startup and fail with a clear message.</t>
        </is>
      </c>
      <c r="N31" s="17" t="n"/>
      <c r="O31" s="18" t="inlineStr">
        <is>
          <t>Environment variables are notes pinned to the room the program runs in.</t>
        </is>
      </c>
      <c r="P31" s="18" t="inlineStr">
        <is>
          <t>A process reading values from the surrounding environment.</t>
        </is>
      </c>
      <c r="Q31" s="18" t="inlineStr">
        <is>
          <t>The calm of keeping secrets out of the code.</t>
        </is>
      </c>
      <c r="R31" s="18" t="inlineStr">
        <is>
          <t>process.env holds environment variables as strings, which can be set in the shell, in a .env file or by the platform.</t>
        </is>
      </c>
      <c r="S31" s="17" t="n"/>
      <c r="T31" s="19" t="inlineStr">
        <is>
          <t>// PORT=4000 node app.js
const port = Number(process.env.PORT ?? 3000);
if (!process.env.API_KEY) {
  throw new Error("API_KEY is required. Set it in your environment.");
}
console.log(`listening on ${port}`);</t>
        </is>
      </c>
      <c r="U31" s="19" t="inlineStr">
        <is>
          <t>Throws the missing key error, or prints listening on 4000 when both are set</t>
        </is>
      </c>
      <c r="V31" s="18" t="inlineStr">
        <is>
          <t>All values are strings, so convert numbers explicitly. Recent Node versions can load a .env file with a flag, and libraries such as dotenv did this before. The .env file must stay out of Git. Browsers do not have process.env, and build tools expose only variables with a special prefix. Never log secrets.</t>
        </is>
      </c>
      <c r="W31" s="18" t="inlineStr">
        <is>
          <t>Read process.env, convert types, and fail early when something is missing.</t>
        </is>
      </c>
      <c r="X31" s="18" t="inlineStr">
        <is>
          <t>Environment variables are notes pinned to the room the program runs in.</t>
        </is>
      </c>
      <c r="Y31" s="19" t="inlineStr">
        <is>
          <t>process.env.NAME</t>
        </is>
      </c>
      <c r="Z31" s="18" t="inlineStr">
        <is>
          <t>process.env = all variables | values are strings | .env = local file</t>
        </is>
      </c>
      <c r="AA31" s="19" t="inlineStr">
        <is>
          <t>const isProd = process.env.NODE_ENV === "production";</t>
        </is>
      </c>
      <c r="AB31" s="19" t="inlineStr">
        <is>
          <t>node --env-file=.env app.js</t>
        </is>
      </c>
      <c r="AC31" s="19" t="inlineStr">
        <is>
          <t>const url = process.env.DATABASE_URL;</t>
        </is>
      </c>
      <c r="AD31" s="19" t="inlineStr">
        <is>
          <t>PORT=5000 npm start   // set for one command</t>
        </is>
      </c>
      <c r="AE31" s="18" t="inlineStr">
        <is>
          <t>dotenv, Docker, CI secrets</t>
        </is>
      </c>
      <c r="AF31" s="18" t="inlineStr">
        <is>
          <t>Node.js, npm scripts, secrets in CI, Docker</t>
        </is>
      </c>
      <c r="AG31" s="18" t="inlineStr">
        <is>
          <t>Config files | secret managers</t>
        </is>
      </c>
      <c r="AH31" s="17" t="n"/>
      <c r="AI31" s="18" t="inlineStr">
        <is>
          <t>Servers | Scripts | Deployments</t>
        </is>
      </c>
      <c r="AJ31" s="18" t="inlineStr">
        <is>
          <t>A: Why does my port comparison fail? | B: The value is a string, so convert it with Number.</t>
        </is>
      </c>
      <c r="AK31" s="18" t="inlineStr">
        <is>
          <t>✗ process.env values keep their types → ✓ Every value is a string</t>
        </is>
      </c>
      <c r="AL31" s="18" t="inlineStr">
        <is>
          <t>process.env vs config file: env is set outside the code, a file lives with it.</t>
        </is>
      </c>
      <c r="AM31" s="18" t="inlineStr">
        <is>
          <t>Do not commit .env files.</t>
        </is>
      </c>
      <c r="AN31" s="19" t="inlineStr">
        <is>
          <t>const port = process.env.PORT + 1;</t>
        </is>
      </c>
      <c r="AO31" s="19" t="inlineStr">
        <is>
          <t>const port = Number(process.env.PORT) + 1;</t>
        </is>
      </c>
      <c r="AP31" s="18" t="inlineStr">
        <is>
          <t>Env values are always strings first.</t>
        </is>
      </c>
      <c r="AQ31" s="18" t="inlineStr">
        <is>
          <t>Failing fast on a missing key saved hours when a deploy lacked its secret.</t>
        </is>
      </c>
      <c r="AR31" s="18" t="inlineStr">
        <is>
          <t>An interviewer may ask: How do you manage secrets in a Node app?</t>
        </is>
      </c>
      <c r="AS31" s="18" t="inlineStr">
        <is>
          <t>It is like a note pinned to the room.</t>
        </is>
      </c>
      <c r="AT31" s="18" t="inlineStr">
        <is>
          <t>What type are process.env values?</t>
        </is>
      </c>
      <c r="AU31" s="18" t="inlineStr">
        <is>
          <t>A) Numbers B) Booleans C) Objects D) Strings</t>
        </is>
      </c>
      <c r="AV31" s="18" t="inlineStr">
        <is>
          <t>D</t>
        </is>
      </c>
      <c r="AW31" s="18" t="inlineStr">
        <is>
          <t>The environment stores text only.</t>
        </is>
      </c>
      <c r="AX31" s="19" t="inlineStr">
        <is>
          <t>Values from process.env must be converted from ____ → strings</t>
        </is>
      </c>
      <c r="AY31" s="18" t="inlineStr">
        <is>
          <t>Read PORT as a number with a default of 3000.</t>
        </is>
      </c>
      <c r="AZ31" s="19" t="inlineStr">
        <is>
          <t>const port = Number(process.env.PORT ?? 3000);</t>
        </is>
      </c>
      <c r="BA31" s="18" t="inlineStr">
        <is>
          <t>Write startup code that checks three required variables.</t>
        </is>
      </c>
      <c r="BB31" s="19" t="inlineStr">
        <is>
          <t>Should .env files be committed?</t>
        </is>
      </c>
      <c r="BC31" s="19" t="inlineStr">
        <is>
          <t>No, they often hold secrets.</t>
        </is>
      </c>
      <c r="BD31" s="17">
        <f>IF(K31="","",REPT("★",K31)&amp;REPT("☆",5-K31)&amp;" ("&amp;K31&amp;"/5)")</f>
        <v/>
      </c>
      <c r="BE31" s="17">
        <f>IF(S31="","","Meaning: "&amp;S31&amp;"  =  ______   (Answer: "&amp;F31&amp;")")</f>
        <v/>
      </c>
      <c r="BF31" s="17" t="inlineStr">
        <is>
          <t>New</t>
        </is>
      </c>
      <c r="BG31" s="17" t="n"/>
      <c r="BH31" s="17" t="n"/>
      <c r="BI31" s="17" t="n"/>
      <c r="BJ31" s="17" t="n"/>
      <c r="BK31" s="17" t="n"/>
      <c r="BL31" s="17" t="n"/>
      <c r="BM31" s="17" t="n"/>
      <c r="BN31" s="17" t="n"/>
    </row>
    <row r="32" ht="108" customHeight="1">
      <c r="A32" s="17" t="inlineStr">
        <is>
          <t>TS-030</t>
        </is>
      </c>
      <c r="B32" s="17" t="inlineStr">
        <is>
          <t>03 Node and Tooling</t>
        </is>
      </c>
      <c r="C32" s="17" t="inlineStr">
        <is>
          <t>Intermediate</t>
        </is>
      </c>
      <c r="D32" s="17" t="n">
        <v>30</v>
      </c>
      <c r="E32" s="17" t="inlineStr">
        <is>
          <t>Claude knowledge</t>
        </is>
      </c>
      <c r="F32" s="18" t="inlineStr">
        <is>
          <t>File system module</t>
        </is>
      </c>
      <c r="G32" s="18" t="inlineStr">
        <is>
          <t>Which module reads and writes files in Node?</t>
        </is>
      </c>
      <c r="H32" s="17" t="n"/>
      <c r="I32" s="18" t="inlineStr">
        <is>
          <t>Node module</t>
        </is>
      </c>
      <c r="J32" s="18" t="inlineStr">
        <is>
          <t>High</t>
        </is>
      </c>
      <c r="K32" s="18" t="n">
        <v>4</v>
      </c>
      <c r="L32" s="18" t="inlineStr">
        <is>
          <t>Scripts and servers need to work with files, so Node ships a built-in module for it.</t>
        </is>
      </c>
      <c r="M32" s="18" t="inlineStr">
        <is>
          <t>Prefer the promise-based version with await in new code.</t>
        </is>
      </c>
      <c r="N32" s="17" t="n"/>
      <c r="O32" s="18" t="inlineStr">
        <is>
          <t>The fs module is the librarian who fetches and files documents on request.</t>
        </is>
      </c>
      <c r="P32" s="18" t="inlineStr">
        <is>
          <t>A script reading a file and writing a new one.</t>
        </is>
      </c>
      <c r="Q32" s="18" t="inlineStr">
        <is>
          <t>The ease of processing files with a few lines.</t>
        </is>
      </c>
      <c r="R32" s="18" t="inlineStr">
        <is>
          <t>The fs module provides functions to read, write, list and delete files and folders, and the promise-based version works with async and await.</t>
        </is>
      </c>
      <c r="S32" s="17" t="n"/>
      <c r="T32" s="19" t="inlineStr">
        <is>
          <t>import { readFile, writeFile, readdir } from "node:fs/promises";
const text = await readFile("data.json", "utf8");
const data = JSON.parse(text);
await writeFile("out.json", JSON.stringify(data, null, 2));
console.log(await readdir("."));</t>
        </is>
      </c>
      <c r="U32" s="19" t="inlineStr">
        <is>
          <t>The file is read, parsed and written back, and the folder contents are listed.</t>
        </is>
      </c>
      <c r="V32" s="18" t="inlineStr">
        <is>
          <t>Reading as text needs an encoding such as utf8, otherwise you get a buffer. Synchronous versions block the event loop, so avoid them in servers. Large files should be streamed instead of loaded whole. Relative paths depend on where the process starts, so build absolute paths with the path module. Handle the missing file error.</t>
        </is>
      </c>
      <c r="W32" s="18" t="inlineStr">
        <is>
          <t>Use fs/promises with await, give an encoding, and build paths with the path module.</t>
        </is>
      </c>
      <c r="X32" s="18" t="inlineStr">
        <is>
          <t>The fs module is the librarian who fetches and files documents on request.</t>
        </is>
      </c>
      <c r="Y32" s="19" t="inlineStr">
        <is>
          <t>await readFile(path, "utf8") | await writeFile(path, data)</t>
        </is>
      </c>
      <c r="Z32" s="18" t="inlineStr">
        <is>
          <t>readFile = read | writeFile = write | readdir = list | encoding = utf8 for text</t>
        </is>
      </c>
      <c r="AA32" s="19" t="inlineStr">
        <is>
          <t>await mkdir("out", { recursive: true });</t>
        </is>
      </c>
      <c r="AB32" s="19" t="inlineStr">
        <is>
          <t>import path from "node:path"; path.join(import.meta.dirname, "x.txt");   // Node 20.11+; older: dirname(fileURLToPath(import.meta.url))</t>
        </is>
      </c>
      <c r="AC32" s="19" t="inlineStr">
        <is>
          <t>createReadStream("big.csv").pipe(process.stdout);</t>
        </is>
      </c>
      <c r="AD32" s="19" t="inlineStr">
        <is>
          <t>readFileSync("a.txt", "utf8")   // blocking, fine in small scripts</t>
        </is>
      </c>
      <c r="AE32" s="18" t="inlineStr">
        <is>
          <t>JSON, path, streams</t>
        </is>
      </c>
      <c r="AF32" s="18" t="inlineStr">
        <is>
          <t>Node.js, JSON, async and await, ES modules</t>
        </is>
      </c>
      <c r="AG32" s="18" t="inlineStr">
        <is>
          <t>Streams for large files</t>
        </is>
      </c>
      <c r="AH32" s="17" t="n"/>
      <c r="AI32" s="18" t="inlineStr">
        <is>
          <t>Scripts | Data processing | Config loading</t>
        </is>
      </c>
      <c r="AJ32" s="18" t="inlineStr">
        <is>
          <t>A: Reading prints a buffer, not text. | B: Pass utf8 as the encoding.</t>
        </is>
      </c>
      <c r="AK32" s="18" t="inlineStr">
        <is>
          <t>✗ Synchronous file functions are fine anywhere → ✓ They block the event loop and hurt servers</t>
        </is>
      </c>
      <c r="AL32" s="18" t="inlineStr">
        <is>
          <t>fs vs fs/promises: one uses callbacks, the other returns promises.</t>
        </is>
      </c>
      <c r="AM32" s="18" t="inlineStr">
        <is>
          <t>Do not read huge files fully into memory.</t>
        </is>
      </c>
      <c r="AN32" s="19" t="inlineStr">
        <is>
          <t>const text = await readFile("a.txt");</t>
        </is>
      </c>
      <c r="AO32" s="19" t="inlineStr">
        <is>
          <t>const text = await readFile("a.txt", "utf8");</t>
        </is>
      </c>
      <c r="AP32" s="18" t="inlineStr">
        <is>
          <t>Text needs an encoding, or you get bytes.</t>
        </is>
      </c>
      <c r="AQ32" s="18" t="inlineStr">
        <is>
          <t>Streaming a large export file avoided running out of memory in a nightly job.</t>
        </is>
      </c>
      <c r="AR32" s="18" t="inlineStr">
        <is>
          <t>An interviewer may ask: Why avoid readFileSync in a server?</t>
        </is>
      </c>
      <c r="AS32" s="18" t="inlineStr">
        <is>
          <t>It is like a librarian fetching documents.</t>
        </is>
      </c>
      <c r="AT32" s="18" t="inlineStr">
        <is>
          <t>What do you get from readFile without an encoding?</t>
        </is>
      </c>
      <c r="AU32" s="18" t="inlineStr">
        <is>
          <t>A) A number B) A string C) A buffer D) JSON</t>
        </is>
      </c>
      <c r="AV32" s="18" t="inlineStr">
        <is>
          <t>C</t>
        </is>
      </c>
      <c r="AW32" s="18" t="inlineStr">
        <is>
          <t>Without an encoding the raw bytes are returned.</t>
        </is>
      </c>
      <c r="AX32" s="19" t="inlineStr">
        <is>
          <t>Large files should be handled with ____ → streams</t>
        </is>
      </c>
      <c r="AY32" s="18" t="inlineStr">
        <is>
          <t>Read the file notes.txt as text.</t>
        </is>
      </c>
      <c r="AZ32" s="19" t="inlineStr">
        <is>
          <t>const text = await readFile("notes.txt", "utf8");</t>
        </is>
      </c>
      <c r="BA32" s="18" t="inlineStr">
        <is>
          <t>Write a script that reads a JSON file and writes a formatted copy.</t>
        </is>
      </c>
      <c r="BB32" s="19" t="inlineStr">
        <is>
          <t>Why avoid synchronous reads in a server?</t>
        </is>
      </c>
      <c r="BC32" s="19" t="inlineStr">
        <is>
          <t>They block the event loop.</t>
        </is>
      </c>
      <c r="BD32" s="17">
        <f>IF(K32="","",REPT("★",K32)&amp;REPT("☆",5-K32)&amp;" ("&amp;K32&amp;"/5)")</f>
        <v/>
      </c>
      <c r="BE32" s="17">
        <f>IF(S32="","","Meaning: "&amp;S32&amp;"  =  ______   (Answer: "&amp;F32&amp;")")</f>
        <v/>
      </c>
      <c r="BF32" s="17" t="inlineStr">
        <is>
          <t>New</t>
        </is>
      </c>
      <c r="BG32" s="17" t="n"/>
      <c r="BH32" s="17" t="n"/>
      <c r="BI32" s="17" t="n"/>
      <c r="BJ32" s="17" t="n"/>
      <c r="BK32" s="17" t="n"/>
      <c r="BL32" s="17" t="n"/>
      <c r="BM32" s="17" t="n"/>
      <c r="BN32" s="17" t="n"/>
    </row>
    <row r="33" ht="148.5" customHeight="1">
      <c r="A33" s="17" t="inlineStr">
        <is>
          <t>TS-031</t>
        </is>
      </c>
      <c r="B33" s="17" t="inlineStr">
        <is>
          <t>03 Node and Tooling</t>
        </is>
      </c>
      <c r="C33" s="17" t="inlineStr">
        <is>
          <t>Intermediate</t>
        </is>
      </c>
      <c r="D33" s="17" t="n">
        <v>31</v>
      </c>
      <c r="E33" s="17" t="inlineStr">
        <is>
          <t>Claude knowledge</t>
        </is>
      </c>
      <c r="F33" s="18" t="inlineStr">
        <is>
          <t>ES modules vs CommonJS</t>
        </is>
      </c>
      <c r="G33" s="18" t="inlineStr">
        <is>
          <t>Which two module systems exist in Node, and how do you tell them apart?</t>
        </is>
      </c>
      <c r="H33" s="17" t="n"/>
      <c r="I33" s="18" t="inlineStr">
        <is>
          <t>Module system</t>
        </is>
      </c>
      <c r="J33" s="18" t="inlineStr">
        <is>
          <t>High</t>
        </is>
      </c>
      <c r="K33" s="18" t="n">
        <v>4</v>
      </c>
      <c r="L33" s="18" t="inlineStr">
        <is>
          <t>Node had its own require system before the language standard existed, so both styles now live side by side.</t>
        </is>
      </c>
      <c r="M33" s="18" t="inlineStr">
        <is>
          <t>Choose ES modules for new projects by setting type module in package.json.</t>
        </is>
      </c>
      <c r="N33" s="17" t="n"/>
      <c r="O33" s="18" t="inlineStr">
        <is>
          <t>CommonJS is the old plug type, and ES modules are the new standard socket, with adapters in between.</t>
        </is>
      </c>
      <c r="P33" s="18" t="inlineStr">
        <is>
          <t>Two plug shapes, require and import, joined by an adapter.</t>
        </is>
      </c>
      <c r="Q33" s="18" t="inlineStr">
        <is>
          <t>The relief of finally understanding the import error.</t>
        </is>
      </c>
      <c r="R33" s="18" t="inlineStr">
        <is>
          <t>CommonJS uses require and module.exports, while ES modules use import and export, and Node decides which applies from the file extension and package.json.</t>
        </is>
      </c>
      <c r="S33" s="17" t="n"/>
      <c r="T33" s="19" t="inlineStr">
        <is>
          <t>// CommonJS
const fs = require("fs");
module.exports = { run };
// ES module
import fs from "node:fs";
export function run() {}
// package.json: { "type": "module" }</t>
        </is>
      </c>
      <c r="U33" s="19" t="inlineStr">
        <is>
          <t>Both styles work, but each file must use the one it is configured for.</t>
        </is>
      </c>
      <c r="V33" s="18" t="inlineStr">
        <is>
          <t>A package.json with type module makes .js files ES modules, while .cjs is always CommonJS and .mjs is always ES module. ES modules need file extensions in relative imports and do not have __dirname by default. Older Node versions let CommonJS load ES modules only with dynamic import(); recent versions (22.12+, 20.19+) also allow require() of an ES module that has no top-level await. Mixing them causes errors such as cannot use import statement outside a module.</t>
        </is>
      </c>
      <c r="W33" s="18" t="inlineStr">
        <is>
          <t>Pick one style per project, set type in package.json, and use extensions to override.</t>
        </is>
      </c>
      <c r="X33" s="18" t="inlineStr">
        <is>
          <t>CommonJS is the old plug type, and ES modules are the new standard socket.</t>
        </is>
      </c>
      <c r="Y33" s="19" t="inlineStr">
        <is>
          <t>require("x") | import x from "x"</t>
        </is>
      </c>
      <c r="Z33" s="18" t="inlineStr">
        <is>
          <t>require = CommonJS | import = ES module | type = package.json setting | .cjs/.mjs = forced types</t>
        </is>
      </c>
      <c r="AA33" s="19" t="inlineStr">
        <is>
          <t>"type": "module"</t>
        </is>
      </c>
      <c r="AB33" s="19" t="inlineStr">
        <is>
          <t>const mod = await import("./file.js");</t>
        </is>
      </c>
      <c r="AC33" s="19" t="inlineStr">
        <is>
          <t>import { fileURLToPath } from "node:url";</t>
        </is>
      </c>
      <c r="AD33" s="19" t="inlineStr">
        <is>
          <t>import.meta.url   // the ES module replacement for __filename</t>
        </is>
      </c>
      <c r="AE33" s="18" t="inlineStr">
        <is>
          <t>package.json, TypeScript, bundlers</t>
        </is>
      </c>
      <c r="AF33" s="18" t="inlineStr">
        <is>
          <t>ES modules, npm and package.json, TypeScript, Node.js</t>
        </is>
      </c>
      <c r="AG33" s="18" t="inlineStr">
        <is>
          <t>Bundlers that convert styles</t>
        </is>
      </c>
      <c r="AH33" s="17" t="n"/>
      <c r="AI33" s="18" t="inlineStr">
        <is>
          <t>Node projects | Libraries | Migration work</t>
        </is>
      </c>
      <c r="AJ33" s="18" t="inlineStr">
        <is>
          <t>A: It says cannot use import statement outside a module. | B: Set type module in package.json or rename to .mjs.</t>
        </is>
      </c>
      <c r="AK33" s="18" t="inlineStr">
        <is>
          <t>✗ The two module systems can be mixed freely in one file → ✓ A file is one or the other, and mixing needs dynamic import</t>
        </is>
      </c>
      <c r="AL33" s="18" t="inlineStr">
        <is>
          <t>require vs import: require is sync and old, import is static and standard.</t>
        </is>
      </c>
      <c r="AM33" s="18" t="inlineStr">
        <is>
          <t>Do not use require in an ES module file.</t>
        </is>
      </c>
      <c r="AN33" s="19" t="inlineStr">
        <is>
          <t>const x = require("./x.js");   // inside an ES module</t>
        </is>
      </c>
      <c r="AO33" s="19" t="inlineStr">
        <is>
          <t>import x from "./x.js";</t>
        </is>
      </c>
      <c r="AP33" s="18" t="inlineStr">
        <is>
          <t>Type module means import and export.</t>
        </is>
      </c>
      <c r="AQ33" s="18" t="inlineStr">
        <is>
          <t>Migrating a service to ES modules removed a long list of build workarounds.</t>
        </is>
      </c>
      <c r="AR33" s="18" t="inlineStr">
        <is>
          <t>An interviewer may ask: What does type module do in package.json?</t>
        </is>
      </c>
      <c r="AS33" s="18" t="inlineStr">
        <is>
          <t>It is like an old plug and a new socket.</t>
        </is>
      </c>
      <c r="AT33" s="18" t="inlineStr">
        <is>
          <t>Which file extension is always CommonJS?</t>
        </is>
      </c>
      <c r="AU33" s="18" t="inlineStr">
        <is>
          <t>A) .cjs B) .json C) .ts D) .mjs</t>
        </is>
      </c>
      <c r="AV33" s="18" t="inlineStr">
        <is>
          <t>A</t>
        </is>
      </c>
      <c r="AW33" s="18" t="inlineStr">
        <is>
          <t>The cjs extension forces CommonJS.</t>
        </is>
      </c>
      <c r="AX33" s="19" t="inlineStr">
        <is>
          <t>The package.json field that sets the module style is ____ → type</t>
        </is>
      </c>
      <c r="AY33" s="18" t="inlineStr">
        <is>
          <t>Make all .js files in a project ES modules.</t>
        </is>
      </c>
      <c r="AZ33" s="19" t="inlineStr">
        <is>
          <t>"type": "module"</t>
        </is>
      </c>
      <c r="BA33" s="18" t="inlineStr">
        <is>
          <t>Convert a small CommonJS file to an ES module.</t>
        </is>
      </c>
      <c r="BB33" s="19" t="inlineStr">
        <is>
          <t>Do ES modules have __dirname by default?</t>
        </is>
      </c>
      <c r="BC33" s="19" t="inlineStr">
        <is>
          <t>No, use import.meta.url instead.</t>
        </is>
      </c>
      <c r="BD33" s="17">
        <f>IF(K33="","",REPT("★",K33)&amp;REPT("☆",5-K33)&amp;" ("&amp;K33&amp;"/5)")</f>
        <v/>
      </c>
      <c r="BE33" s="17">
        <f>IF(S33="","","Meaning: "&amp;S33&amp;"  =  ______   (Answer: "&amp;F33&amp;")")</f>
        <v/>
      </c>
      <c r="BF33" s="17" t="inlineStr">
        <is>
          <t>New</t>
        </is>
      </c>
      <c r="BG33" s="17" t="n"/>
      <c r="BH33" s="17" t="n"/>
      <c r="BI33" s="17" t="n"/>
      <c r="BJ33" s="17" t="n"/>
      <c r="BK33" s="17" t="n"/>
      <c r="BL33" s="17" t="n"/>
      <c r="BM33" s="17" t="n"/>
      <c r="BN33" s="17" t="n"/>
    </row>
    <row r="34" ht="175.5" customHeight="1">
      <c r="A34" s="17" t="inlineStr">
        <is>
          <t>TS-032</t>
        </is>
      </c>
      <c r="B34" s="17" t="inlineStr">
        <is>
          <t>03 Node and Tooling</t>
        </is>
      </c>
      <c r="C34" s="17" t="inlineStr">
        <is>
          <t>Intermediate</t>
        </is>
      </c>
      <c r="D34" s="17" t="n">
        <v>32</v>
      </c>
      <c r="E34" s="17" t="inlineStr">
        <is>
          <t>Claude knowledge</t>
        </is>
      </c>
      <c r="F34" s="18" t="inlineStr">
        <is>
          <t>A simple HTTP server</t>
        </is>
      </c>
      <c r="G34" s="18" t="inlineStr">
        <is>
          <t>How do you create a small web server with Node?</t>
        </is>
      </c>
      <c r="H34" s="17" t="n"/>
      <c r="I34" s="18" t="inlineStr">
        <is>
          <t>Node module</t>
        </is>
      </c>
      <c r="J34" s="18" t="inlineStr">
        <is>
          <t>High</t>
        </is>
      </c>
      <c r="K34" s="18" t="n">
        <v>4</v>
      </c>
      <c r="L34" s="18" t="inlineStr">
        <is>
          <t>Understanding servers is easier with a tiny example, so Node includes an http module to build one from scratch.</t>
        </is>
      </c>
      <c r="M34" s="18" t="inlineStr">
        <is>
          <t>Use a framework such as Express or Fastify for real projects, and learn the basic server first.</t>
        </is>
      </c>
      <c r="N34" s="17" t="n"/>
      <c r="O34" s="18" t="inlineStr">
        <is>
          <t>A server is a shop counter that answers each customer who walks in.</t>
        </is>
      </c>
      <c r="P34" s="18" t="inlineStr">
        <is>
          <t>A request arriving and a response going out of a small server.</t>
        </is>
      </c>
      <c r="Q34" s="18" t="inlineStr">
        <is>
          <t>The thrill of seeing your own server answer in a browser.</t>
        </is>
      </c>
      <c r="R34" s="18" t="inlineStr">
        <is>
          <t>The http module creates a server that runs a function for every request, and the function writes a status, headers and a body to the response.</t>
        </is>
      </c>
      <c r="S34" s="17" t="n"/>
      <c r="T34" s="19" t="inlineStr">
        <is>
          <t>import { createServer } from "node:http";
const server = createServer((req, res) =&gt; {
  if (req.url === "/health") {
    res.writeHead(200, { "Content-Type": "application/json" });
    return res.end(JSON.stringify({ ok: true }));
  }
  res.writeHead(404);
  res.end("not found");
});
server.listen(3000, () =&gt; console.log("http://localhost:3000"));</t>
        </is>
      </c>
      <c r="U34" s="19" t="inlineStr">
        <is>
          <t>Visiting /health returns {"ok":true}, and any other path returns not found.</t>
        </is>
      </c>
      <c r="V34" s="18" t="inlineStr">
        <is>
          <t>The handler receives a request with the method, url and headers, and a response to which you write. You must always end the response, or the client hangs. Bodies arrive as streams and need to be collected. Frameworks add routing, parsing and middleware on top of this base. Listen on the port from the environment.</t>
        </is>
      </c>
      <c r="W34" s="18" t="inlineStr">
        <is>
          <t>Create a server with a handler, answer each request, and end the response.</t>
        </is>
      </c>
      <c r="X34" s="18" t="inlineStr">
        <is>
          <t>A server is a shop counter that answers each customer who walks in.</t>
        </is>
      </c>
      <c r="Y34" s="19" t="inlineStr">
        <is>
          <t>createServer((req, res) =&gt; { ... }).listen(port)</t>
        </is>
      </c>
      <c r="Z34" s="18" t="inlineStr">
        <is>
          <t>req = request | res = response | writeHead = status and headers | end = finish</t>
        </is>
      </c>
      <c r="AA34" s="19" t="inlineStr">
        <is>
          <t>res.writeHead(200, { "Content-Type": "text/plain" });</t>
        </is>
      </c>
      <c r="AB34" s="19" t="inlineStr">
        <is>
          <t>if (req.method === "POST") { }</t>
        </is>
      </c>
      <c r="AC34" s="19" t="inlineStr">
        <is>
          <t>server.listen(Number(process.env.PORT ?? 3000));</t>
        </is>
      </c>
      <c r="AD34" s="19" t="inlineStr">
        <is>
          <t>import express from "express"; app.get("/health", (req, res) =&gt; res.json({ ok: true }));   // the framework version</t>
        </is>
      </c>
      <c r="AE34" s="18" t="inlineStr">
        <is>
          <t>JSON, environment variables, Express</t>
        </is>
      </c>
      <c r="AF34" s="18" t="inlineStr">
        <is>
          <t>Node.js, environment variables, JSON, HTTP</t>
        </is>
      </c>
      <c r="AG34" s="18" t="inlineStr">
        <is>
          <t>Express | Fastify | Hono</t>
        </is>
      </c>
      <c r="AH34" s="17" t="n"/>
      <c r="AI34" s="18" t="inlineStr">
        <is>
          <t>APIs | Webhooks | Health checks</t>
        </is>
      </c>
      <c r="AJ34" s="18" t="inlineStr">
        <is>
          <t>A: The browser keeps loading forever. | B: The handler never calls res.end, so the response never finishes.</t>
        </is>
      </c>
      <c r="AK34" s="18" t="inlineStr">
        <is>
          <t>✗ A response finishes automatically when the handler returns → ✓ You must call end, or the client keeps waiting</t>
        </is>
      </c>
      <c r="AL34" s="18" t="inlineStr">
        <is>
          <t>req vs res: req is what the client sent, res is what you send back.</t>
        </is>
      </c>
      <c r="AM34" s="18" t="inlineStr">
        <is>
          <t>Do not forget to end every response.</t>
        </is>
      </c>
      <c r="AN34" s="19" t="inlineStr">
        <is>
          <t>createServer((req, res) =&gt; { res.write("hi"); });</t>
        </is>
      </c>
      <c r="AO34" s="19" t="inlineStr">
        <is>
          <t>createServer((req, res) =&gt; { res.end("hi"); });</t>
        </is>
      </c>
      <c r="AP34" s="18" t="inlineStr">
        <is>
          <t>Always end the response you start.</t>
        </is>
      </c>
      <c r="AQ34" s="18" t="inlineStr">
        <is>
          <t>Writing a tiny health check server helped test a container before the real app.</t>
        </is>
      </c>
      <c r="AR34" s="18" t="inlineStr">
        <is>
          <t>An interviewer may ask: What happens if you never call res.end?</t>
        </is>
      </c>
      <c r="AS34" s="18" t="inlineStr">
        <is>
          <t>It is like a shop counter answering customers.</t>
        </is>
      </c>
      <c r="AT34" s="18" t="inlineStr">
        <is>
          <t>What must a handler do to finish a response?</t>
        </is>
      </c>
      <c r="AU34" s="18" t="inlineStr">
        <is>
          <t>A) Call req.end B) Call res.end C) Return a string D) Close the browser</t>
        </is>
      </c>
      <c r="AV34" s="18" t="inlineStr">
        <is>
          <t>B</t>
        </is>
      </c>
      <c r="AW34" s="18" t="inlineStr">
        <is>
          <t>The response stays open until end is called.</t>
        </is>
      </c>
      <c r="AX34" s="19" t="inlineStr">
        <is>
          <t>The server starts accepting requests after you call ____ → listen</t>
        </is>
      </c>
      <c r="AY34" s="18" t="inlineStr">
        <is>
          <t>Return the text hello for every request.</t>
        </is>
      </c>
      <c r="AZ34" s="19" t="inlineStr">
        <is>
          <t>createServer((req, res) =&gt; res.end("hello")).listen(3000);</t>
        </is>
      </c>
      <c r="BA34" s="18" t="inlineStr">
        <is>
          <t>Add a route that returns the current time as JSON.</t>
        </is>
      </c>
      <c r="BB34" s="19" t="inlineStr">
        <is>
          <t>Why use a framework after learning this?</t>
        </is>
      </c>
      <c r="BC34" s="19" t="inlineStr">
        <is>
          <t>It adds routing, parsing and middleware.</t>
        </is>
      </c>
      <c r="BD34" s="17">
        <f>IF(K34="","",REPT("★",K34)&amp;REPT("☆",5-K34)&amp;" ("&amp;K34&amp;"/5)")</f>
        <v/>
      </c>
      <c r="BE34" s="17">
        <f>IF(S34="","","Meaning: "&amp;S34&amp;"  =  ______   (Answer: "&amp;F34&amp;")")</f>
        <v/>
      </c>
      <c r="BF34" s="17" t="inlineStr">
        <is>
          <t>New</t>
        </is>
      </c>
      <c r="BG34" s="17" t="n"/>
      <c r="BH34" s="17" t="n"/>
      <c r="BI34" s="17" t="n"/>
      <c r="BJ34" s="17" t="n"/>
      <c r="BK34" s="17" t="n"/>
      <c r="BL34" s="17" t="n"/>
      <c r="BM34" s="17" t="n"/>
      <c r="BN34" s="17" t="n"/>
    </row>
    <row r="35" ht="108" customHeight="1">
      <c r="A35" s="17" t="inlineStr">
        <is>
          <t>TS-033</t>
        </is>
      </c>
      <c r="B35" s="17" t="inlineStr">
        <is>
          <t>04 TypeScript</t>
        </is>
      </c>
      <c r="C35" s="17" t="inlineStr">
        <is>
          <t>Beginner</t>
        </is>
      </c>
      <c r="D35" s="17" t="n">
        <v>33</v>
      </c>
      <c r="E35" s="17" t="inlineStr">
        <is>
          <t>Claude knowledge</t>
        </is>
      </c>
      <c r="F35" s="18" t="inlineStr">
        <is>
          <t>Why TypeScript</t>
        </is>
      </c>
      <c r="G35" s="18" t="inlineStr">
        <is>
          <t>Which language adds types to JavaScript so mistakes are caught before the code runs?</t>
        </is>
      </c>
      <c r="H35" s="17" t="n"/>
      <c r="I35" s="18" t="inlineStr">
        <is>
          <t>Language concept</t>
        </is>
      </c>
      <c r="J35" s="18" t="inlineStr">
        <is>
          <t>Very high</t>
        </is>
      </c>
      <c r="K35" s="18" t="n">
        <v>5</v>
      </c>
      <c r="L35" s="18" t="inlineStr">
        <is>
          <t>Large JavaScript projects hid type mistakes until run time, so TypeScript added optional types that are checked while you write.</t>
        </is>
      </c>
      <c r="M35" s="18" t="inlineStr">
        <is>
          <t>Let the editor show the errors as you type, and treat them as free code review.</t>
        </is>
      </c>
      <c r="N35" s="17" t="n"/>
      <c r="O35" s="18" t="inlineStr">
        <is>
          <t>TypeScript is a spell checker for code, underlining mistakes before you send.</t>
        </is>
      </c>
      <c r="P35" s="18" t="inlineStr">
        <is>
          <t>A red underline under a wrong argument in an editor.</t>
        </is>
      </c>
      <c r="Q35" s="18" t="inlineStr">
        <is>
          <t>The comfort of catching bugs before anyone runs the code.</t>
        </is>
      </c>
      <c r="R35" s="18" t="inlineStr">
        <is>
          <t>TypeScript is a superset of JavaScript that adds static types, which the compiler checks and then removes to produce plain JavaScript.</t>
        </is>
      </c>
      <c r="S35" s="17" t="n"/>
      <c r="T35" s="19" t="inlineStr">
        <is>
          <t>function total(price: number, qty: number): number {
  return price * qty;
}
console.log(total(10, 3));
// total("10", 3) is a compile error</t>
        </is>
      </c>
      <c r="U35" s="19" t="inlineStr">
        <is>
          <t>30</t>
        </is>
      </c>
      <c r="V35" s="18" t="inlineStr">
        <is>
          <t>Types exist only at compile time and are erased, so the running code is ordinary JavaScript. The compiler tsc reports errors and can emit JavaScript. Types also power editor features such as autocomplete and safe renaming. TypeScript does not check data that arrives at run time, such as API responses, so those still need validation.</t>
        </is>
      </c>
      <c r="W35" s="18" t="inlineStr">
        <is>
          <t>Write types, let the compiler check them, and ship plain JavaScript.</t>
        </is>
      </c>
      <c r="X35" s="18" t="inlineStr">
        <is>
          <t>TypeScript is a spell checker for code, underlining mistakes before you send.</t>
        </is>
      </c>
      <c r="Y35" s="19" t="inlineStr">
        <is>
          <t>function f(x: number): string { }</t>
        </is>
      </c>
      <c r="Z35" s="18" t="inlineStr">
        <is>
          <t>: type = annotation | tsc = compiler | .ts = TypeScript file</t>
        </is>
      </c>
      <c r="AA35" s="19" t="inlineStr">
        <is>
          <t>let count: number = 0;</t>
        </is>
      </c>
      <c r="AB35" s="19" t="inlineStr">
        <is>
          <t>const names: string[] = [];</t>
        </is>
      </c>
      <c r="AC35" s="19" t="inlineStr">
        <is>
          <t>function greet(name: string): string { return name; }</t>
        </is>
      </c>
      <c r="AD35" s="19" t="inlineStr">
        <is>
          <t>npx tsc --noEmit   // check types only</t>
        </is>
      </c>
      <c r="AE35" s="18" t="inlineStr">
        <is>
          <t>editors, Node, React, linters</t>
        </is>
      </c>
      <c r="AF35" s="18" t="inlineStr">
        <is>
          <t>basic types, tsconfig, strict mode, any vs unknown</t>
        </is>
      </c>
      <c r="AG35" s="18" t="inlineStr">
        <is>
          <t>JSDoc type comments | Flow</t>
        </is>
      </c>
      <c r="AH35" s="17" t="n"/>
      <c r="AI35" s="18" t="inlineStr">
        <is>
          <t>Large codebases | Libraries | Teams</t>
        </is>
      </c>
      <c r="AJ35" s="18" t="inlineStr">
        <is>
          <t>A: Why did the editor underline my call? | B: The argument has the wrong type, and TypeScript caught it before running.</t>
        </is>
      </c>
      <c r="AK35" s="18" t="inlineStr">
        <is>
          <t>✗ TypeScript checks types while the program runs → ✓ Types are removed at compile time, so run-time data needs its own validation</t>
        </is>
      </c>
      <c r="AL35" s="18" t="inlineStr">
        <is>
          <t>Compile-time vs run-time: types are checked before running, not during it.</t>
        </is>
      </c>
      <c r="AM35" s="18" t="inlineStr">
        <is>
          <t>Do not assume API data matches your types.</t>
        </is>
      </c>
      <c r="AN35" s="19" t="inlineStr">
        <is>
          <t>total("10", 3);</t>
        </is>
      </c>
      <c r="AO35" s="19" t="inlineStr">
        <is>
          <t>total(10, 3);</t>
        </is>
      </c>
      <c r="AP35" s="18" t="inlineStr">
        <is>
          <t>Types check before running, not during.</t>
        </is>
      </c>
      <c r="AQ35" s="18" t="inlineStr">
        <is>
          <t>Adding TypeScript caught several wrong argument orders in a shared utility library.</t>
        </is>
      </c>
      <c r="AR35" s="18" t="inlineStr">
        <is>
          <t>An interviewer may ask: Do TypeScript types exist at run time?</t>
        </is>
      </c>
      <c r="AS35" s="18" t="inlineStr">
        <is>
          <t>It is like a spell checker for code.</t>
        </is>
      </c>
      <c r="AT35" s="18" t="inlineStr">
        <is>
          <t>What does TypeScript produce for running?</t>
        </is>
      </c>
      <c r="AU35" s="18" t="inlineStr">
        <is>
          <t>A) Machine code B) Python C) Typed bytecode D) Plain JavaScript</t>
        </is>
      </c>
      <c r="AV35" s="18" t="inlineStr">
        <is>
          <t>D</t>
        </is>
      </c>
      <c r="AW35" s="18" t="inlineStr">
        <is>
          <t>Types are erased during compilation.</t>
        </is>
      </c>
      <c r="AX35" s="19" t="inlineStr">
        <is>
          <t>The TypeScript compiler command is ____ → tsc</t>
        </is>
      </c>
      <c r="AY35" s="18" t="inlineStr">
        <is>
          <t>Check the project for type errors without writing output files.</t>
        </is>
      </c>
      <c r="AZ35" s="19" t="inlineStr">
        <is>
          <t>npx tsc --noEmit</t>
        </is>
      </c>
      <c r="BA35" s="18" t="inlineStr">
        <is>
          <t>Add types to a small JavaScript function and find one bug.</t>
        </is>
      </c>
      <c r="BB35" s="19" t="inlineStr">
        <is>
          <t>Are types checked on data from an API at run time?</t>
        </is>
      </c>
      <c r="BC35" s="19" t="inlineStr">
        <is>
          <t>No, that data needs validation.</t>
        </is>
      </c>
      <c r="BD35" s="17">
        <f>IF(K35="","",REPT("★",K35)&amp;REPT("☆",5-K35)&amp;" ("&amp;K35&amp;"/5)")</f>
        <v/>
      </c>
      <c r="BE35" s="17">
        <f>IF(S35="","","Meaning: "&amp;S35&amp;"  =  ______   (Answer: "&amp;F35&amp;")")</f>
        <v/>
      </c>
      <c r="BF35" s="17" t="inlineStr">
        <is>
          <t>New</t>
        </is>
      </c>
      <c r="BG35" s="17" t="n"/>
      <c r="BH35" s="17" t="n"/>
      <c r="BI35" s="17" t="n"/>
      <c r="BJ35" s="17" t="n"/>
      <c r="BK35" s="17" t="n"/>
      <c r="BL35" s="17" t="n"/>
      <c r="BM35" s="17" t="n"/>
      <c r="BN35" s="17" t="n"/>
    </row>
    <row r="36" ht="108" customHeight="1">
      <c r="A36" s="17" t="inlineStr">
        <is>
          <t>TS-034</t>
        </is>
      </c>
      <c r="B36" s="17" t="inlineStr">
        <is>
          <t>04 TypeScript</t>
        </is>
      </c>
      <c r="C36" s="17" t="inlineStr">
        <is>
          <t>Beginner</t>
        </is>
      </c>
      <c r="D36" s="17" t="n">
        <v>34</v>
      </c>
      <c r="E36" s="17" t="inlineStr">
        <is>
          <t>Claude knowledge</t>
        </is>
      </c>
      <c r="F36" s="18" t="inlineStr">
        <is>
          <t>Basic types</t>
        </is>
      </c>
      <c r="G36" s="18" t="inlineStr">
        <is>
          <t>Which built-in types describe numbers, text, lists and other common values?</t>
        </is>
      </c>
      <c r="H36" s="17" t="n"/>
      <c r="I36" s="18" t="inlineStr">
        <is>
          <t>Type</t>
        </is>
      </c>
      <c r="J36" s="18" t="inlineStr">
        <is>
          <t>Very high</t>
        </is>
      </c>
      <c r="K36" s="18" t="n">
        <v>5</v>
      </c>
      <c r="L36" s="18" t="inlineStr">
        <is>
          <t>Each kind of value needs a name the compiler can check, so TypeScript provides simple types for the common cases.</t>
        </is>
      </c>
      <c r="M36" s="18" t="inlineStr">
        <is>
          <t>Let inference work for obvious values, and annotate function parameters and returns.</t>
        </is>
      </c>
      <c r="N36" s="17" t="n"/>
      <c r="O36" s="18" t="inlineStr">
        <is>
          <t>Basic types are the labelled shelves where each kind of value belongs.</t>
        </is>
      </c>
      <c r="P36" s="18" t="inlineStr">
        <is>
          <t>A row of shelves labelled string, number, boolean and array.</t>
        </is>
      </c>
      <c r="Q36" s="18" t="inlineStr">
        <is>
          <t>The ease of reading code that names its types.</t>
        </is>
      </c>
      <c r="R36" s="18" t="inlineStr">
        <is>
          <t>Common types include string, number, boolean, arrays written as T[], tuples, object types, null, undefined, void and never.</t>
        </is>
      </c>
      <c r="S36" s="17" t="n"/>
      <c r="T36" s="19" t="inlineStr">
        <is>
          <t>const name: string = "Asha";
const age: number = 28;
const active: boolean = true;
const tags: string[] = ["a", "b"];
const pair: [string, number] = ["x", 1];
function log(msg: string): void { console.log(msg); }
const inferred = 5;</t>
        </is>
      </c>
      <c r="U36" s="19" t="inlineStr">
        <is>
          <t>No output. inferred has the literal type 5 (a let variable would be number).</t>
        </is>
      </c>
      <c r="V36" s="18" t="inlineStr">
        <is>
          <t>Type inference means you usually do not annotate local variables. A tuple fixes length and the type at each position. void marks functions that return nothing, and never marks values that cannot happen. There is one number type for integers and decimals. Capitalised wrappers such as String should not be used.</t>
        </is>
      </c>
      <c r="W36" s="18" t="inlineStr">
        <is>
          <t>Use lowercase primitive types, let inference work, and annotate function boundaries.</t>
        </is>
      </c>
      <c r="X36" s="18" t="inlineStr">
        <is>
          <t>Basic types are labelled shelves where each kind of value belongs.</t>
        </is>
      </c>
      <c r="Y36" s="19" t="inlineStr">
        <is>
          <t>let x: type = value; | type[] | [type1, type2]</t>
        </is>
      </c>
      <c r="Z36" s="18" t="inlineStr">
        <is>
          <t>string, number, boolean = primitives | T[] = array | [A, B] = tuple | void = no return</t>
        </is>
      </c>
      <c r="AA36" s="19" t="inlineStr">
        <is>
          <t>let id: number | undefined;</t>
        </is>
      </c>
      <c r="AB36" s="19" t="inlineStr">
        <is>
          <t>const scores: Array&lt;number&gt; = [1, 2];</t>
        </is>
      </c>
      <c r="AC36" s="19" t="inlineStr">
        <is>
          <t>let point: [number, number] = [0, 0];</t>
        </is>
      </c>
      <c r="AD36" s="19" t="inlineStr">
        <is>
          <t>let big: bigint = 10n;   // very large integers</t>
        </is>
      </c>
      <c r="AE36" s="18" t="inlineStr">
        <is>
          <t>functions, interfaces, generics</t>
        </is>
      </c>
      <c r="AF36" s="18" t="inlineStr">
        <is>
          <t>why TypeScript, interfaces vs types, unions, type inference</t>
        </is>
      </c>
      <c r="AG36" s="18" t="inlineStr">
        <is>
          <t>Inference</t>
        </is>
      </c>
      <c r="AH36" s="17" t="n"/>
      <c r="AI36" s="18" t="inlineStr">
        <is>
          <t>Every TypeScript file | Function signatures | Data models</t>
        </is>
      </c>
      <c r="AJ36" s="18" t="inlineStr">
        <is>
          <t>A: Should I annotate every variable? | B: No, annotate function parameters and returns and let inference do the rest.</t>
        </is>
      </c>
      <c r="AK36" s="18" t="inlineStr">
        <is>
          <t>✗ Use String and Number with capital letters for types → ✓ Use lowercase string and number, as the capitalised ones are wrappers</t>
        </is>
      </c>
      <c r="AL36" s="18" t="inlineStr">
        <is>
          <t>Tuple vs array: a tuple has fixed positions and types, an array has any length of one type.</t>
        </is>
      </c>
      <c r="AM36" s="18" t="inlineStr">
        <is>
          <t>Do not annotate obvious local variables.</t>
        </is>
      </c>
      <c r="AN36" s="19" t="inlineStr">
        <is>
          <t>let name: String = "Asha";</t>
        </is>
      </c>
      <c r="AO36" s="19" t="inlineStr">
        <is>
          <t>let name: string = "Asha";</t>
        </is>
      </c>
      <c r="AP36" s="18" t="inlineStr">
        <is>
          <t>Lowercase types are the real types.</t>
        </is>
      </c>
      <c r="AQ36" s="18" t="inlineStr">
        <is>
          <t>Defining tuple types for coordinates prevented swapped latitude and longitude.</t>
        </is>
      </c>
      <c r="AR36" s="18" t="inlineStr">
        <is>
          <t>An interviewer may ask: What is a tuple?</t>
        </is>
      </c>
      <c r="AS36" s="18" t="inlineStr">
        <is>
          <t>It is like labelled shelves for values.</t>
        </is>
      </c>
      <c r="AT36" s="18" t="inlineStr">
        <is>
          <t>Which type should you use for text?</t>
        </is>
      </c>
      <c r="AU36" s="18" t="inlineStr">
        <is>
          <t>A) The word text B) The lowercase primitive name C) The word char D) The capitalised wrapper class</t>
        </is>
      </c>
      <c r="AV36" s="18" t="inlineStr">
        <is>
          <t>B</t>
        </is>
      </c>
      <c r="AW36" s="18" t="inlineStr">
        <is>
          <t>The lowercase primitive type is the standard.</t>
        </is>
      </c>
      <c r="AX36" s="19" t="inlineStr">
        <is>
          <t>A function that returns nothing has the return type ____ → void</t>
        </is>
      </c>
      <c r="AY36" s="18" t="inlineStr">
        <is>
          <t>Declare a variable of type number named count.</t>
        </is>
      </c>
      <c r="AZ36" s="19" t="inlineStr">
        <is>
          <t>let count: number = 0;</t>
        </is>
      </c>
      <c r="BA36" s="18" t="inlineStr">
        <is>
          <t>Write a function with typed parameters and a typed return.</t>
        </is>
      </c>
      <c r="BB36" s="19" t="inlineStr">
        <is>
          <t>What is the difference between a tuple and an array?</t>
        </is>
      </c>
      <c r="BC36" s="19" t="inlineStr">
        <is>
          <t>A tuple has fixed length and a type per position.</t>
        </is>
      </c>
      <c r="BD36" s="17">
        <f>IF(K36="","",REPT("★",K36)&amp;REPT("☆",5-K36)&amp;" ("&amp;K36&amp;"/5)")</f>
        <v/>
      </c>
      <c r="BE36" s="17">
        <f>IF(S36="","","Meaning: "&amp;S36&amp;"  =  ______   (Answer: "&amp;F36&amp;")")</f>
        <v/>
      </c>
      <c r="BF36" s="17" t="inlineStr">
        <is>
          <t>New</t>
        </is>
      </c>
      <c r="BG36" s="17" t="n"/>
      <c r="BH36" s="17" t="n"/>
      <c r="BI36" s="17" t="n"/>
      <c r="BJ36" s="17" t="n"/>
      <c r="BK36" s="17" t="n"/>
      <c r="BL36" s="17" t="n"/>
      <c r="BM36" s="17" t="n"/>
      <c r="BN36" s="17" t="n"/>
    </row>
    <row r="37" ht="108" customHeight="1">
      <c r="A37" s="17" t="inlineStr">
        <is>
          <t>TS-035</t>
        </is>
      </c>
      <c r="B37" s="17" t="inlineStr">
        <is>
          <t>04 TypeScript</t>
        </is>
      </c>
      <c r="C37" s="17" t="inlineStr">
        <is>
          <t>Beginner</t>
        </is>
      </c>
      <c r="D37" s="17" t="n">
        <v>35</v>
      </c>
      <c r="E37" s="17" t="inlineStr">
        <is>
          <t>Claude knowledge</t>
        </is>
      </c>
      <c r="F37" s="18" t="inlineStr">
        <is>
          <t>Interfaces vs type aliases</t>
        </is>
      </c>
      <c r="G37" s="18" t="inlineStr">
        <is>
          <t>Which two ways describe the shape of an object, and when does each fit?</t>
        </is>
      </c>
      <c r="H37" s="17" t="n"/>
      <c r="I37" s="18" t="inlineStr">
        <is>
          <t>Type</t>
        </is>
      </c>
      <c r="J37" s="18" t="inlineStr">
        <is>
          <t>Very high</t>
        </is>
      </c>
      <c r="K37" s="18" t="n">
        <v>5</v>
      </c>
      <c r="L37" s="18" t="inlineStr">
        <is>
          <t>Objects need named shapes, so TypeScript offers interfaces and type aliases, which overlap but differ at the edges.</t>
        </is>
      </c>
      <c r="M37" s="18" t="inlineStr">
        <is>
          <t>Use interface for object shapes you may extend, and type for unions and other forms.</t>
        </is>
      </c>
      <c r="N37" s="17" t="n"/>
      <c r="O37" s="18" t="inlineStr">
        <is>
          <t>An interface is a blueprint for a building, and a type alias is a name sticker for any shape.</t>
        </is>
      </c>
      <c r="P37" s="18" t="inlineStr">
        <is>
          <t>Two ways to draw the same object shape.</t>
        </is>
      </c>
      <c r="Q37" s="18" t="inlineStr">
        <is>
          <t>The satisfaction of a clear name for a data shape.</t>
        </is>
      </c>
      <c r="R37" s="18" t="inlineStr">
        <is>
          <t>An interface describes an object shape and can be extended or merged, while a type alias names any type including unions, tuples and primitives.</t>
        </is>
      </c>
      <c r="S37" s="17" t="n"/>
      <c r="T37" s="19" t="inlineStr">
        <is>
          <t>interface User { id: number; name: string; email?: string }
interface Admin extends User { level: number }
type Id = number | string;
type Point = { x: number; y: number };
const a: Admin = { id: 1, name: "Asha", level: 2 };</t>
        </is>
      </c>
      <c r="U37" s="19" t="inlineStr">
        <is>
          <t>No output, and the object is checked against the Admin shape</t>
        </is>
      </c>
      <c r="V37" s="18" t="inlineStr">
        <is>
          <t>Both describe objects and work in most cases. Interfaces extend with extends and can be declared twice to merge, which libraries use. Type aliases use intersections with ampersand and are needed for unions and mapped types. Pick one convention for a project and stay consistent.</t>
        </is>
      </c>
      <c r="W37" s="18" t="inlineStr">
        <is>
          <t>Use interfaces for object shapes and type aliases for unions and combinations.</t>
        </is>
      </c>
      <c r="X37" s="18" t="inlineStr">
        <is>
          <t>An interface is a building blueprint, and a type alias is a name sticker for any shape.</t>
        </is>
      </c>
      <c r="Y37" s="19" t="inlineStr">
        <is>
          <t>interface Name { key: type } | type Name = type</t>
        </is>
      </c>
      <c r="Z37" s="18" t="inlineStr">
        <is>
          <t>interface = object shape | extends = inherit | type = alias | &amp; = combine</t>
        </is>
      </c>
      <c r="AA37" s="19" t="inlineStr">
        <is>
          <t>type Status = "open" | "closed";</t>
        </is>
      </c>
      <c r="AB37" s="19" t="inlineStr">
        <is>
          <t>type Admin = User &amp; { level: number };</t>
        </is>
      </c>
      <c r="AC37" s="19" t="inlineStr">
        <is>
          <t>interface Props { title: string }</t>
        </is>
      </c>
      <c r="AD37" s="19" t="inlineStr">
        <is>
          <t>interface Window { myApp: string }   // declaration merging</t>
        </is>
      </c>
      <c r="AE37" s="18" t="inlineStr">
        <is>
          <t>functions, React props, APIs</t>
        </is>
      </c>
      <c r="AF37" s="18" t="inlineStr">
        <is>
          <t>basic types, unions and literals, utility types, generics</t>
        </is>
      </c>
      <c r="AG37" s="18" t="inlineStr">
        <is>
          <t>Classes | Zod schemas</t>
        </is>
      </c>
      <c r="AH37" s="17" t="n"/>
      <c r="AI37" s="18" t="inlineStr">
        <is>
          <t>Data models | Props | API shapes</t>
        </is>
      </c>
      <c r="AJ37" s="18" t="inlineStr">
        <is>
          <t>A: Should this be an interface or a type? | B: For a plain object shape either works, but a union needs a type.</t>
        </is>
      </c>
      <c r="AK37" s="18" t="inlineStr">
        <is>
          <t>✗ Interfaces and types are completely interchangeable → ✓ Only types can name unions, and only interfaces can merge by redeclaration</t>
        </is>
      </c>
      <c r="AL37" s="18" t="inlineStr">
        <is>
          <t>Interface vs type: interfaces extend and merge, types combine and name unions.</t>
        </is>
      </c>
      <c r="AM37" s="18" t="inlineStr">
        <is>
          <t>Do not mix both styles randomly in one project.</t>
        </is>
      </c>
      <c r="AN37" s="19" t="inlineStr">
        <is>
          <t>interface Id = number | string;</t>
        </is>
      </c>
      <c r="AO37" s="19" t="inlineStr">
        <is>
          <t>type Id = number | string;</t>
        </is>
      </c>
      <c r="AP37" s="18" t="inlineStr">
        <is>
          <t>Unions need a type alias.</t>
        </is>
      </c>
      <c r="AQ37" s="18" t="inlineStr">
        <is>
          <t>Defining a User interface shared by the API and the UI removed several mismatches.</t>
        </is>
      </c>
      <c r="AR37" s="18" t="inlineStr">
        <is>
          <t>An interviewer may ask: What is the difference between an interface and a type?</t>
        </is>
      </c>
      <c r="AS37" s="18" t="inlineStr">
        <is>
          <t>It is like a blueprint and a name sticker.</t>
        </is>
      </c>
      <c r="AT37" s="18" t="inlineStr">
        <is>
          <t>Which can name a union type?</t>
        </is>
      </c>
      <c r="AU37" s="18" t="inlineStr">
        <is>
          <t>A) A type alias B) An interface C) A class only D) A module</t>
        </is>
      </c>
      <c r="AV37" s="18" t="inlineStr">
        <is>
          <t>A</t>
        </is>
      </c>
      <c r="AW37" s="18" t="inlineStr">
        <is>
          <t>Interfaces describe object shapes only.</t>
        </is>
      </c>
      <c r="AX37" s="19" t="inlineStr">
        <is>
          <t>An optional property is marked with a question ____ → mark</t>
        </is>
      </c>
      <c r="AY37" s="18" t="inlineStr">
        <is>
          <t>Define a type for a user with an id and a name.</t>
        </is>
      </c>
      <c r="AZ37" s="19" t="inlineStr">
        <is>
          <t>interface User { id: number; name: string }</t>
        </is>
      </c>
      <c r="BA37" s="18" t="inlineStr">
        <is>
          <t>Extend one interface with another and create an object of it.</t>
        </is>
      </c>
      <c r="BB37" s="19" t="inlineStr">
        <is>
          <t>Which one supports declaration merging?</t>
        </is>
      </c>
      <c r="BC37" s="19" t="inlineStr">
        <is>
          <t>An interface.</t>
        </is>
      </c>
      <c r="BD37" s="17">
        <f>IF(K37="","",REPT("★",K37)&amp;REPT("☆",5-K37)&amp;" ("&amp;K37&amp;"/5)")</f>
        <v/>
      </c>
      <c r="BE37" s="17">
        <f>IF(S37="","","Meaning: "&amp;S37&amp;"  =  ______   (Answer: "&amp;F37&amp;")")</f>
        <v/>
      </c>
      <c r="BF37" s="17" t="inlineStr">
        <is>
          <t>New</t>
        </is>
      </c>
      <c r="BG37" s="17" t="n"/>
      <c r="BH37" s="17" t="n"/>
      <c r="BI37" s="17" t="n"/>
      <c r="BJ37" s="17" t="n"/>
      <c r="BK37" s="17" t="n"/>
      <c r="BL37" s="17" t="n"/>
      <c r="BM37" s="17" t="n"/>
      <c r="BN37" s="17" t="n"/>
    </row>
    <row r="38" ht="108" customHeight="1">
      <c r="A38" s="17" t="inlineStr">
        <is>
          <t>TS-036</t>
        </is>
      </c>
      <c r="B38" s="17" t="inlineStr">
        <is>
          <t>04 TypeScript</t>
        </is>
      </c>
      <c r="C38" s="17" t="inlineStr">
        <is>
          <t>Intermediate</t>
        </is>
      </c>
      <c r="D38" s="17" t="n">
        <v>36</v>
      </c>
      <c r="E38" s="17" t="inlineStr">
        <is>
          <t>Claude knowledge</t>
        </is>
      </c>
      <c r="F38" s="18" t="inlineStr">
        <is>
          <t>Unions and literal types</t>
        </is>
      </c>
      <c r="G38" s="18" t="inlineStr">
        <is>
          <t>Which types say a value can be one of several options or exactly one fixed value?</t>
        </is>
      </c>
      <c r="H38" s="17" t="n"/>
      <c r="I38" s="18" t="inlineStr">
        <is>
          <t>Type</t>
        </is>
      </c>
      <c r="J38" s="18" t="inlineStr">
        <is>
          <t>Very high</t>
        </is>
      </c>
      <c r="K38" s="18" t="n">
        <v>5</v>
      </c>
      <c r="L38" s="18" t="inlineStr">
        <is>
          <t>Real data often has a few allowed forms, so unions and literal types let the compiler know exactly which are valid.</t>
        </is>
      </c>
      <c r="M38" s="18" t="inlineStr">
        <is>
          <t>Use literal unions instead of loose strings for statuses and modes.</t>
        </is>
      </c>
      <c r="N38" s="17" t="n"/>
      <c r="O38" s="18" t="inlineStr">
        <is>
          <t>A union is a menu where you may pick one item, and a literal type is a menu with a single dish.</t>
        </is>
      </c>
      <c r="P38" s="18" t="inlineStr">
        <is>
          <t>A short list of allowed values beside a variable.</t>
        </is>
      </c>
      <c r="Q38" s="18" t="inlineStr">
        <is>
          <t>The pleasure of typos caught by the editor.</t>
        </is>
      </c>
      <c r="R38" s="18" t="inlineStr">
        <is>
          <t>A union type uses a vertical bar to allow several types, and a literal type restricts a value to one exact string, number or boolean.</t>
        </is>
      </c>
      <c r="S38" s="17" t="n"/>
      <c r="T38" s="19" t="inlineStr">
        <is>
          <t>type Status = "idle" | "loading" | "done";
type Id = number | string;
let s: Status = "idle";
s = "loading";
// s = "stopped" is an error
function show(id: Id) { return typeof id === "number" ? id.toFixed(0) : id.toUpperCase(); }</t>
        </is>
      </c>
      <c r="U38" s="19" t="inlineStr">
        <is>
          <t>No output, and an invalid status is rejected at compile time</t>
        </is>
      </c>
      <c r="V38" s="18" t="inlineStr">
        <is>
          <t>A union value can use only members common to all options until you narrow it. Literal unions behave like enums but compile to plain strings. A discriminated union adds a shared literal field, such as kind, so the compiler can tell the members apart in a switch. Combine with exhaustive checks using never.</t>
        </is>
      </c>
      <c r="W38" s="18" t="inlineStr">
        <is>
          <t>List the allowed options, and narrow before using type-specific features.</t>
        </is>
      </c>
      <c r="X38" s="18" t="inlineStr">
        <is>
          <t>A union is a menu where you pick one item, and a literal type is a menu with a single dish.</t>
        </is>
      </c>
      <c r="Y38" s="19" t="inlineStr">
        <is>
          <t>type T = A | B | "literal"</t>
        </is>
      </c>
      <c r="Z38" s="18" t="inlineStr">
        <is>
          <t>| = or | "x" = exact value | discriminant = shared literal field</t>
        </is>
      </c>
      <c r="AA38" s="19" t="inlineStr">
        <is>
          <t>type Mode = "light" | "dark";</t>
        </is>
      </c>
      <c r="AB38" s="19" t="inlineStr">
        <is>
          <t>type Result = { ok: true; data: string } | { ok: false; error: string };</t>
        </is>
      </c>
      <c r="AC38" s="19" t="inlineStr">
        <is>
          <t>let level: 1 | 2 | 3 = 2;</t>
        </is>
      </c>
      <c r="AD38" s="19" t="inlineStr">
        <is>
          <t>const modes = ["light", "dark"] as const;   // literal tuple</t>
        </is>
      </c>
      <c r="AE38" s="18" t="inlineStr">
        <is>
          <t>narrowing, switch, React state</t>
        </is>
      </c>
      <c r="AF38" s="18" t="inlineStr">
        <is>
          <t>basic types, narrowing, enums, as const</t>
        </is>
      </c>
      <c r="AG38" s="18" t="inlineStr">
        <is>
          <t>Enums</t>
        </is>
      </c>
      <c r="AH38" s="17" t="n"/>
      <c r="AI38" s="18" t="inlineStr">
        <is>
          <t>State machines | Props | API results</t>
        </is>
      </c>
      <c r="AJ38" s="18" t="inlineStr">
        <is>
          <t>A: How do I stop invalid status strings? | B: Use a union of literal types.</t>
        </is>
      </c>
      <c r="AK38" s="18" t="inlineStr">
        <is>
          <t>✗ A union lets you use any property of any member → ✓ You can use only what all members share until you narrow</t>
        </is>
      </c>
      <c r="AL38" s="18" t="inlineStr">
        <is>
          <t>Union vs intersection: union means one of, intersection means all of.</t>
        </is>
      </c>
      <c r="AM38" s="18" t="inlineStr">
        <is>
          <t>Do not use plain string for a small fixed set of values.</t>
        </is>
      </c>
      <c r="AN38" s="19" t="inlineStr">
        <is>
          <t>let status: string = "stoped";</t>
        </is>
      </c>
      <c r="AO38" s="19" t="inlineStr">
        <is>
          <t>let status: Status = "done";</t>
        </is>
      </c>
      <c r="AP38" s="18" t="inlineStr">
        <is>
          <t>Bar means one of these options.</t>
        </is>
      </c>
      <c r="AQ38" s="18" t="inlineStr">
        <is>
          <t>Replacing string statuses with a literal union caught a misspelled state in review.</t>
        </is>
      </c>
      <c r="AR38" s="18" t="inlineStr">
        <is>
          <t>An interviewer may ask: What is a discriminated union?</t>
        </is>
      </c>
      <c r="AS38" s="18" t="inlineStr">
        <is>
          <t>It is like a menu with a few allowed dishes.</t>
        </is>
      </c>
      <c r="AT38" s="18" t="inlineStr">
        <is>
          <t>What does the vertical bar mean in a type?</t>
        </is>
      </c>
      <c r="AU38" s="18" t="inlineStr">
        <is>
          <t>A) And B) Not C) Or D) Equals</t>
        </is>
      </c>
      <c r="AV38" s="18" t="inlineStr">
        <is>
          <t>C</t>
        </is>
      </c>
      <c r="AW38" s="18" t="inlineStr">
        <is>
          <t>A union allows any one of the listed types.</t>
        </is>
      </c>
      <c r="AX38" s="19" t="inlineStr">
        <is>
          <t>A union with a shared literal field is called a ____ union → discriminated</t>
        </is>
      </c>
      <c r="AY38" s="18" t="inlineStr">
        <is>
          <t>Define a type that allows only the words red and green.</t>
        </is>
      </c>
      <c r="AZ38" s="19" t="inlineStr">
        <is>
          <t>type Light = "red" | "green";</t>
        </is>
      </c>
      <c r="BA38" s="18" t="inlineStr">
        <is>
          <t>Model a result that is either a success with data or a failure with an error.</t>
        </is>
      </c>
      <c r="BB38" s="19" t="inlineStr">
        <is>
          <t>Why narrow a union before using a property?</t>
        </is>
      </c>
      <c r="BC38" s="19" t="inlineStr">
        <is>
          <t>Only properties shared by all members are safe to use.</t>
        </is>
      </c>
      <c r="BD38" s="17">
        <f>IF(K38="","",REPT("★",K38)&amp;REPT("☆",5-K38)&amp;" ("&amp;K38&amp;"/5)")</f>
        <v/>
      </c>
      <c r="BE38" s="17">
        <f>IF(S38="","","Meaning: "&amp;S38&amp;"  =  ______   (Answer: "&amp;F38&amp;")")</f>
        <v/>
      </c>
      <c r="BF38" s="17" t="inlineStr">
        <is>
          <t>New</t>
        </is>
      </c>
      <c r="BG38" s="17" t="n"/>
      <c r="BH38" s="17" t="n"/>
      <c r="BI38" s="17" t="n"/>
      <c r="BJ38" s="17" t="n"/>
      <c r="BK38" s="17" t="n"/>
      <c r="BL38" s="17" t="n"/>
      <c r="BM38" s="17" t="n"/>
      <c r="BN38" s="17" t="n"/>
    </row>
    <row r="39" ht="108" customHeight="1">
      <c r="A39" s="17" t="inlineStr">
        <is>
          <t>TS-037</t>
        </is>
      </c>
      <c r="B39" s="17" t="inlineStr">
        <is>
          <t>04 TypeScript</t>
        </is>
      </c>
      <c r="C39" s="17" t="inlineStr">
        <is>
          <t>Intermediate</t>
        </is>
      </c>
      <c r="D39" s="17" t="n">
        <v>37</v>
      </c>
      <c r="E39" s="17" t="inlineStr">
        <is>
          <t>Claude knowledge</t>
        </is>
      </c>
      <c r="F39" s="18" t="inlineStr">
        <is>
          <t>Generics</t>
        </is>
      </c>
      <c r="G39" s="18" t="inlineStr">
        <is>
          <t>Which feature lets a function or type work with many types while keeping them linked?</t>
        </is>
      </c>
      <c r="H39" s="17" t="n"/>
      <c r="I39" s="18" t="inlineStr">
        <is>
          <t>Type</t>
        </is>
      </c>
      <c r="J39" s="18" t="inlineStr">
        <is>
          <t>High</t>
        </is>
      </c>
      <c r="K39" s="18" t="n">
        <v>5</v>
      </c>
      <c r="L39" s="18" t="inlineStr">
        <is>
          <t>Writing the same function for numbers, strings and users was wasteful, so generics let one definition keep the type connection.</t>
        </is>
      </c>
      <c r="M39" s="18" t="inlineStr">
        <is>
          <t>Name type parameters meaningfully when there are several, such as TItem.</t>
        </is>
      </c>
      <c r="N39" s="17" t="n"/>
      <c r="O39" s="18" t="inlineStr">
        <is>
          <t>A generic is a box with a label slot, where the label says what sort of item is inside.</t>
        </is>
      </c>
      <c r="P39" s="18" t="inlineStr">
        <is>
          <t>A box labelled T holding different things.</t>
        </is>
      </c>
      <c r="Q39" s="18" t="inlineStr">
        <is>
          <t>The aha moment when one function fits every case.</t>
        </is>
      </c>
      <c r="R39" s="18" t="inlineStr">
        <is>
          <t>A generic type parameter is a placeholder, written in angle brackets, that is filled in when the function or type is used.</t>
        </is>
      </c>
      <c r="S39" s="17" t="n"/>
      <c r="T39" s="19" t="inlineStr">
        <is>
          <t>function first&lt;T&gt;(items: T[]): T | undefined {
  return items[0];
}
const n = first([1, 2, 3]);
const s = first(["a", "b"]);
interface Box&lt;T&gt; { value: T }
const box: Box&lt;string&gt; = { value: "hi" };</t>
        </is>
      </c>
      <c r="U39" s="19" t="inlineStr">
        <is>
          <t>n is number or undefined, s is string or undefined, and box holds a string</t>
        </is>
      </c>
      <c r="V39" s="18" t="inlineStr">
        <is>
          <t>The compiler infers T from the arguments, so you rarely write it. Constraints with extends limit what T may be, such as T extends { id: number }. Defaults can be provided. Generics power arrays, promises and utility types. Avoid generics that are used only once, since a simple type is clearer.</t>
        </is>
      </c>
      <c r="W39" s="18" t="inlineStr">
        <is>
          <t>A placeholder type that is filled in at use, so input and output types stay connected.</t>
        </is>
      </c>
      <c r="X39" s="18" t="inlineStr">
        <is>
          <t>A generic is a box with a label slot saying what sort of item is inside.</t>
        </is>
      </c>
      <c r="Y39" s="19" t="inlineStr">
        <is>
          <t>function f&lt;T&gt;(x: T): T | interface Box&lt;T&gt; { }</t>
        </is>
      </c>
      <c r="Z39" s="18" t="inlineStr">
        <is>
          <t>&lt;T&gt; = type parameter | extends = constraint | default = T = string</t>
        </is>
      </c>
      <c r="AA39" s="19" t="inlineStr">
        <is>
          <t>function getId&lt;T extends { id: number }&gt;(x: T) { return x.id; }</t>
        </is>
      </c>
      <c r="AB39" s="19" t="inlineStr">
        <is>
          <t>const p: Promise&lt;number&gt; = Promise.resolve(1);</t>
        </is>
      </c>
      <c r="AC39" s="19" t="inlineStr">
        <is>
          <t>function pair&lt;A, B&gt;(a: A, b: B): [A, B] { return [a, b]; }</t>
        </is>
      </c>
      <c r="AD39" s="19" t="inlineStr">
        <is>
          <t>type Response&lt;T = unknown&gt; = { data: T };   // a default type</t>
        </is>
      </c>
      <c r="AE39" s="18" t="inlineStr">
        <is>
          <t>arrays, promises, utility types</t>
        </is>
      </c>
      <c r="AF39" s="18" t="inlineStr">
        <is>
          <t>utility types, Promise&lt;T&gt;, interfaces vs types, constraints</t>
        </is>
      </c>
      <c r="AG39" s="18" t="inlineStr">
        <is>
          <t>Function overloads | any</t>
        </is>
      </c>
      <c r="AH39" s="17" t="n"/>
      <c r="AI39" s="18" t="inlineStr">
        <is>
          <t>Libraries | Utilities | API clients</t>
        </is>
      </c>
      <c r="AJ39" s="18" t="inlineStr">
        <is>
          <t>A: My helper loses the item type. | B: Make it generic so the type flows through.</t>
        </is>
      </c>
      <c r="AK39" s="18" t="inlineStr">
        <is>
          <t>✗ Generics are only for library authors → ✓ They help in everyday helpers and API wrappers too</t>
        </is>
      </c>
      <c r="AL39" s="18" t="inlineStr">
        <is>
          <t>Generic vs any: generic keeps the type link, any discards it.</t>
        </is>
      </c>
      <c r="AM39" s="18" t="inlineStr">
        <is>
          <t>Do not use any when a generic fits.</t>
        </is>
      </c>
      <c r="AN39" s="19" t="inlineStr">
        <is>
          <t>function first(items: any[]): any { return items[0]; }</t>
        </is>
      </c>
      <c r="AO39" s="19" t="inlineStr">
        <is>
          <t>function first&lt;T&gt;(items: T[]): T | undefined { return items[0]; }</t>
        </is>
      </c>
      <c r="AP39" s="18" t="inlineStr">
        <is>
          <t>T remembers the type that went in.</t>
        </is>
      </c>
      <c r="AQ39" s="18" t="inlineStr">
        <is>
          <t>Making an API helper generic gave typed results for every endpoint.</t>
        </is>
      </c>
      <c r="AR39" s="18" t="inlineStr">
        <is>
          <t>An interviewer may ask: What problem do generics solve?</t>
        </is>
      </c>
      <c r="AS39" s="18" t="inlineStr">
        <is>
          <t>It is like a box with a label slot.</t>
        </is>
      </c>
      <c r="AT39" s="18" t="inlineStr">
        <is>
          <t>What does T represent in a generic function?</t>
        </is>
      </c>
      <c r="AU39" s="18" t="inlineStr">
        <is>
          <t>A) A variable name only B) A string C) A type filled in at use D) A number</t>
        </is>
      </c>
      <c r="AV39" s="18" t="inlineStr">
        <is>
          <t>C</t>
        </is>
      </c>
      <c r="AW39" s="18" t="inlineStr">
        <is>
          <t>It is a placeholder for a type.</t>
        </is>
      </c>
      <c r="AX39" s="19" t="inlineStr">
        <is>
          <t>A rule limiting a generic type uses the keyword ____ → extends</t>
        </is>
      </c>
      <c r="AY39" s="18" t="inlineStr">
        <is>
          <t>Write a generic function that returns its argument.</t>
        </is>
      </c>
      <c r="AZ39" s="19" t="inlineStr">
        <is>
          <t>function identity&lt;T&gt;(x: T): T { return x; }</t>
        </is>
      </c>
      <c r="BA39" s="18" t="inlineStr">
        <is>
          <t>Write a generic function that returns the last item of an array.</t>
        </is>
      </c>
      <c r="BB39" s="19" t="inlineStr">
        <is>
          <t>Why prefer generics over any?</t>
        </is>
      </c>
      <c r="BC39" s="19" t="inlineStr">
        <is>
          <t>They keep the link between input and output types.</t>
        </is>
      </c>
      <c r="BD39" s="17">
        <f>IF(K39="","",REPT("★",K39)&amp;REPT("☆",5-K39)&amp;" ("&amp;K39&amp;"/5)")</f>
        <v/>
      </c>
      <c r="BE39" s="17">
        <f>IF(S39="","","Meaning: "&amp;S39&amp;"  =  ______   (Answer: "&amp;F39&amp;")")</f>
        <v/>
      </c>
      <c r="BF39" s="17" t="inlineStr">
        <is>
          <t>New</t>
        </is>
      </c>
      <c r="BG39" s="17" t="n"/>
      <c r="BH39" s="17" t="n"/>
      <c r="BI39" s="17" t="n"/>
      <c r="BJ39" s="17" t="n"/>
      <c r="BK39" s="17" t="n"/>
      <c r="BL39" s="17" t="n"/>
      <c r="BM39" s="17" t="n"/>
      <c r="BN39" s="17" t="n"/>
    </row>
    <row r="40" ht="121.5" customHeight="1">
      <c r="A40" s="17" t="inlineStr">
        <is>
          <t>TS-038</t>
        </is>
      </c>
      <c r="B40" s="17" t="inlineStr">
        <is>
          <t>04 TypeScript</t>
        </is>
      </c>
      <c r="C40" s="17" t="inlineStr">
        <is>
          <t>Intermediate</t>
        </is>
      </c>
      <c r="D40" s="17" t="n">
        <v>38</v>
      </c>
      <c r="E40" s="17" t="inlineStr">
        <is>
          <t>Claude knowledge</t>
        </is>
      </c>
      <c r="F40" s="18" t="inlineStr">
        <is>
          <t>Narrowing</t>
        </is>
      </c>
      <c r="G40" s="18" t="inlineStr">
        <is>
          <t>How does TypeScript work out a more specific type inside a condition?</t>
        </is>
      </c>
      <c r="H40" s="17" t="n"/>
      <c r="I40" s="18" t="inlineStr">
        <is>
          <t>Type</t>
        </is>
      </c>
      <c r="J40" s="18" t="inlineStr">
        <is>
          <t>Very high</t>
        </is>
      </c>
      <c r="K40" s="18" t="n">
        <v>5</v>
      </c>
      <c r="L40" s="18" t="inlineStr">
        <is>
          <t>Variables often hold several possible types, so the compiler follows your checks to know which one applies in each branch.</t>
        </is>
      </c>
      <c r="M40" s="18" t="inlineStr">
        <is>
          <t>Use typeof, in, instanceof and equality checks, and let the compiler follow.</t>
        </is>
      </c>
      <c r="N40" s="17" t="n"/>
      <c r="O40" s="18" t="inlineStr">
        <is>
          <t>Narrowing is a detective eliminating suspects until one remains.</t>
        </is>
      </c>
      <c r="P40" s="18" t="inlineStr">
        <is>
          <t>A type shrinking inside each branch of an if statement.</t>
        </is>
      </c>
      <c r="Q40" s="18" t="inlineStr">
        <is>
          <t>The pleasure of the editor understanding your checks.</t>
        </is>
      </c>
      <c r="R40" s="18" t="inlineStr">
        <is>
          <t>Narrowing is the compiler refining a broad type to a narrower one inside a branch, based on checks such as typeof, instanceof, in, truthiness and equality.</t>
        </is>
      </c>
      <c r="S40" s="17" t="n"/>
      <c r="T40" s="19" t="inlineStr">
        <is>
          <t>function format(v: string | number | null) {
  if (v === null) return "empty";
  if (typeof v === "string") return v.trim();
  return v.toFixed(1);
}
console.log(format(" hi "), format(2.456), format(null));</t>
        </is>
      </c>
      <c r="U40" s="19" t="inlineStr">
        <is>
          <t>hi 2.5 empty</t>
        </is>
      </c>
      <c r="V40" s="18" t="inlineStr">
        <is>
          <t>After the null check, the type no longer includes null, and after the string check only number remains. Narrowing also works with in for object keys, instanceof for classes, and switch on a discriminant. Assignments can narrow, but callbacks can reset narrowing. Custom type guards extend the idea.</t>
        </is>
      </c>
      <c r="W40" s="18" t="inlineStr">
        <is>
          <t>Check the type, and inside that branch the compiler knows the narrower type.</t>
        </is>
      </c>
      <c r="X40" s="18" t="inlineStr">
        <is>
          <t>Narrowing is a detective eliminating suspects until one remains.</t>
        </is>
      </c>
      <c r="Y40" s="19" t="inlineStr">
        <is>
          <t>if (typeof x === "string") { } | if ("key" in obj) { } | x instanceof Class</t>
        </is>
      </c>
      <c r="Z40" s="18" t="inlineStr">
        <is>
          <t>typeof = primitives | in = property check | instanceof = classes | === = equality</t>
        </is>
      </c>
      <c r="AA40" s="19" t="inlineStr">
        <is>
          <t>if (Array.isArray(v)) { v.length; }</t>
        </is>
      </c>
      <c r="AB40" s="19" t="inlineStr">
        <is>
          <t>if ("error" in result) { result.error; }</t>
        </is>
      </c>
      <c r="AC40" s="19" t="inlineStr">
        <is>
          <t>if (err instanceof Error) { err.message; }</t>
        </is>
      </c>
      <c r="AD40" s="19" t="inlineStr">
        <is>
          <t>switch (shape.kind) { case "circle": ... }   // narrowing by discriminant</t>
        </is>
      </c>
      <c r="AE40" s="18" t="inlineStr">
        <is>
          <t>unions, type guards, errors</t>
        </is>
      </c>
      <c r="AF40" s="18" t="inlineStr">
        <is>
          <t>unions and literals, type guards, any vs unknown, errors in TypeScript</t>
        </is>
      </c>
      <c r="AG40" s="18" t="inlineStr">
        <is>
          <t>Type assertions</t>
        </is>
      </c>
      <c r="AH40" s="17" t="n"/>
      <c r="AI40" s="18" t="inlineStr">
        <is>
          <t>Unions | Error handling | Parsing</t>
        </is>
      </c>
      <c r="AJ40" s="18" t="inlineStr">
        <is>
          <t>A: I cannot call toFixed on this value. | B: It may be a string, so narrow with typeof first.</t>
        </is>
      </c>
      <c r="AK40" s="18" t="inlineStr">
        <is>
          <t>✗ A type assertion is the same as narrowing → ✓ Narrowing is proven by checks, while an assertion only tells the compiler to trust you</t>
        </is>
      </c>
      <c r="AL40" s="18" t="inlineStr">
        <is>
          <t>Narrowing vs assertion: one is verified, the other is trusted.</t>
        </is>
      </c>
      <c r="AM40" s="18" t="inlineStr">
        <is>
          <t>Do not assert when a check would prove the type.</t>
        </is>
      </c>
      <c r="AN40" s="19" t="inlineStr">
        <is>
          <t>(v as number).toFixed(1);</t>
        </is>
      </c>
      <c r="AO40" s="19" t="inlineStr">
        <is>
          <t>if (typeof v === "number") v.toFixed(1);</t>
        </is>
      </c>
      <c r="AP40" s="18" t="inlineStr">
        <is>
          <t>Check first, then use the narrow type.</t>
        </is>
      </c>
      <c r="AQ40" s="18" t="inlineStr">
        <is>
          <t>Narrowing an API result union removed several unsafe type assertions.</t>
        </is>
      </c>
      <c r="AR40" s="18" t="inlineStr">
        <is>
          <t>An interviewer may ask: How does TypeScript narrow a union?</t>
        </is>
      </c>
      <c r="AS40" s="18" t="inlineStr">
        <is>
          <t>It is like a detective eliminating suspects.</t>
        </is>
      </c>
      <c r="AT40" s="18" t="inlineStr">
        <is>
          <t>Which check narrows a value to a string?</t>
        </is>
      </c>
      <c r="AU40" s="18" t="inlineStr">
        <is>
          <t>A) v exists B) v is truthy C) v is long D) typeof v equals string</t>
        </is>
      </c>
      <c r="AV40" s="18" t="inlineStr">
        <is>
          <t>D</t>
        </is>
      </c>
      <c r="AW40" s="18" t="inlineStr">
        <is>
          <t>typeof narrows primitives.</t>
        </is>
      </c>
      <c r="AX40" s="19" t="inlineStr">
        <is>
          <t>To test whether a key exists on an object, narrow with the operator ____ → in</t>
        </is>
      </c>
      <c r="AY40" s="18" t="inlineStr">
        <is>
          <t>Narrow value to a string before calling toUpperCase.</t>
        </is>
      </c>
      <c r="AZ40" s="19" t="inlineStr">
        <is>
          <t>if (typeof value === "string") value.toUpperCase();</t>
        </is>
      </c>
      <c r="BA40" s="18" t="inlineStr">
        <is>
          <t>Write a function that handles a number, a string and null differently.</t>
        </is>
      </c>
      <c r="BB40" s="19" t="inlineStr">
        <is>
          <t>Does an assertion prove the type?</t>
        </is>
      </c>
      <c r="BC40" s="19" t="inlineStr">
        <is>
          <t>No, it only tells the compiler to trust you.</t>
        </is>
      </c>
      <c r="BD40" s="17">
        <f>IF(K40="","",REPT("★",K40)&amp;REPT("☆",5-K40)&amp;" ("&amp;K40&amp;"/5)")</f>
        <v/>
      </c>
      <c r="BE40" s="17">
        <f>IF(S40="","","Meaning: "&amp;S40&amp;"  =  ______   (Answer: "&amp;F40&amp;")")</f>
        <v/>
      </c>
      <c r="BF40" s="17" t="inlineStr">
        <is>
          <t>New</t>
        </is>
      </c>
      <c r="BG40" s="17" t="n"/>
      <c r="BH40" s="17" t="n"/>
      <c r="BI40" s="17" t="n"/>
      <c r="BJ40" s="17" t="n"/>
      <c r="BK40" s="17" t="n"/>
      <c r="BL40" s="17" t="n"/>
      <c r="BM40" s="17" t="n"/>
      <c r="BN40" s="17" t="n"/>
    </row>
    <row r="41" ht="108" customHeight="1">
      <c r="A41" s="17" t="inlineStr">
        <is>
          <t>TS-039</t>
        </is>
      </c>
      <c r="B41" s="17" t="inlineStr">
        <is>
          <t>04 TypeScript</t>
        </is>
      </c>
      <c r="C41" s="17" t="inlineStr">
        <is>
          <t>Intermediate</t>
        </is>
      </c>
      <c r="D41" s="17" t="n">
        <v>39</v>
      </c>
      <c r="E41" s="17" t="inlineStr">
        <is>
          <t>Claude knowledge</t>
        </is>
      </c>
      <c r="F41" s="18" t="inlineStr">
        <is>
          <t>any vs unknown</t>
        </is>
      </c>
      <c r="G41" s="18" t="inlineStr">
        <is>
          <t>Which two types hold anything, and why is one far safer?</t>
        </is>
      </c>
      <c r="H41" s="17" t="n"/>
      <c r="I41" s="18" t="inlineStr">
        <is>
          <t>Type</t>
        </is>
      </c>
      <c r="J41" s="18" t="inlineStr">
        <is>
          <t>Very high</t>
        </is>
      </c>
      <c r="K41" s="18" t="n">
        <v>5</v>
      </c>
      <c r="L41" s="18" t="inlineStr">
        <is>
          <t>Sometimes a value really can be anything, so two top types exist, one that switches checking off and one that demands checks.</t>
        </is>
      </c>
      <c r="M41" s="18" t="inlineStr">
        <is>
          <t>Prefer unknown for data from outside, and narrow it before use.</t>
        </is>
      </c>
      <c r="N41" s="17" t="n"/>
      <c r="O41" s="18" t="inlineStr">
        <is>
          <t>any is a door with no lock, and unknown is a locked box that must be opened with proof.</t>
        </is>
      </c>
      <c r="P41" s="18" t="inlineStr">
        <is>
          <t>A free-for-all box versus a box that needs a key.</t>
        </is>
      </c>
      <c r="Q41" s="18" t="inlineStr">
        <is>
          <t>The security of checks that you cannot skip.</t>
        </is>
      </c>
      <c r="R41" s="18" t="inlineStr">
        <is>
          <t>any turns off type checking for a value, while unknown accepts any value but requires narrowing before you can use it.</t>
        </is>
      </c>
      <c r="S41" s="17" t="n"/>
      <c r="T41" s="19" t="inlineStr">
        <is>
          <t>let a: any = "text";
// a.doesNotExist();   // no compile error, but would crash at run time
let u: unknown = JSON.parse('{"id": 1}');
if (typeof u === "object" &amp;&amp; u !== null &amp;&amp; "id" in u) {
  console.log((u as { id: number }).id);
}</t>
        </is>
      </c>
      <c r="U41" s="19" t="inlineStr">
        <is>
          <t>1</t>
        </is>
      </c>
      <c r="V41" s="18" t="inlineStr">
        <is>
          <t>any spreads, because values derived from it are also any, which hides errors widely. unknown forces you to prove the type before use, so it is safe for parsed data, caught errors and third-party input. Validation libraries such as Zod turn unknown into a typed value. Enabling noImplicitAny flags accidental any.</t>
        </is>
      </c>
      <c r="W41" s="18" t="inlineStr">
        <is>
          <t>Use unknown instead of any, and narrow or validate before using the value.</t>
        </is>
      </c>
      <c r="X41" s="18" t="inlineStr">
        <is>
          <t>any is a door with no lock, and unknown is a locked box that needs proof.</t>
        </is>
      </c>
      <c r="Y41" s="19" t="inlineStr">
        <is>
          <t>let x: unknown; if (typeof x === "string") { }</t>
        </is>
      </c>
      <c r="Z41" s="18" t="inlineStr">
        <is>
          <t>any = unchecked | unknown = must narrow | noImplicitAny = flag</t>
        </is>
      </c>
      <c r="AA41" s="19" t="inlineStr">
        <is>
          <t>catch (err: unknown) { }</t>
        </is>
      </c>
      <c r="AB41" s="19" t="inlineStr">
        <is>
          <t>function parse(text: string): unknown { return JSON.parse(text); }</t>
        </is>
      </c>
      <c r="AC41" s="19" t="inlineStr">
        <is>
          <t>const data = schema.parse(raw);</t>
        </is>
      </c>
      <c r="AD41" s="19" t="inlineStr">
        <is>
          <t>// @ts-expect-error   // a documented, intentional exception</t>
        </is>
      </c>
      <c r="AE41" s="18" t="inlineStr">
        <is>
          <t>validation, JSON, errors</t>
        </is>
      </c>
      <c r="AF41" s="18" t="inlineStr">
        <is>
          <t>narrowing, type guards, JSON, strict mode</t>
        </is>
      </c>
      <c r="AG41" s="18" t="inlineStr">
        <is>
          <t>Zod validation | generics</t>
        </is>
      </c>
      <c r="AH41" s="17" t="n"/>
      <c r="AI41" s="18" t="inlineStr">
        <is>
          <t>API data | Error handling | Parsing</t>
        </is>
      </c>
      <c r="AJ41" s="18" t="inlineStr">
        <is>
          <t>A: The API data type is any. | B: Make it unknown and validate it before use.</t>
        </is>
      </c>
      <c r="AK41" s="18" t="inlineStr">
        <is>
          <t>✗ any is harmless because it is flexible → ✓ It silently removes checking for everything it touches</t>
        </is>
      </c>
      <c r="AL41" s="18" t="inlineStr">
        <is>
          <t>any vs unknown: any allows everything, unknown requires proof.</t>
        </is>
      </c>
      <c r="AM41" s="18" t="inlineStr">
        <is>
          <t>Do not let any spread through the code.</t>
        </is>
      </c>
      <c r="AN41" s="19" t="inlineStr">
        <is>
          <t>const data: any = await res.json();
data.user.name.first;</t>
        </is>
      </c>
      <c r="AO41" s="19" t="inlineStr">
        <is>
          <t>const data: unknown = await res.json();
const user = userSchema.parse(data);</t>
        </is>
      </c>
      <c r="AP41" s="18" t="inlineStr">
        <is>
          <t>Unknown asks for proof, any asks for nothing.</t>
        </is>
      </c>
      <c r="AQ41" s="18" t="inlineStr">
        <is>
          <t>Replacing any with unknown plus validation caught a missing field in an API response.</t>
        </is>
      </c>
      <c r="AR41" s="18" t="inlineStr">
        <is>
          <t>An interviewer may ask: Why is unknown safer than any?</t>
        </is>
      </c>
      <c r="AS41" s="18" t="inlineStr">
        <is>
          <t>It is like a box that needs a key.</t>
        </is>
      </c>
      <c r="AT41" s="18" t="inlineStr">
        <is>
          <t>What must you do before using an unknown value?</t>
        </is>
      </c>
      <c r="AU41" s="18" t="inlineStr">
        <is>
          <t>A) Cast it to any B) Narrow or validate it C) Nothing D) Delete it</t>
        </is>
      </c>
      <c r="AV41" s="18" t="inlineStr">
        <is>
          <t>B</t>
        </is>
      </c>
      <c r="AW41" s="18" t="inlineStr">
        <is>
          <t>The compiler requires proof of the type.</t>
        </is>
      </c>
      <c r="AX41" s="19" t="inlineStr">
        <is>
          <t>The compiler flag that reports implicit any is ____ → noImplicitAny</t>
        </is>
      </c>
      <c r="AY41" s="18" t="inlineStr">
        <is>
          <t>Type the result of JSON.parse safely.</t>
        </is>
      </c>
      <c r="AZ41" s="19" t="inlineStr">
        <is>
          <t>const data: unknown = JSON.parse(text);</t>
        </is>
      </c>
      <c r="BA41" s="18" t="inlineStr">
        <is>
          <t>Replace an any in a function parameter with unknown and add a check.</t>
        </is>
      </c>
      <c r="BB41" s="19" t="inlineStr">
        <is>
          <t>Why does any spread?</t>
        </is>
      </c>
      <c r="BC41" s="19" t="inlineStr">
        <is>
          <t>Values derived from any are also any, hiding errors.</t>
        </is>
      </c>
      <c r="BD41" s="17">
        <f>IF(K41="","",REPT("★",K41)&amp;REPT("☆",5-K41)&amp;" ("&amp;K41&amp;"/5)")</f>
        <v/>
      </c>
      <c r="BE41" s="17">
        <f>IF(S41="","","Meaning: "&amp;S41&amp;"  =  ______   (Answer: "&amp;F41&amp;")")</f>
        <v/>
      </c>
      <c r="BF41" s="17" t="inlineStr">
        <is>
          <t>New</t>
        </is>
      </c>
      <c r="BG41" s="17" t="n"/>
      <c r="BH41" s="17" t="n"/>
      <c r="BI41" s="17" t="n"/>
      <c r="BJ41" s="17" t="n"/>
      <c r="BK41" s="17" t="n"/>
      <c r="BL41" s="17" t="n"/>
      <c r="BM41" s="17" t="n"/>
      <c r="BN41" s="17" t="n"/>
    </row>
    <row r="42" ht="108" customHeight="1">
      <c r="A42" s="17" t="inlineStr">
        <is>
          <t>TS-040</t>
        </is>
      </c>
      <c r="B42" s="17" t="inlineStr">
        <is>
          <t>04 TypeScript</t>
        </is>
      </c>
      <c r="C42" s="17" t="inlineStr">
        <is>
          <t>Beginner</t>
        </is>
      </c>
      <c r="D42" s="17" t="n">
        <v>40</v>
      </c>
      <c r="E42" s="17" t="inlineStr">
        <is>
          <t>Claude knowledge</t>
        </is>
      </c>
      <c r="F42" s="18" t="inlineStr">
        <is>
          <t>Optional and readonly properties</t>
        </is>
      </c>
      <c r="G42" s="18" t="inlineStr">
        <is>
          <t>Which modifiers mark a property as possibly missing or as unchangeable?</t>
        </is>
      </c>
      <c r="H42" s="17" t="n"/>
      <c r="I42" s="18" t="inlineStr">
        <is>
          <t>Type</t>
        </is>
      </c>
      <c r="J42" s="18" t="inlineStr">
        <is>
          <t>High</t>
        </is>
      </c>
      <c r="K42" s="18" t="n">
        <v>4</v>
      </c>
      <c r="L42" s="18" t="inlineStr">
        <is>
          <t>Real data has optional fields and values that must not change, so modifiers state those rules in the type.</t>
        </is>
      </c>
      <c r="M42" s="18" t="inlineStr">
        <is>
          <t>Use readonly for data that should not be modified after creation.</t>
        </is>
      </c>
      <c r="N42" s="17" t="n"/>
      <c r="O42" s="18" t="inlineStr">
        <is>
          <t>A question mark is a maybe box, and readonly is a sealed box.</t>
        </is>
      </c>
      <c r="P42" s="18" t="inlineStr">
        <is>
          <t>A property with a question mark and a property with a lock.</t>
        </is>
      </c>
      <c r="Q42" s="18" t="inlineStr">
        <is>
          <t>The assurance that important data cannot be changed by accident.</t>
        </is>
      </c>
      <c r="R42" s="18" t="inlineStr">
        <is>
          <t>A question mark makes a property optional, so it may be undefined, and readonly prevents reassignment after creation.</t>
        </is>
      </c>
      <c r="S42" s="17" t="n"/>
      <c r="T42" s="19" t="inlineStr">
        <is>
          <t>interface Config {
  readonly name: string;
  port?: number;
}
const c: Config = { name: "api" };
// c.name = "x" is an error
const port = c.port ?? 3000;
const nums: readonly number[] = [1, 2];</t>
        </is>
      </c>
      <c r="U42" s="19" t="inlineStr">
        <is>
          <t>No output, and writing to name is rejected at compile time</t>
        </is>
      </c>
      <c r="V42" s="18" t="inlineStr">
        <is>
          <t>Optional properties have the type of their value or undefined, so check them before use. readonly is checked only at compile time and does not stop run-time changes. readonly arrays remove methods that mutate. The utility types Partial and Readonly apply these modifiers to every property.</t>
        </is>
      </c>
      <c r="W42" s="18" t="inlineStr">
        <is>
          <t>A question mark means maybe missing, and readonly means do not reassign.</t>
        </is>
      </c>
      <c r="X42" s="18" t="inlineStr">
        <is>
          <t>A question mark is a maybe box, and readonly is a sealed box.</t>
        </is>
      </c>
      <c r="Y42" s="19" t="inlineStr">
        <is>
          <t>key?: type | readonly key: type</t>
        </is>
      </c>
      <c r="Z42" s="18" t="inlineStr">
        <is>
          <t>? = optional | readonly = no reassignment | ?? = default for missing values</t>
        </is>
      </c>
      <c r="AA42" s="19" t="inlineStr">
        <is>
          <t>interface Options { retries?: number }</t>
        </is>
      </c>
      <c r="AB42" s="19" t="inlineStr">
        <is>
          <t>const ids: ReadonlyArray&lt;number&gt; = [1];</t>
        </is>
      </c>
      <c r="AC42" s="19" t="inlineStr">
        <is>
          <t>type Frozen = Readonly&lt;User&gt;;</t>
        </is>
      </c>
      <c r="AD42" s="19" t="inlineStr">
        <is>
          <t>Object.freeze(obj)   // also enforces at run time</t>
        </is>
      </c>
      <c r="AE42" s="18" t="inlineStr">
        <is>
          <t>interfaces, utility types, configuration</t>
        </is>
      </c>
      <c r="AF42" s="18" t="inlineStr">
        <is>
          <t>interfaces vs types, utility types, strict mode, Object.freeze</t>
        </is>
      </c>
      <c r="AG42" s="18" t="inlineStr">
        <is>
          <t>Object.freeze | immutable libraries</t>
        </is>
      </c>
      <c r="AH42" s="17" t="n"/>
      <c r="AI42" s="18" t="inlineStr">
        <is>
          <t>Configuration | Props | Immutable data</t>
        </is>
      </c>
      <c r="AJ42" s="18" t="inlineStr">
        <is>
          <t>A: How do I stop code changing this config? | B: Mark the properties readonly.</t>
        </is>
      </c>
      <c r="AK42" s="18" t="inlineStr">
        <is>
          <t>✗ readonly makes the object immutable at run time → ✓ It is checked only by the compiler</t>
        </is>
      </c>
      <c r="AL42" s="18" t="inlineStr">
        <is>
          <t>Optional vs undefined: optional means the key may be absent, undefined is a value.</t>
        </is>
      </c>
      <c r="AM42" s="18" t="inlineStr">
        <is>
          <t>Do not rely on readonly for run-time protection.</t>
        </is>
      </c>
      <c r="AN42" s="19" t="inlineStr">
        <is>
          <t>interface User { email: string }   // not always present</t>
        </is>
      </c>
      <c r="AO42" s="19" t="inlineStr">
        <is>
          <t>interface User { email?: string }</t>
        </is>
      </c>
      <c r="AP42" s="18" t="inlineStr">
        <is>
          <t>Question means maybe, readonly means locked.</t>
        </is>
      </c>
      <c r="AQ42" s="18" t="inlineStr">
        <is>
          <t>Marking config fields readonly stopped accidental changes in a shared module.</t>
        </is>
      </c>
      <c r="AR42" s="18" t="inlineStr">
        <is>
          <t>An interviewer may ask: Does readonly exist at run time?</t>
        </is>
      </c>
      <c r="AS42" s="18" t="inlineStr">
        <is>
          <t>It is like a sealed box.</t>
        </is>
      </c>
      <c r="AT42" s="18" t="inlineStr">
        <is>
          <t>What does a question mark after a property name mean?</t>
        </is>
      </c>
      <c r="AU42" s="18" t="inlineStr">
        <is>
          <t>A) It is optional B) It is readonly C) It is private D) It is a number</t>
        </is>
      </c>
      <c r="AV42" s="18" t="inlineStr">
        <is>
          <t>A</t>
        </is>
      </c>
      <c r="AW42" s="18" t="inlineStr">
        <is>
          <t>The property may be missing.</t>
        </is>
      </c>
      <c r="AX42" s="19" t="inlineStr">
        <is>
          <t>A modifier that blocks reassignment is ____ → readonly</t>
        </is>
      </c>
      <c r="AY42" s="18" t="inlineStr">
        <is>
          <t>Make the property port optional.</t>
        </is>
      </c>
      <c r="AZ42" s="19" t="inlineStr">
        <is>
          <t>port?: number;</t>
        </is>
      </c>
      <c r="BA42" s="18" t="inlineStr">
        <is>
          <t>Write an interface with one optional and one readonly property.</t>
        </is>
      </c>
      <c r="BB42" s="19" t="inlineStr">
        <is>
          <t>Is readonly enforced while the program runs?</t>
        </is>
      </c>
      <c r="BC42" s="19" t="inlineStr">
        <is>
          <t>No, only by the compiler.</t>
        </is>
      </c>
      <c r="BD42" s="17">
        <f>IF(K42="","",REPT("★",K42)&amp;REPT("☆",5-K42)&amp;" ("&amp;K42&amp;"/5)")</f>
        <v/>
      </c>
      <c r="BE42" s="17">
        <f>IF(S42="","","Meaning: "&amp;S42&amp;"  =  ______   (Answer: "&amp;F42&amp;")")</f>
        <v/>
      </c>
      <c r="BF42" s="17" t="inlineStr">
        <is>
          <t>New</t>
        </is>
      </c>
      <c r="BG42" s="17" t="n"/>
      <c r="BH42" s="17" t="n"/>
      <c r="BI42" s="17" t="n"/>
      <c r="BJ42" s="17" t="n"/>
      <c r="BK42" s="17" t="n"/>
      <c r="BL42" s="17" t="n"/>
      <c r="BM42" s="17" t="n"/>
      <c r="BN42" s="17" t="n"/>
    </row>
    <row r="43" ht="108" customHeight="1">
      <c r="A43" s="17" t="inlineStr">
        <is>
          <t>TS-041</t>
        </is>
      </c>
      <c r="B43" s="17" t="inlineStr">
        <is>
          <t>04 TypeScript</t>
        </is>
      </c>
      <c r="C43" s="17" t="inlineStr">
        <is>
          <t>Intermediate</t>
        </is>
      </c>
      <c r="D43" s="17" t="n">
        <v>41</v>
      </c>
      <c r="E43" s="17" t="inlineStr">
        <is>
          <t>Claude knowledge</t>
        </is>
      </c>
      <c r="F43" s="18" t="inlineStr">
        <is>
          <t>Enums</t>
        </is>
      </c>
      <c r="G43" s="18" t="inlineStr">
        <is>
          <t>Which feature gives names to a fixed set of related constants, and what are the alternatives?</t>
        </is>
      </c>
      <c r="H43" s="17" t="n"/>
      <c r="I43" s="18" t="inlineStr">
        <is>
          <t>Type</t>
        </is>
      </c>
      <c r="J43" s="18" t="inlineStr">
        <is>
          <t>Medium</t>
        </is>
      </c>
      <c r="K43" s="18" t="n">
        <v>3</v>
      </c>
      <c r="L43" s="18" t="inlineStr">
        <is>
          <t>Code needed named constants for sets such as roles, so enums were added, and later unions offered a lighter way.</t>
        </is>
      </c>
      <c r="M43" s="18" t="inlineStr">
        <is>
          <t>Prefer literal unions over enums unless you need run-time values.</t>
        </is>
      </c>
      <c r="N43" s="17" t="n"/>
      <c r="O43" s="18" t="inlineStr">
        <is>
          <t>An enum is a labelled switch panel with a name for every position.</t>
        </is>
      </c>
      <c r="P43" s="18" t="inlineStr">
        <is>
          <t>A panel with named positions and numbers behind them.</t>
        </is>
      </c>
      <c r="Q43" s="18" t="inlineStr">
        <is>
          <t>The clarity of options that carry readable names.</t>
        </is>
      </c>
      <c r="R43" s="18" t="inlineStr">
        <is>
          <t>An enum defines a set of named constants, numeric or string, that exists at run time as an object.</t>
        </is>
      </c>
      <c r="S43" s="17" t="n"/>
      <c r="T43" s="19" t="inlineStr">
        <is>
          <t>enum Role { Admin = "ADMIN", User = "USER" }
const r: Role = Role.Admin;
type Level = "low" | "high";
const lvl: Level = "low";
console.log(r, lvl);</t>
        </is>
      </c>
      <c r="U43" s="19" t="inlineStr">
        <is>
          <t>ADMIN low</t>
        </is>
      </c>
      <c r="V43" s="18" t="inlineStr">
        <is>
          <t>String enums produce readable values and are safer than numeric enums, which accept any number in older versions. Enums create extra code at run time, while literal unions vanish after compilation. const enums inline values but have tooling limits. The as const object pattern gives enum-like behaviour with plain JavaScript.</t>
        </is>
      </c>
      <c r="W43" s="18" t="inlineStr">
        <is>
          <t>Use a literal union for most cases, and a string enum when you need a run-time object.</t>
        </is>
      </c>
      <c r="X43" s="18" t="inlineStr">
        <is>
          <t>An enum is a labelled switch panel with a name for every position.</t>
        </is>
      </c>
      <c r="Y43" s="19" t="inlineStr">
        <is>
          <t>enum Name { A = "a", B = "b" }</t>
        </is>
      </c>
      <c r="Z43" s="18" t="inlineStr">
        <is>
          <t>enum = named set | = "value" = string member | Name.A = access</t>
        </is>
      </c>
      <c r="AA43" s="19" t="inlineStr">
        <is>
          <t>enum Dir { Up, Down }</t>
        </is>
      </c>
      <c r="AB43" s="19" t="inlineStr">
        <is>
          <t>const Colors = { red: "red", blue: "blue" } as const;</t>
        </is>
      </c>
      <c r="AC43" s="19" t="inlineStr">
        <is>
          <t>type Color = typeof Colors[keyof typeof Colors];</t>
        </is>
      </c>
      <c r="AD43" s="19" t="inlineStr">
        <is>
          <t>const enum Mode { Fast = "fast" }   // inlined at compile time</t>
        </is>
      </c>
      <c r="AE43" s="18" t="inlineStr">
        <is>
          <t>unions, as const, switch</t>
        </is>
      </c>
      <c r="AF43" s="18" t="inlineStr">
        <is>
          <t>unions and literals, as const, interfaces vs types, narrowing</t>
        </is>
      </c>
      <c r="AG43" s="18" t="inlineStr">
        <is>
          <t>Literal unions | as const objects</t>
        </is>
      </c>
      <c r="AH43" s="17" t="n"/>
      <c r="AI43" s="18" t="inlineStr">
        <is>
          <t>Roles | Statuses | Configuration keys</t>
        </is>
      </c>
      <c r="AJ43" s="18" t="inlineStr">
        <is>
          <t>A: Do I need an enum here? | B: A literal union is lighter, unless you need the values at run time.</t>
        </is>
      </c>
      <c r="AK43" s="18" t="inlineStr">
        <is>
          <t>✗ Enums are erased like other types → ✓ They create real objects in the compiled JavaScript</t>
        </is>
      </c>
      <c r="AL43" s="18" t="inlineStr">
        <is>
          <t>Enum vs union: an enum exists at run time, a union exists only at compile time.</t>
        </is>
      </c>
      <c r="AM43" s="18" t="inlineStr">
        <is>
          <t>Do not use numeric enums for values that cross system boundaries.</t>
        </is>
      </c>
      <c r="AN43" s="19" t="inlineStr">
        <is>
          <t>enum Status { Open, Closed }   // numbers hide meaning in logs</t>
        </is>
      </c>
      <c r="AO43" s="19" t="inlineStr">
        <is>
          <t>type Status = "open" | "closed";</t>
        </is>
      </c>
      <c r="AP43" s="18" t="inlineStr">
        <is>
          <t>Unions vanish, enums stay behind.</t>
        </is>
      </c>
      <c r="AQ43" s="18" t="inlineStr">
        <is>
          <t>Switching enums to literal unions shrank a frontend bundle slightly.</t>
        </is>
      </c>
      <c r="AR43" s="18" t="inlineStr">
        <is>
          <t>An interviewer may ask: What is the difference between an enum and a union of literals?</t>
        </is>
      </c>
      <c r="AS43" s="18" t="inlineStr">
        <is>
          <t>It is like a labelled switch panel.</t>
        </is>
      </c>
      <c r="AT43" s="18" t="inlineStr">
        <is>
          <t>Which exists at run time?</t>
        </is>
      </c>
      <c r="AU43" s="18" t="inlineStr">
        <is>
          <t>A) A literal union B) A type alias C) An interface D) An enum</t>
        </is>
      </c>
      <c r="AV43" s="18" t="inlineStr">
        <is>
          <t>D</t>
        </is>
      </c>
      <c r="AW43" s="18" t="inlineStr">
        <is>
          <t>Enums compile into objects.</t>
        </is>
      </c>
      <c r="AX43" s="19" t="inlineStr">
        <is>
          <t>An object that behaves like an enum can be made with ____ const → as</t>
        </is>
      </c>
      <c r="AY43" s="18" t="inlineStr">
        <is>
          <t>Define a string enum with Admin and User.</t>
        </is>
      </c>
      <c r="AZ43" s="19" t="inlineStr">
        <is>
          <t>enum Role { Admin = "ADMIN", User = "USER" }</t>
        </is>
      </c>
      <c r="BA43" s="18" t="inlineStr">
        <is>
          <t>Replace an enum with a literal union and compare.</t>
        </is>
      </c>
      <c r="BB43" s="19" t="inlineStr">
        <is>
          <t>Why prefer string enums over numeric ones?</t>
        </is>
      </c>
      <c r="BC43" s="19" t="inlineStr">
        <is>
          <t>They are readable in logs and safer.</t>
        </is>
      </c>
      <c r="BD43" s="17">
        <f>IF(K43="","",REPT("★",K43)&amp;REPT("☆",5-K43)&amp;" ("&amp;K43&amp;"/5)")</f>
        <v/>
      </c>
      <c r="BE43" s="17">
        <f>IF(S43="","","Meaning: "&amp;S43&amp;"  =  ______   (Answer: "&amp;F43&amp;")")</f>
        <v/>
      </c>
      <c r="BF43" s="17" t="inlineStr">
        <is>
          <t>New</t>
        </is>
      </c>
      <c r="BG43" s="17" t="n"/>
      <c r="BH43" s="17" t="n"/>
      <c r="BI43" s="17" t="n"/>
      <c r="BJ43" s="17" t="n"/>
      <c r="BK43" s="17" t="n"/>
      <c r="BL43" s="17" t="n"/>
      <c r="BM43" s="17" t="n"/>
      <c r="BN43" s="17" t="n"/>
    </row>
    <row r="44" ht="148.5" customHeight="1">
      <c r="A44" s="17" t="inlineStr">
        <is>
          <t>TS-042</t>
        </is>
      </c>
      <c r="B44" s="17" t="inlineStr">
        <is>
          <t>04 TypeScript</t>
        </is>
      </c>
      <c r="C44" s="17" t="inlineStr">
        <is>
          <t>Intermediate</t>
        </is>
      </c>
      <c r="D44" s="17" t="n">
        <v>42</v>
      </c>
      <c r="E44" s="17" t="inlineStr">
        <is>
          <t>Claude knowledge</t>
        </is>
      </c>
      <c r="F44" s="18" t="inlineStr">
        <is>
          <t>tsconfig.json</t>
        </is>
      </c>
      <c r="G44" s="18" t="inlineStr">
        <is>
          <t>Which file tells the TypeScript compiler how to check and emit your code?</t>
        </is>
      </c>
      <c r="H44" s="17" t="n"/>
      <c r="I44" s="18" t="inlineStr">
        <is>
          <t>Configuration</t>
        </is>
      </c>
      <c r="J44" s="18" t="inlineStr">
        <is>
          <t>High</t>
        </is>
      </c>
      <c r="K44" s="18" t="n">
        <v>5</v>
      </c>
      <c r="L44" s="18" t="inlineStr">
        <is>
          <t>The compiler has many options, so a project file records them once instead of repeating command line flags.</t>
        </is>
      </c>
      <c r="M44" s="18" t="inlineStr">
        <is>
          <t>Turn on strict and pick a target and module setting that match where the code runs.</t>
        </is>
      </c>
      <c r="N44" s="17" t="n"/>
      <c r="O44" s="18" t="inlineStr">
        <is>
          <t>tsconfig is the settings panel of the compiler.</t>
        </is>
      </c>
      <c r="P44" s="18" t="inlineStr">
        <is>
          <t>A JSON file with compilerOptions and an include list.</t>
        </is>
      </c>
      <c r="Q44" s="18" t="inlineStr">
        <is>
          <t>The relief of one file that holds all settings.</t>
        </is>
      </c>
      <c r="R44" s="18" t="inlineStr">
        <is>
          <t>tsconfig.json sets compiler options such as target, module, strict and outDir, and lists the files to include.</t>
        </is>
      </c>
      <c r="S44" s="17" t="n"/>
      <c r="T44" s="19" t="inlineStr">
        <is>
          <t>{
  "compilerOptions": {
    "target": "ES2022",
    "module": "NodeNext",
    "strict": true,
    "outDir": "dist",
    "rootDir": "src",
    "skipLibCheck": true
  },
  "include": ["src"]
}</t>
        </is>
      </c>
      <c r="U44" s="19" t="inlineStr">
        <is>
          <t>tsc reads this file and compiles files in src into dist with strict checking.</t>
        </is>
      </c>
      <c r="V44" s="18" t="inlineStr">
        <is>
          <t>target sets the JavaScript version emitted, module sets the module system, and strict turns on a group of safety checks. outDir and rootDir control where output goes. include and exclude choose files. Frontend tools often use noEmit because a bundler produces the output. extends lets projects share a base configuration.</t>
        </is>
      </c>
      <c r="W44" s="18" t="inlineStr">
        <is>
          <t>Put compiler settings in tsconfig.json and run tsc with no extra flags.</t>
        </is>
      </c>
      <c r="X44" s="18" t="inlineStr">
        <is>
          <t>tsconfig is the settings panel of the compiler.</t>
        </is>
      </c>
      <c r="Y44" s="19" t="inlineStr">
        <is>
          <t>{ "compilerOptions": { ... }, "include": [ ... ] }</t>
        </is>
      </c>
      <c r="Z44" s="18" t="inlineStr">
        <is>
          <t>target = output version | module = module style | strict = safety group | outDir = output folder</t>
        </is>
      </c>
      <c r="AA44" s="19" t="inlineStr">
        <is>
          <t>"extends": "./tsconfig.base.json"</t>
        </is>
      </c>
      <c r="AB44" s="19" t="inlineStr">
        <is>
          <t>"noEmit": true</t>
        </is>
      </c>
      <c r="AC44" s="19" t="inlineStr">
        <is>
          <t>"paths": { "@/*": ["src/*"] }</t>
        </is>
      </c>
      <c r="AD44" s="19" t="inlineStr">
        <is>
          <t>npx tsc --init   // create a starter file</t>
        </is>
      </c>
      <c r="AE44" s="18" t="inlineStr">
        <is>
          <t>strict mode, bundlers, Node</t>
        </is>
      </c>
      <c r="AF44" s="18" t="inlineStr">
        <is>
          <t>strict mode, ES modules vs CommonJS, why TypeScript, declaration files</t>
        </is>
      </c>
      <c r="AG44" s="18" t="inlineStr">
        <is>
          <t>Bundler configuration</t>
        </is>
      </c>
      <c r="AH44" s="17" t="n"/>
      <c r="AI44" s="18" t="inlineStr">
        <is>
          <t>Every TypeScript project | Monorepos | CI checks</t>
        </is>
      </c>
      <c r="AJ44" s="18" t="inlineStr">
        <is>
          <t>A: Imports fail with the wrong module settings. | B: Check module and moduleResolution in tsconfig.</t>
        </is>
      </c>
      <c r="AK44" s="18" t="inlineStr">
        <is>
          <t>✗ tsconfig changes how TypeScript runs in the editor only → ✓ It also controls the compiler output and checks in builds</t>
        </is>
      </c>
      <c r="AL44" s="18" t="inlineStr">
        <is>
          <t>target vs module: target is the JavaScript version, module is the module system.</t>
        </is>
      </c>
      <c r="AM44" s="18" t="inlineStr">
        <is>
          <t>Do not leave strict off in new projects.</t>
        </is>
      </c>
      <c r="AN44" s="19" t="inlineStr">
        <is>
          <t>"strict": "true"</t>
        </is>
      </c>
      <c r="AO44" s="19" t="inlineStr">
        <is>
          <t>"strict": true</t>
        </is>
      </c>
      <c r="AP44" s="18" t="inlineStr">
        <is>
          <t>Strict true, no quotes needed.</t>
        </is>
      </c>
      <c r="AQ44" s="18" t="inlineStr">
        <is>
          <t>Enabling strict in tsconfig found dozens of hidden null bugs in a service.</t>
        </is>
      </c>
      <c r="AR44" s="18" t="inlineStr">
        <is>
          <t>An interviewer may ask: What does strict do in tsconfig?</t>
        </is>
      </c>
      <c r="AS44" s="18" t="inlineStr">
        <is>
          <t>It is like a settings panel.</t>
        </is>
      </c>
      <c r="AT44" s="18" t="inlineStr">
        <is>
          <t>Which option picks the output folder?</t>
        </is>
      </c>
      <c r="AU44" s="18" t="inlineStr">
        <is>
          <t>A) target B) rootDir C) outDir D) include</t>
        </is>
      </c>
      <c r="AV44" s="18" t="inlineStr">
        <is>
          <t>C</t>
        </is>
      </c>
      <c r="AW44" s="18" t="inlineStr">
        <is>
          <t>outDir sets where compiled files go.</t>
        </is>
      </c>
      <c r="AX44" s="19" t="inlineStr">
        <is>
          <t>The option that turns on a group of safety checks is ____ → strict</t>
        </is>
      </c>
      <c r="AY44" s="18" t="inlineStr">
        <is>
          <t>Create a starter tsconfig file.</t>
        </is>
      </c>
      <c r="AZ44" s="19" t="inlineStr">
        <is>
          <t>npx tsc --init</t>
        </is>
      </c>
      <c r="BA44" s="18" t="inlineStr">
        <is>
          <t>Write a tsconfig that compiles src to dist with strict mode.</t>
        </is>
      </c>
      <c r="BB44" s="19" t="inlineStr">
        <is>
          <t>What does include do?</t>
        </is>
      </c>
      <c r="BC44" s="19" t="inlineStr">
        <is>
          <t>It lists which files the compiler should check.</t>
        </is>
      </c>
      <c r="BD44" s="17">
        <f>IF(K44="","",REPT("★",K44)&amp;REPT("☆",5-K44)&amp;" ("&amp;K44&amp;"/5)")</f>
        <v/>
      </c>
      <c r="BE44" s="17">
        <f>IF(S44="","","Meaning: "&amp;S44&amp;"  =  ______   (Answer: "&amp;F44&amp;")")</f>
        <v/>
      </c>
      <c r="BF44" s="17" t="inlineStr">
        <is>
          <t>New</t>
        </is>
      </c>
      <c r="BG44" s="17" t="n"/>
      <c r="BH44" s="17" t="n"/>
      <c r="BI44" s="17" t="n"/>
      <c r="BJ44" s="17" t="n"/>
      <c r="BK44" s="17" t="n"/>
      <c r="BL44" s="17" t="n"/>
      <c r="BM44" s="17" t="n"/>
      <c r="BN44" s="17" t="n"/>
    </row>
    <row r="45" ht="135" customHeight="1">
      <c r="A45" s="17" t="inlineStr">
        <is>
          <t>TS-043</t>
        </is>
      </c>
      <c r="B45" s="17" t="inlineStr">
        <is>
          <t>04 TypeScript</t>
        </is>
      </c>
      <c r="C45" s="17" t="inlineStr">
        <is>
          <t>Intermediate</t>
        </is>
      </c>
      <c r="D45" s="17" t="n">
        <v>43</v>
      </c>
      <c r="E45" s="17" t="inlineStr">
        <is>
          <t>Claude knowledge</t>
        </is>
      </c>
      <c r="F45" s="18" t="inlineStr">
        <is>
          <t>Utility types</t>
        </is>
      </c>
      <c r="G45" s="18" t="inlineStr">
        <is>
          <t>Which built-in generic types transform existing types, such as Partial, Pick, Omit and Record?</t>
        </is>
      </c>
      <c r="H45" s="17" t="n"/>
      <c r="I45" s="18" t="inlineStr">
        <is>
          <t>Type</t>
        </is>
      </c>
      <c r="J45" s="18" t="inlineStr">
        <is>
          <t>High</t>
        </is>
      </c>
      <c r="K45" s="18" t="n">
        <v>5</v>
      </c>
      <c r="L45" s="18" t="inlineStr">
        <is>
          <t>Many types are small variations of others, so the library provides helpers that derive new types from existing ones.</t>
        </is>
      </c>
      <c r="M45" s="18" t="inlineStr">
        <is>
          <t>Derive types from one source of truth instead of copying fields.</t>
        </is>
      </c>
      <c r="N45" s="17" t="n"/>
      <c r="O45" s="18" t="inlineStr">
        <is>
          <t>Utility types are cookie cutters that reshape one dough into many shapes.</t>
        </is>
      </c>
      <c r="P45" s="18" t="inlineStr">
        <is>
          <t>One type fanning into several derived types.</t>
        </is>
      </c>
      <c r="Q45" s="18" t="inlineStr">
        <is>
          <t>The satisfaction of deriving a type in one line.</t>
        </is>
      </c>
      <c r="R45" s="18" t="inlineStr">
        <is>
          <t>Utility types build new types from existing ones, for example Partial makes all fields optional, Pick keeps chosen fields, Omit removes fields and Record maps keys to a value type.</t>
        </is>
      </c>
      <c r="S45" s="17" t="n"/>
      <c r="T45" s="19" t="inlineStr">
        <is>
          <t>interface User { id: number; name: string; email: string }
type Update = Partial&lt;User&gt;;
type Preview = Pick&lt;User, "id" | "name"&gt;;
type NoEmail = Omit&lt;User, "email"&gt;;
type Roles = Record&lt;string, "admin" | "user"&gt;;
const patch: Update = { name: "Asha" };</t>
        </is>
      </c>
      <c r="U45" s="19" t="inlineStr">
        <is>
          <t>No output, and patch is valid because every field is optional</t>
        </is>
      </c>
      <c r="V45" s="18" t="inlineStr">
        <is>
          <t>Partial suits update payloads, Pick suits views of a type, Omit suits removing sensitive fields, and Record suits dictionaries. Required reverses Partial, and Readonly freezes properties. ReturnType and Awaited extract types from functions and promises. They are built from mapped types.</t>
        </is>
      </c>
      <c r="W45" s="18" t="inlineStr">
        <is>
          <t>Derive new types from existing ones with Partial, Pick, Omit and Record.</t>
        </is>
      </c>
      <c r="X45" s="18" t="inlineStr">
        <is>
          <t>Utility types are cookie cutters that reshape one dough into many shapes.</t>
        </is>
      </c>
      <c r="Y45" s="19" t="inlineStr">
        <is>
          <t>Partial&lt;T&gt; | Pick&lt;T, K&gt; | Omit&lt;T, K&gt; | Record&lt;K, V&gt;</t>
        </is>
      </c>
      <c r="Z45" s="18" t="inlineStr">
        <is>
          <t>Partial = optional all | Pick = keep chosen | Omit = remove chosen | Record = key to value map</t>
        </is>
      </c>
      <c r="AA45" s="19" t="inlineStr">
        <is>
          <t>type Fn = ReturnType&lt;typeof getUser&gt;;</t>
        </is>
      </c>
      <c r="AB45" s="19" t="inlineStr">
        <is>
          <t>type Data = Awaited&lt;ReturnType&lt;typeof load&gt;&gt;;</t>
        </is>
      </c>
      <c r="AC45" s="19" t="inlineStr">
        <is>
          <t>type Needed = Required&lt;Config&gt;;</t>
        </is>
      </c>
      <c r="AD45" s="19" t="inlineStr">
        <is>
          <t>Readonly&lt;User&gt;   // freeze every property</t>
        </is>
      </c>
      <c r="AE45" s="18" t="inlineStr">
        <is>
          <t>generics, mapped types, APIs</t>
        </is>
      </c>
      <c r="AF45" s="18" t="inlineStr">
        <is>
          <t>generics, interfaces vs types, mapped types, optional and readonly</t>
        </is>
      </c>
      <c r="AG45" s="18" t="inlineStr">
        <is>
          <t>Writing types by hand</t>
        </is>
      </c>
      <c r="AH45" s="17" t="n"/>
      <c r="AI45" s="18" t="inlineStr">
        <is>
          <t>Update payloads | Public views | Dictionaries</t>
        </is>
      </c>
      <c r="AJ45" s="18" t="inlineStr">
        <is>
          <t>A: I copied the User type for the update call. | B: Use Partial of User so they cannot drift apart.</t>
        </is>
      </c>
      <c r="AK45" s="18" t="inlineStr">
        <is>
          <t>✗ Omit removes properties at run time → ✓ It only changes the type, and the data must still be removed in code</t>
        </is>
      </c>
      <c r="AL45" s="18" t="inlineStr">
        <is>
          <t>Pick vs Omit: Pick lists what to keep, Omit lists what to remove.</t>
        </is>
      </c>
      <c r="AM45" s="18" t="inlineStr">
        <is>
          <t>Do not duplicate fields across several types.</t>
        </is>
      </c>
      <c r="AN45" s="19" t="inlineStr">
        <is>
          <t>type Update = { id?: number; name?: string; email?: string };</t>
        </is>
      </c>
      <c r="AO45" s="19" t="inlineStr">
        <is>
          <t>type Update = Partial&lt;User&gt;;</t>
        </is>
      </c>
      <c r="AP45" s="18" t="inlineStr">
        <is>
          <t>Pick keeps, Omit drops, Partial loosens.</t>
        </is>
      </c>
      <c r="AQ45" s="18" t="inlineStr">
        <is>
          <t>Deriving the update type with Partial kept the API and form in step.</t>
        </is>
      </c>
      <c r="AR45" s="18" t="inlineStr">
        <is>
          <t>An interviewer may ask: What is the difference between Pick and Omit?</t>
        </is>
      </c>
      <c r="AS45" s="18" t="inlineStr">
        <is>
          <t>It is like cookie cutters for types.</t>
        </is>
      </c>
      <c r="AT45" s="18" t="inlineStr">
        <is>
          <t>Which utility type makes every property optional?</t>
        </is>
      </c>
      <c r="AU45" s="18" t="inlineStr">
        <is>
          <t>A) Partial B) Record C) Omit D) Pick</t>
        </is>
      </c>
      <c r="AV45" s="18" t="inlineStr">
        <is>
          <t>A</t>
        </is>
      </c>
      <c r="AW45" s="18" t="inlineStr">
        <is>
          <t>Partial adds an optional marker to each key.</t>
        </is>
      </c>
      <c r="AX45" s="19" t="inlineStr">
        <is>
          <t>The utility type that builds a key to value dictionary is ____ → Record</t>
        </is>
      </c>
      <c r="AY45" s="18" t="inlineStr">
        <is>
          <t>Create a type with all fields of User except email.</t>
        </is>
      </c>
      <c r="AZ45" s="19" t="inlineStr">
        <is>
          <t>type Safe = Omit&lt;User, "email"&gt;;</t>
        </is>
      </c>
      <c r="BA45" s="18" t="inlineStr">
        <is>
          <t>Create a type with only the id and name of User.</t>
        </is>
      </c>
      <c r="BB45" s="19" t="inlineStr">
        <is>
          <t>Does Omit remove data at run time?</t>
        </is>
      </c>
      <c r="BC45" s="19" t="inlineStr">
        <is>
          <t>No, it only changes the type.</t>
        </is>
      </c>
      <c r="BD45" s="17">
        <f>IF(K45="","",REPT("★",K45)&amp;REPT("☆",5-K45)&amp;" ("&amp;K45&amp;"/5)")</f>
        <v/>
      </c>
      <c r="BE45" s="17">
        <f>IF(S45="","","Meaning: "&amp;S45&amp;"  =  ______   (Answer: "&amp;F45&amp;")")</f>
        <v/>
      </c>
      <c r="BF45" s="17" t="inlineStr">
        <is>
          <t>New</t>
        </is>
      </c>
      <c r="BG45" s="17" t="n"/>
      <c r="BH45" s="17" t="n"/>
      <c r="BI45" s="17" t="n"/>
      <c r="BJ45" s="17" t="n"/>
      <c r="BK45" s="17" t="n"/>
      <c r="BL45" s="17" t="n"/>
      <c r="BM45" s="17" t="n"/>
      <c r="BN45" s="17" t="n"/>
    </row>
    <row r="46" ht="135" customHeight="1">
      <c r="A46" s="17" t="inlineStr">
        <is>
          <t>TS-044</t>
        </is>
      </c>
      <c r="B46" s="17" t="inlineStr">
        <is>
          <t>04 TypeScript</t>
        </is>
      </c>
      <c r="C46" s="17" t="inlineStr">
        <is>
          <t>Intermediate</t>
        </is>
      </c>
      <c r="D46" s="17" t="n">
        <v>44</v>
      </c>
      <c r="E46" s="17" t="inlineStr">
        <is>
          <t>Claude knowledge</t>
        </is>
      </c>
      <c r="F46" s="18" t="inlineStr">
        <is>
          <t>Promise&lt;T&gt; and async typing</t>
        </is>
      </c>
      <c r="G46" s="18" t="inlineStr">
        <is>
          <t>How do you type values that arrive later from async functions?</t>
        </is>
      </c>
      <c r="H46" s="17" t="n"/>
      <c r="I46" s="18" t="inlineStr">
        <is>
          <t>Type</t>
        </is>
      </c>
      <c r="J46" s="18" t="inlineStr">
        <is>
          <t>High</t>
        </is>
      </c>
      <c r="K46" s="18" t="n">
        <v>4</v>
      </c>
      <c r="L46" s="18" t="inlineStr">
        <is>
          <t>Async functions return promises, so the type must say what the promise will eventually contain.</t>
        </is>
      </c>
      <c r="M46" s="18" t="inlineStr">
        <is>
          <t>Let the compiler infer the promise type from the returned value.</t>
        </is>
      </c>
      <c r="N46" s="17" t="n"/>
      <c r="O46" s="18" t="inlineStr">
        <is>
          <t>Promise of T is a receipt that says what item will be delivered.</t>
        </is>
      </c>
      <c r="P46" s="18" t="inlineStr">
        <is>
          <t>A box labelled Promise with a type inside.</t>
        </is>
      </c>
      <c r="Q46" s="18" t="inlineStr">
        <is>
          <t>The ease of typed async results.</t>
        </is>
      </c>
      <c r="R46" s="18" t="inlineStr">
        <is>
          <t>Promise&lt;T&gt; is the type of a promise that resolves to a value of type T, and an async function that returns T has the type Promise&lt;T&gt;.</t>
        </is>
      </c>
      <c r="S46" s="17" t="n"/>
      <c r="T46" s="19" t="inlineStr">
        <is>
          <t>interface User { id: number; name: string }
async function getUser(id: number): Promise&lt;User&gt; {
  const res = await fetch(`/api/users/${id}`);
  return (await res.json()) as User;
}
const user = await getUser(1);
type Loaded = Awaited&lt;ReturnType&lt;typeof getUser&gt;&gt;;</t>
        </is>
      </c>
      <c r="U46" s="19" t="inlineStr">
        <is>
          <t>user has type User, and Loaded is also User</t>
        </is>
      </c>
      <c r="V46" s="18" t="inlineStr">
        <is>
          <t>Inside an async function you return a plain value, and the compiler wraps it. await removes the Promise layer. Promise.all keeps the tuple of results typed. Awaited extracts the inner type. The json method returns any, so assert or validate it.</t>
        </is>
      </c>
      <c r="W46" s="18" t="inlineStr">
        <is>
          <t>Async functions return Promise of their value, and await gives the inner value.</t>
        </is>
      </c>
      <c r="X46" s="18" t="inlineStr">
        <is>
          <t>Promise of T is a receipt that says what item will be delivered.</t>
        </is>
      </c>
      <c r="Y46" s="19" t="inlineStr">
        <is>
          <t>async function f(): Promise&lt;T&gt; | Awaited&lt;T&gt;</t>
        </is>
      </c>
      <c r="Z46" s="18" t="inlineStr">
        <is>
          <t>Promise&lt;T&gt; = future T | await = unwrap | Awaited = utility to unwrap</t>
        </is>
      </c>
      <c r="AA46" s="19" t="inlineStr">
        <is>
          <t>const p: Promise&lt;string&gt; = Promise.resolve("x");</t>
        </is>
      </c>
      <c r="AB46" s="19" t="inlineStr">
        <is>
          <t>const [users, total] = await Promise.all([listUsers(), countUsers()]);</t>
        </is>
      </c>
      <c r="AC46" s="19" t="inlineStr">
        <is>
          <t>function load(): Promise&lt;void&gt; { return Promise.resolve(); }</t>
        </is>
      </c>
      <c r="AD46" s="19" t="inlineStr">
        <is>
          <t>async function f() { return 1; }   // inferred as Promise&lt;number&gt;</t>
        </is>
      </c>
      <c r="AE46" s="18" t="inlineStr">
        <is>
          <t>fetch, validation, generics</t>
        </is>
      </c>
      <c r="AF46" s="18" t="inlineStr">
        <is>
          <t>promises, async and await, generics, type assertions</t>
        </is>
      </c>
      <c r="AG46" s="18" t="inlineStr">
        <is>
          <t>Callbacks with types</t>
        </is>
      </c>
      <c r="AH46" s="17" t="n"/>
      <c r="AI46" s="18" t="inlineStr">
        <is>
          <t>API calls | Services | Hooks</t>
        </is>
      </c>
      <c r="AJ46" s="18" t="inlineStr">
        <is>
          <t>A: What type does my async function return? | B: A Promise of whatever you return.</t>
        </is>
      </c>
      <c r="AK46" s="18" t="inlineStr">
        <is>
          <t>✗ An async function returning a number has the type number → ✓ It has the type Promise of number</t>
        </is>
      </c>
      <c r="AL46" s="18" t="inlineStr">
        <is>
          <t>Promise&lt;T&gt; vs T: one is the future value, the other is the value after await.</t>
        </is>
      </c>
      <c r="AM46" s="18" t="inlineStr">
        <is>
          <t>Do not trust the json result without a check.</t>
        </is>
      </c>
      <c r="AN46" s="19" t="inlineStr">
        <is>
          <t>async function getId(): number { return 1; }</t>
        </is>
      </c>
      <c r="AO46" s="19" t="inlineStr">
        <is>
          <t>async function getId(): Promise&lt;number&gt; { return 1; }</t>
        </is>
      </c>
      <c r="AP46" s="18" t="inlineStr">
        <is>
          <t>Async always wraps the return in Promise.</t>
        </is>
      </c>
      <c r="AQ46" s="18" t="inlineStr">
        <is>
          <t>Typing async helpers as Promise of known shapes caught a misused result.</t>
        </is>
      </c>
      <c r="AR46" s="18" t="inlineStr">
        <is>
          <t>An interviewer may ask: What type does an async function return?</t>
        </is>
      </c>
      <c r="AS46" s="18" t="inlineStr">
        <is>
          <t>It is like a receipt for a future item.</t>
        </is>
      </c>
      <c r="AT46" s="18" t="inlineStr">
        <is>
          <t>What type does an async function returning a string have?</t>
        </is>
      </c>
      <c r="AU46" s="18" t="inlineStr">
        <is>
          <t>A) any B) Promise of string C) void D) string</t>
        </is>
      </c>
      <c r="AV46" s="18" t="inlineStr">
        <is>
          <t>B</t>
        </is>
      </c>
      <c r="AW46" s="18" t="inlineStr">
        <is>
          <t>The return is wrapped in a promise.</t>
        </is>
      </c>
      <c r="AX46" s="19" t="inlineStr">
        <is>
          <t>The utility that extracts the value type of a promise is ____ → Awaited</t>
        </is>
      </c>
      <c r="AY46" s="18" t="inlineStr">
        <is>
          <t>Declare the return type of an async function that gives a number.</t>
        </is>
      </c>
      <c r="AZ46" s="19" t="inlineStr">
        <is>
          <t>async function f(): Promise&lt;number&gt; { return 1; }</t>
        </is>
      </c>
      <c r="BA46" s="18" t="inlineStr">
        <is>
          <t>Type an async function that fetches a list of users.</t>
        </is>
      </c>
      <c r="BB46" s="19" t="inlineStr">
        <is>
          <t>What does await do to the type?</t>
        </is>
      </c>
      <c r="BC46" s="19" t="inlineStr">
        <is>
          <t>It unwraps the promise to its inner type.</t>
        </is>
      </c>
      <c r="BD46" s="17">
        <f>IF(K46="","",REPT("★",K46)&amp;REPT("☆",5-K46)&amp;" ("&amp;K46&amp;"/5)")</f>
        <v/>
      </c>
      <c r="BE46" s="17">
        <f>IF(S46="","","Meaning: "&amp;S46&amp;"  =  ______   (Answer: "&amp;F46&amp;")")</f>
        <v/>
      </c>
      <c r="BF46" s="17" t="inlineStr">
        <is>
          <t>New</t>
        </is>
      </c>
      <c r="BG46" s="17" t="n"/>
      <c r="BH46" s="17" t="n"/>
      <c r="BI46" s="17" t="n"/>
      <c r="BJ46" s="17" t="n"/>
      <c r="BK46" s="17" t="n"/>
      <c r="BL46" s="17" t="n"/>
      <c r="BM46" s="17" t="n"/>
      <c r="BN46" s="17" t="n"/>
    </row>
    <row r="47" ht="108" customHeight="1">
      <c r="A47" s="17" t="inlineStr">
        <is>
          <t>TS-045</t>
        </is>
      </c>
      <c r="B47" s="17" t="inlineStr">
        <is>
          <t>04 TypeScript</t>
        </is>
      </c>
      <c r="C47" s="17" t="inlineStr">
        <is>
          <t>Intermediate</t>
        </is>
      </c>
      <c r="D47" s="17" t="n">
        <v>45</v>
      </c>
      <c r="E47" s="17" t="inlineStr">
        <is>
          <t>Claude knowledge</t>
        </is>
      </c>
      <c r="F47" s="18" t="inlineStr">
        <is>
          <t>Type assertions</t>
        </is>
      </c>
      <c r="G47" s="18" t="inlineStr">
        <is>
          <t>Which syntax tells the compiler to treat a value as a chosen type, and what is the danger?</t>
        </is>
      </c>
      <c r="H47" s="17" t="n"/>
      <c r="I47" s="18" t="inlineStr">
        <is>
          <t>Type</t>
        </is>
      </c>
      <c r="J47" s="18" t="inlineStr">
        <is>
          <t>High</t>
        </is>
      </c>
      <c r="K47" s="18" t="n">
        <v>4</v>
      </c>
      <c r="L47" s="18" t="inlineStr">
        <is>
          <t>Sometimes you know more than the compiler, so assertions let you override its view, at your own risk.</t>
        </is>
      </c>
      <c r="M47" s="18" t="inlineStr">
        <is>
          <t>Prefer narrowing or validation, and use assertions sparingly.</t>
        </is>
      </c>
      <c r="N47" s="17" t="n"/>
      <c r="O47" s="18" t="inlineStr">
        <is>
          <t>An assertion is signing a statement that says trust me.</t>
        </is>
      </c>
      <c r="P47" s="18" t="inlineStr">
        <is>
          <t>A value stamped with a different label.</t>
        </is>
      </c>
      <c r="Q47" s="18" t="inlineStr">
        <is>
          <t>The caution of overriding the safety net.</t>
        </is>
      </c>
      <c r="R47" s="18" t="inlineStr">
        <is>
          <t>A type assertion with as tells the compiler to treat an expression as a given type without any run-time check.</t>
        </is>
      </c>
      <c r="S47" s="17" t="n"/>
      <c r="T47" s="19" t="inlineStr">
        <is>
          <t>const el = document.getElementById("name") as HTMLInputElement;
console.log(el.value);
const data = JSON.parse("{}") as { id: number };
const safe = document.getElementById("x");
if (safe instanceof HTMLInputElement) console.log(safe.value);</t>
        </is>
      </c>
      <c r="U47" s="19" t="inlineStr">
        <is>
          <t>Reads the input value, and the last lines read it safely after a check</t>
        </is>
      </c>
      <c r="V47" s="18" t="inlineStr">
        <is>
          <t>Assertions change only the compiler's view, so a wrong claim fails at run time. The non-null operator, an exclamation mark, asserts a value is not null. Assertions to unrelated types need a double cast, which is a warning sign. Narrowing and schema validation are safer ways to learn the real type.</t>
        </is>
      </c>
      <c r="W47" s="18" t="inlineStr">
        <is>
          <t>as overrides the compiler, so use it only when you truly know and cannot check.</t>
        </is>
      </c>
      <c r="X47" s="18" t="inlineStr">
        <is>
          <t>An assertion is signing a statement that says trust me.</t>
        </is>
      </c>
      <c r="Y47" s="19" t="inlineStr">
        <is>
          <t>value as Type | value!</t>
        </is>
      </c>
      <c r="Z47" s="18" t="inlineStr">
        <is>
          <t>as = assertion | ! = non-null assertion | instanceof = a safe check</t>
        </is>
      </c>
      <c r="AA47" s="19" t="inlineStr">
        <is>
          <t>const n = input as unknown as number;</t>
        </is>
      </c>
      <c r="AB47" s="19" t="inlineStr">
        <is>
          <t>const len = name!.length;</t>
        </is>
      </c>
      <c r="AC47" s="19" t="inlineStr">
        <is>
          <t>&lt;HTMLElement&gt;node</t>
        </is>
      </c>
      <c r="AD47" s="19" t="inlineStr">
        <is>
          <t>satisfies HTMLElement   // check a value without changing its type</t>
        </is>
      </c>
      <c r="AE47" s="18" t="inlineStr">
        <is>
          <t>DOM, JSON, narrowing</t>
        </is>
      </c>
      <c r="AF47" s="18" t="inlineStr">
        <is>
          <t>narrowing, any vs unknown, type guards, DOM</t>
        </is>
      </c>
      <c r="AG47" s="18" t="inlineStr">
        <is>
          <t>Narrowing | Zod validation | satisfies</t>
        </is>
      </c>
      <c r="AH47" s="17" t="n"/>
      <c r="AI47" s="18" t="inlineStr">
        <is>
          <t>DOM access | Parsed data | Migration code</t>
        </is>
      </c>
      <c r="AJ47" s="18" t="inlineStr">
        <is>
          <t>A: It compiles but crashes with undefined. | B: A type assertion hid the missing value, so validate it.</t>
        </is>
      </c>
      <c r="AK47" s="18" t="inlineStr">
        <is>
          <t>✗ An assertion converts the value to the new type → ✓ It only changes what the compiler believes</t>
        </is>
      </c>
      <c r="AL47" s="18" t="inlineStr">
        <is>
          <t>as vs satisfies: as overrides the type, satisfies only checks it.</t>
        </is>
      </c>
      <c r="AM47" s="18" t="inlineStr">
        <is>
          <t>Do not assert API data without validation.</t>
        </is>
      </c>
      <c r="AN47" s="19" t="inlineStr">
        <is>
          <t>const user = data as User;   // data is unchecked</t>
        </is>
      </c>
      <c r="AO47" s="19" t="inlineStr">
        <is>
          <t>const user = userSchema.parse(data);</t>
        </is>
      </c>
      <c r="AP47" s="18" t="inlineStr">
        <is>
          <t>An assertion claims, but a check proves.</t>
        </is>
      </c>
      <c r="AQ47" s="18" t="inlineStr">
        <is>
          <t>Replacing assertions on API data with validation exposed a missing field.</t>
        </is>
      </c>
      <c r="AR47" s="18" t="inlineStr">
        <is>
          <t>An interviewer may ask: What is the risk of the as keyword?</t>
        </is>
      </c>
      <c r="AS47" s="18" t="inlineStr">
        <is>
          <t>It is like signing a trust-me statement.</t>
        </is>
      </c>
      <c r="AT47" s="18" t="inlineStr">
        <is>
          <t>Does as perform a run-time check?</t>
        </is>
      </c>
      <c r="AU47" s="18" t="inlineStr">
        <is>
          <t>A) Only for numbers B) Only in strict C) No D) Yes always</t>
        </is>
      </c>
      <c r="AV47" s="18" t="inlineStr">
        <is>
          <t>C</t>
        </is>
      </c>
      <c r="AW47" s="18" t="inlineStr">
        <is>
          <t>It only affects compile-time types.</t>
        </is>
      </c>
      <c r="AX47" s="19" t="inlineStr">
        <is>
          <t>The operator that asserts a value is not null is the ____ mark → exclamation</t>
        </is>
      </c>
      <c r="AY47" s="18" t="inlineStr">
        <is>
          <t>Treat an element as an input element.</t>
        </is>
      </c>
      <c r="AZ47" s="19" t="inlineStr">
        <is>
          <t>const el = node as HTMLInputElement;</t>
        </is>
      </c>
      <c r="BA47" s="18" t="inlineStr">
        <is>
          <t>Replace an assertion with a safe instanceof check.</t>
        </is>
      </c>
      <c r="BB47" s="19" t="inlineStr">
        <is>
          <t>Why can a wrong assertion crash at run time?</t>
        </is>
      </c>
      <c r="BC47" s="19" t="inlineStr">
        <is>
          <t>The compiler trusts you, but the real value differs.</t>
        </is>
      </c>
      <c r="BD47" s="17">
        <f>IF(K47="","",REPT("★",K47)&amp;REPT("☆",5-K47)&amp;" ("&amp;K47&amp;"/5)")</f>
        <v/>
      </c>
      <c r="BE47" s="17">
        <f>IF(S47="","","Meaning: "&amp;S47&amp;"  =  ______   (Answer: "&amp;F47&amp;")")</f>
        <v/>
      </c>
      <c r="BF47" s="17" t="inlineStr">
        <is>
          <t>New</t>
        </is>
      </c>
      <c r="BG47" s="17" t="n"/>
      <c r="BH47" s="17" t="n"/>
      <c r="BI47" s="17" t="n"/>
      <c r="BJ47" s="17" t="n"/>
      <c r="BK47" s="17" t="n"/>
      <c r="BL47" s="17" t="n"/>
      <c r="BM47" s="17" t="n"/>
      <c r="BN47" s="17" t="n"/>
    </row>
    <row r="48" ht="121.5" customHeight="1">
      <c r="A48" s="17" t="inlineStr">
        <is>
          <t>TS-046</t>
        </is>
      </c>
      <c r="B48" s="17" t="inlineStr">
        <is>
          <t>04 TypeScript</t>
        </is>
      </c>
      <c r="C48" s="17" t="inlineStr">
        <is>
          <t>Intermediate</t>
        </is>
      </c>
      <c r="D48" s="17" t="n">
        <v>46</v>
      </c>
      <c r="E48" s="17" t="inlineStr">
        <is>
          <t>Claude knowledge</t>
        </is>
      </c>
      <c r="F48" s="18" t="inlineStr">
        <is>
          <t>Declaration files</t>
        </is>
      </c>
      <c r="G48" s="18" t="inlineStr">
        <is>
          <t>Which files describe the types of JavaScript libraries that have none?</t>
        </is>
      </c>
      <c r="H48" s="17" t="n"/>
      <c r="I48" s="18" t="inlineStr">
        <is>
          <t>Tooling</t>
        </is>
      </c>
      <c r="J48" s="18" t="inlineStr">
        <is>
          <t>Medium</t>
        </is>
      </c>
      <c r="K48" s="18" t="n">
        <v>3</v>
      </c>
      <c r="L48" s="18" t="inlineStr">
        <is>
          <t>Many libraries are plain JavaScript, so separate files describe their shapes for the compiler.</t>
        </is>
      </c>
      <c r="M48" s="18" t="inlineStr">
        <is>
          <t>Install the matching types package from DefinitelyTyped when a library lacks types.</t>
        </is>
      </c>
      <c r="N48" s="17" t="n"/>
      <c r="O48" s="18" t="inlineStr">
        <is>
          <t>A declaration file is a manual that describes a machine written in another language.</t>
        </is>
      </c>
      <c r="P48" s="18" t="inlineStr">
        <is>
          <t>A .d.ts file beside a JavaScript library.</t>
        </is>
      </c>
      <c r="Q48" s="18" t="inlineStr">
        <is>
          <t>The relief of finally getting autocomplete for a library.</t>
        </is>
      </c>
      <c r="R48" s="18" t="inlineStr">
        <is>
          <t>A declaration file ending in .d.ts contains only type information for existing JavaScript code, and many libraries ship one or have a types package.</t>
        </is>
      </c>
      <c r="S48" s="17" t="n"/>
      <c r="T48" s="19" t="inlineStr">
        <is>
          <t>// npm install --save-dev @types/express
import express from "express";
const app = express();
app.get("/", (req, res) =&gt; res.send("ok"));
// custom.d.ts
declare module "legacy-lib" {
  export function run(input: string): number;
}</t>
        </is>
      </c>
      <c r="U48" s="19" t="inlineStr">
        <is>
          <t>The editor now knows the types for express, and the legacy library has a hand-written description.</t>
        </is>
      </c>
      <c r="V48" s="18" t="inlineStr">
        <is>
          <t>Packages published with their own types need nothing extra. Others have @types packages. When none exists, write a small declare module block. skipLibCheck avoids checking declaration files. Global additions go in a .d.ts that is included by tsconfig. Generated declarations are produced with the declaration option.</t>
        </is>
      </c>
      <c r="W48" s="18" t="inlineStr">
        <is>
          <t>Install @types packages or write a .d.ts to describe untyped code.</t>
        </is>
      </c>
      <c r="X48" s="18" t="inlineStr">
        <is>
          <t>A declaration file is a manual describing a machine written in another language.</t>
        </is>
      </c>
      <c r="Y48" s="19" t="inlineStr">
        <is>
          <t>declare module "name" { export function f(): void; }</t>
        </is>
      </c>
      <c r="Z48" s="18" t="inlineStr">
        <is>
          <t>.d.ts = types only | @types = community typings | declare module = describe a package</t>
        </is>
      </c>
      <c r="AA48" s="19" t="inlineStr">
        <is>
          <t>npm install -D @types/node</t>
        </is>
      </c>
      <c r="AB48" s="19" t="inlineStr">
        <is>
          <t>declare const VERSION: string;</t>
        </is>
      </c>
      <c r="AC48" s="19" t="inlineStr">
        <is>
          <t>"declaration": true</t>
        </is>
      </c>
      <c r="AD48" s="19" t="inlineStr">
        <is>
          <t>// @ts-ignore   // silence a single error, use sparingly</t>
        </is>
      </c>
      <c r="AE48" s="18" t="inlineStr">
        <is>
          <t>tsconfig, npm, libraries</t>
        </is>
      </c>
      <c r="AF48" s="18" t="inlineStr">
        <is>
          <t>tsconfig.json, npm and package.json, why TypeScript, ES modules</t>
        </is>
      </c>
      <c r="AG48" s="18" t="inlineStr">
        <is>
          <t>JSDoc types | rewriting in TypeScript</t>
        </is>
      </c>
      <c r="AH48" s="17" t="n"/>
      <c r="AI48" s="18" t="inlineStr">
        <is>
          <t>Legacy libraries | Global variables | Published packages</t>
        </is>
      </c>
      <c r="AJ48" s="18" t="inlineStr">
        <is>
          <t>A: TypeScript says it cannot find types for this package. | B: Install the types package or add a declare module.</t>
        </is>
      </c>
      <c r="AK48" s="18" t="inlineStr">
        <is>
          <t>✗ .d.ts files contain runnable code → ✓ They contain only type declarations</t>
        </is>
      </c>
      <c r="AL48" s="18" t="inlineStr">
        <is>
          <t>.d.ts vs .ts: one only describes types, the other contains code.</t>
        </is>
      </c>
      <c r="AM48" s="18" t="inlineStr">
        <is>
          <t>Do not use any module declarations that hide real types.</t>
        </is>
      </c>
      <c r="AN48" s="19" t="inlineStr">
        <is>
          <t>declare module "legacy-lib";   // everything is any</t>
        </is>
      </c>
      <c r="AO48" s="19" t="inlineStr">
        <is>
          <t>declare module "legacy-lib" { export function run(input: string): number; }</t>
        </is>
      </c>
      <c r="AP48" s="18" t="inlineStr">
        <is>
          <t>Missing types? Look for an at types package.</t>
        </is>
      </c>
      <c r="AQ48" s="18" t="inlineStr">
        <is>
          <t>Writing a small declaration gave typing to an internal legacy library.</t>
        </is>
      </c>
      <c r="AR48" s="18" t="inlineStr">
        <is>
          <t>An interviewer may ask: What is DefinitelyTyped?</t>
        </is>
      </c>
      <c r="AS48" s="18" t="inlineStr">
        <is>
          <t>It is like a manual for a foreign machine.</t>
        </is>
      </c>
      <c r="AT48" s="18" t="inlineStr">
        <is>
          <t>What do .d.ts files contain?</t>
        </is>
      </c>
      <c r="AU48" s="18" t="inlineStr">
        <is>
          <t>A) Images B) Only type declarations C) Runnable code D) Tests</t>
        </is>
      </c>
      <c r="AV48" s="18" t="inlineStr">
        <is>
          <t>B</t>
        </is>
      </c>
      <c r="AW48" s="18" t="inlineStr">
        <is>
          <t>They describe shapes for the compiler.</t>
        </is>
      </c>
      <c r="AX48" s="19" t="inlineStr">
        <is>
          <t>Community type packages are published under the scope ____ → @types</t>
        </is>
      </c>
      <c r="AY48" s="18" t="inlineStr">
        <is>
          <t>Install types for Node.</t>
        </is>
      </c>
      <c r="AZ48" s="19" t="inlineStr">
        <is>
          <t>npm install --save-dev @types/node</t>
        </is>
      </c>
      <c r="BA48" s="18" t="inlineStr">
        <is>
          <t>Write a declaration for a function exported by an untyped package.</t>
        </is>
      </c>
      <c r="BB48" s="19" t="inlineStr">
        <is>
          <t>Do packages with built-in types need @types?</t>
        </is>
      </c>
      <c r="BC48" s="19" t="inlineStr">
        <is>
          <t>No.</t>
        </is>
      </c>
      <c r="BD48" s="17">
        <f>IF(K48="","",REPT("★",K48)&amp;REPT("☆",5-K48)&amp;" ("&amp;K48&amp;"/5)")</f>
        <v/>
      </c>
      <c r="BE48" s="17">
        <f>IF(S48="","","Meaning: "&amp;S48&amp;"  =  ______   (Answer: "&amp;F48&amp;")")</f>
        <v/>
      </c>
      <c r="BF48" s="17" t="inlineStr">
        <is>
          <t>New</t>
        </is>
      </c>
      <c r="BG48" s="17" t="n"/>
      <c r="BH48" s="17" t="n"/>
      <c r="BI48" s="17" t="n"/>
      <c r="BJ48" s="17" t="n"/>
      <c r="BK48" s="17" t="n"/>
      <c r="BL48" s="17" t="n"/>
      <c r="BM48" s="17" t="n"/>
      <c r="BN48" s="17" t="n"/>
    </row>
    <row r="49" ht="108" customHeight="1">
      <c r="A49" s="17" t="inlineStr">
        <is>
          <t>TS-047</t>
        </is>
      </c>
      <c r="B49" s="17" t="inlineStr">
        <is>
          <t>04 TypeScript</t>
        </is>
      </c>
      <c r="C49" s="17" t="inlineStr">
        <is>
          <t>Advanced</t>
        </is>
      </c>
      <c r="D49" s="17" t="n">
        <v>47</v>
      </c>
      <c r="E49" s="17" t="inlineStr">
        <is>
          <t>Claude knowledge</t>
        </is>
      </c>
      <c r="F49" s="18" t="inlineStr">
        <is>
          <t>Type guards</t>
        </is>
      </c>
      <c r="G49" s="18" t="inlineStr">
        <is>
          <t>Which functions tell the compiler that a value has a specific type after a check?</t>
        </is>
      </c>
      <c r="H49" s="17" t="n"/>
      <c r="I49" s="18" t="inlineStr">
        <is>
          <t>Type</t>
        </is>
      </c>
      <c r="J49" s="18" t="inlineStr">
        <is>
          <t>High</t>
        </is>
      </c>
      <c r="K49" s="18" t="n">
        <v>4</v>
      </c>
      <c r="L49" s="18" t="inlineStr">
        <is>
          <t>Complex checks cannot be followed by the compiler, so you can wrap a check in a function that states the resulting type.</t>
        </is>
      </c>
      <c r="M49" s="18" t="inlineStr">
        <is>
          <t>Write a guard for each union member that you test often.</t>
        </is>
      </c>
      <c r="N49" s="17" t="n"/>
      <c r="O49" s="18" t="inlineStr">
        <is>
          <t>A type guard is a bouncer who checks an ID and announces who is entering.</t>
        </is>
      </c>
      <c r="P49" s="18" t="inlineStr">
        <is>
          <t>A function with a special return type announcing a narrowed type.</t>
        </is>
      </c>
      <c r="Q49" s="18" t="inlineStr">
        <is>
          <t>The pride of reusable, safe checks.</t>
        </is>
      </c>
      <c r="R49" s="18" t="inlineStr">
        <is>
          <t>A type guard is a function whose return type is written as value is Type, so a true result narrows the value to that type.</t>
        </is>
      </c>
      <c r="S49" s="17" t="n"/>
      <c r="T49" s="19" t="inlineStr">
        <is>
          <t>interface Cat { meow(): void }
interface Dog { bark(): void }
function isCat(p: Cat | Dog): p is Cat {
  return "meow" in p;
}
function speak(p: Cat | Dog) {
  if (isCat(p)) p.meow(); else p.bark();
}</t>
        </is>
      </c>
      <c r="U49" s="19" t="inlineStr">
        <is>
          <t>No output, and each branch uses the right method</t>
        </is>
      </c>
      <c r="V49" s="18" t="inlineStr">
        <is>
          <t>The compiler trusts the guard, so a wrong guard breaks safety. Guards suit validation of unknown data. Assertion functions use asserts value is Type to narrow after the call without an if. Discriminated unions often avoid the need for custom guards.</t>
        </is>
      </c>
      <c r="W49" s="18" t="inlineStr">
        <is>
          <t>Write a function that checks and declares the type, then use it in conditions.</t>
        </is>
      </c>
      <c r="X49" s="18" t="inlineStr">
        <is>
          <t>A type guard is a bouncer who checks an ID and announces who is entering.</t>
        </is>
      </c>
      <c r="Y49" s="19" t="inlineStr">
        <is>
          <t>function isX(v: unknown): v is X { ... }</t>
        </is>
      </c>
      <c r="Z49" s="18" t="inlineStr">
        <is>
          <t>v is X = type predicate | return true = narrowed | asserts v is X = assertion function</t>
        </is>
      </c>
      <c r="AA49" s="19" t="inlineStr">
        <is>
          <t>function isString(v: unknown): v is string { return typeof v === "string"; }</t>
        </is>
      </c>
      <c r="AB49" s="19" t="inlineStr">
        <is>
          <t>function assertDefined&lt;T&gt;(v: T | undefined): asserts v is T { }</t>
        </is>
      </c>
      <c r="AC49" s="19" t="inlineStr">
        <is>
          <t>const cats = pets.filter(isCat);</t>
        </is>
      </c>
      <c r="AD49" s="19" t="inlineStr">
        <is>
          <t>items.filter((x): x is string =&gt; typeof x === "string")   // inline guard in filter</t>
        </is>
      </c>
      <c r="AE49" s="18" t="inlineStr">
        <is>
          <t>unions, unknown, validation</t>
        </is>
      </c>
      <c r="AF49" s="18" t="inlineStr">
        <is>
          <t>narrowing, unions and literals, any vs unknown, type assertions</t>
        </is>
      </c>
      <c r="AG49" s="18" t="inlineStr">
        <is>
          <t>Discriminated unions | Zod</t>
        </is>
      </c>
      <c r="AH49" s="17" t="n"/>
      <c r="AI49" s="18" t="inlineStr">
        <is>
          <t>Validation | Filters | Event handling</t>
        </is>
      </c>
      <c r="AJ49" s="18" t="inlineStr">
        <is>
          <t>A: Filter still gives me a union array. | B: Pass a type guard to filter so the result is narrowed.</t>
        </is>
      </c>
      <c r="AK49" s="18" t="inlineStr">
        <is>
          <t>✗ The compiler verifies that a guard is correct → ✓ It trusts the predicate, so mistakes break safety</t>
        </is>
      </c>
      <c r="AL49" s="18" t="inlineStr">
        <is>
          <t>Guard vs assertion: a guard returns a boolean, an assertion function throws.</t>
        </is>
      </c>
      <c r="AM49" s="18" t="inlineStr">
        <is>
          <t>Do not write guards that return true without checking.</t>
        </is>
      </c>
      <c r="AN49" s="19" t="inlineStr">
        <is>
          <t>function isCat(p: any): p is Cat { return true; }</t>
        </is>
      </c>
      <c r="AO49" s="19" t="inlineStr">
        <is>
          <t>function isCat(p: Cat | Dog): p is Cat { return "meow" in p; }</t>
        </is>
      </c>
      <c r="AP49" s="18" t="inlineStr">
        <is>
          <t>The guard announces, so make it honest.</t>
        </is>
      </c>
      <c r="AQ49" s="18" t="inlineStr">
        <is>
          <t>A custom guard filtered an API array down to valid records with full typing.</t>
        </is>
      </c>
      <c r="AR49" s="18" t="inlineStr">
        <is>
          <t>An interviewer may ask: What does the is keyword do in a return type?</t>
        </is>
      </c>
      <c r="AS49" s="18" t="inlineStr">
        <is>
          <t>It is like a bouncer announcing who enters.</t>
        </is>
      </c>
      <c r="AT49" s="18" t="inlineStr">
        <is>
          <t>What does a type predicate look like?</t>
        </is>
      </c>
      <c r="AU49" s="18" t="inlineStr">
        <is>
          <t>A) value to Type B) value in Type C) value as Type D) value is Type</t>
        </is>
      </c>
      <c r="AV49" s="18" t="inlineStr">
        <is>
          <t>D</t>
        </is>
      </c>
      <c r="AW49" s="18" t="inlineStr">
        <is>
          <t>The predicate form names the narrowed type.</t>
        </is>
      </c>
      <c r="AX49" s="19" t="inlineStr">
        <is>
          <t>A function that narrows by throwing uses ____ in its return type → asserts</t>
        </is>
      </c>
      <c r="AY49" s="18" t="inlineStr">
        <is>
          <t>Write a guard that checks whether a value is a string.</t>
        </is>
      </c>
      <c r="AZ49" s="19" t="inlineStr">
        <is>
          <t>function isString(v: unknown): v is string { return typeof v === "string"; }</t>
        </is>
      </c>
      <c r="BA49" s="18" t="inlineStr">
        <is>
          <t>Use a type guard inside filter to keep only numbers.</t>
        </is>
      </c>
      <c r="BB49" s="19" t="inlineStr">
        <is>
          <t>Does the compiler verify the guard logic?</t>
        </is>
      </c>
      <c r="BC49" s="19" t="inlineStr">
        <is>
          <t>No, it trusts the predicate.</t>
        </is>
      </c>
      <c r="BD49" s="17">
        <f>IF(K49="","",REPT("★",K49)&amp;REPT("☆",5-K49)&amp;" ("&amp;K49&amp;"/5)")</f>
        <v/>
      </c>
      <c r="BE49" s="17">
        <f>IF(S49="","","Meaning: "&amp;S49&amp;"  =  ______   (Answer: "&amp;F49&amp;")")</f>
        <v/>
      </c>
      <c r="BF49" s="17" t="inlineStr">
        <is>
          <t>New</t>
        </is>
      </c>
      <c r="BG49" s="17" t="n"/>
      <c r="BH49" s="17" t="n"/>
      <c r="BI49" s="17" t="n"/>
      <c r="BJ49" s="17" t="n"/>
      <c r="BK49" s="17" t="n"/>
      <c r="BL49" s="17" t="n"/>
      <c r="BM49" s="17" t="n"/>
      <c r="BN49" s="17" t="n"/>
    </row>
    <row r="50" ht="121.5" customHeight="1">
      <c r="A50" s="17" t="inlineStr">
        <is>
          <t>TS-048</t>
        </is>
      </c>
      <c r="B50" s="17" t="inlineStr">
        <is>
          <t>04 TypeScript</t>
        </is>
      </c>
      <c r="C50" s="17" t="inlineStr">
        <is>
          <t>Intermediate</t>
        </is>
      </c>
      <c r="D50" s="17" t="n">
        <v>48</v>
      </c>
      <c r="E50" s="17" t="inlineStr">
        <is>
          <t>Claude knowledge</t>
        </is>
      </c>
      <c r="F50" s="18" t="inlineStr">
        <is>
          <t>Strict mode</t>
        </is>
      </c>
      <c r="G50" s="18" t="inlineStr">
        <is>
          <t>Which group of compiler options turns on the safest set of checks?</t>
        </is>
      </c>
      <c r="H50" s="17" t="n"/>
      <c r="I50" s="18" t="inlineStr">
        <is>
          <t>Configuration</t>
        </is>
      </c>
      <c r="J50" s="18" t="inlineStr">
        <is>
          <t>Very high</t>
        </is>
      </c>
      <c r="K50" s="18" t="n">
        <v>5</v>
      </c>
      <c r="L50" s="18" t="inlineStr">
        <is>
          <t>Loose checking let many bugs slip through, so a single strict switch turns on a group of stronger rules.</t>
        </is>
      </c>
      <c r="M50" s="18" t="inlineStr">
        <is>
          <t>Turn on strict from the start in new projects, since it is hard to add later.</t>
        </is>
      </c>
      <c r="N50" s="17" t="n"/>
      <c r="O50" s="18" t="inlineStr">
        <is>
          <t>Strict mode is the inspector who never lets a missing value slide.</t>
        </is>
      </c>
      <c r="P50" s="18" t="inlineStr">
        <is>
          <t>A switch labelled strict turning on several checks.</t>
        </is>
      </c>
      <c r="Q50" s="18" t="inlineStr">
        <is>
          <t>The confidence of a compiler that checks everything.</t>
        </is>
      </c>
      <c r="R50" s="18" t="inlineStr">
        <is>
          <t>The strict option enables checks such as strictNullChecks, noImplicitAny, strictFunctionTypes and strictPropertyInitialization.</t>
        </is>
      </c>
      <c r="S50" s="17" t="n"/>
      <c r="T50" s="19" t="inlineStr">
        <is>
          <t>// tsconfig.json: { "compilerOptions": { "strict": true } }
function len(s: string | null) {
  return s.length;   // error with strictNullChecks
}
function ok(s: string | null) {
  return s?.length ?? 0;
}</t>
        </is>
      </c>
      <c r="U50" s="19" t="inlineStr">
        <is>
          <t>The first function is rejected at compile time, and the second is accepted.</t>
        </is>
      </c>
      <c r="V50" s="18" t="inlineStr">
        <is>
          <t>strictNullChecks makes null and undefined separate types, so you must handle them. noImplicitAny rejects parameters with no type. Extra flags such as noUncheckedIndexedAccess go beyond strict. Migrating an old project can be done file by file or flag by flag.</t>
        </is>
      </c>
      <c r="W50" s="18" t="inlineStr">
        <is>
          <t>Turn on strict, and handle null and any explicitly.</t>
        </is>
      </c>
      <c r="X50" s="18" t="inlineStr">
        <is>
          <t>Strict mode is the inspector who never lets a missing value slide.</t>
        </is>
      </c>
      <c r="Y50" s="19" t="inlineStr">
        <is>
          <t>"strict": true</t>
        </is>
      </c>
      <c r="Z50" s="18" t="inlineStr">
        <is>
          <t>strictNullChecks = null is separate | noImplicitAny = types required | strict = group switch</t>
        </is>
      </c>
      <c r="AA50" s="19" t="inlineStr">
        <is>
          <t>"noUncheckedIndexedAccess": true</t>
        </is>
      </c>
      <c r="AB50" s="19" t="inlineStr">
        <is>
          <t>"strictNullChecks": true</t>
        </is>
      </c>
      <c r="AC50" s="19" t="inlineStr">
        <is>
          <t>"exactOptionalPropertyTypes": true</t>
        </is>
      </c>
      <c r="AD50" s="19" t="inlineStr">
        <is>
          <t>"strict": true, "strictNullChecks": false   // turn one rule off while migrating</t>
        </is>
      </c>
      <c r="AE50" s="18" t="inlineStr">
        <is>
          <t>tsconfig, narrowing, optional chaining</t>
        </is>
      </c>
      <c r="AF50" s="18" t="inlineStr">
        <is>
          <t>tsconfig.json, narrowing, any vs unknown, optional and readonly</t>
        </is>
      </c>
      <c r="AG50" s="18" t="inlineStr">
        <is>
          <t>Gradual migration by flag</t>
        </is>
      </c>
      <c r="AH50" s="17" t="n"/>
      <c r="AI50" s="18" t="inlineStr">
        <is>
          <t>New projects | Migrations | Teams</t>
        </is>
      </c>
      <c r="AJ50" s="18" t="inlineStr">
        <is>
          <t>A: The compiler complains that the value may be null. | B: That is strict null checking, so handle the null case.</t>
        </is>
      </c>
      <c r="AK50" s="18" t="inlineStr">
        <is>
          <t>✗ Strict mode makes code slower → ✓ It affects only compile-time checks, not run time</t>
        </is>
      </c>
      <c r="AL50" s="18" t="inlineStr">
        <is>
          <t>strict vs noImplicitAny: strict is the group, noImplicitAny is one member.</t>
        </is>
      </c>
      <c r="AM50" s="18" t="inlineStr">
        <is>
          <t>Do not disable strict to silence errors.</t>
        </is>
      </c>
      <c r="AN50" s="19" t="inlineStr">
        <is>
          <t>"strict": false</t>
        </is>
      </c>
      <c r="AO50" s="19" t="inlineStr">
        <is>
          <t>"strict": true</t>
        </is>
      </c>
      <c r="AP50" s="18" t="inlineStr">
        <is>
          <t>Strict shows nulls before users do.</t>
        </is>
      </c>
      <c r="AQ50" s="18" t="inlineStr">
        <is>
          <t>Enabling strict null checks found a crash path in a customer integration.</t>
        </is>
      </c>
      <c r="AR50" s="18" t="inlineStr">
        <is>
          <t>An interviewer may ask: What does strictNullChecks do?</t>
        </is>
      </c>
      <c r="AS50" s="18" t="inlineStr">
        <is>
          <t>It is like an inspector who lets nothing slide.</t>
        </is>
      </c>
      <c r="AT50" s="18" t="inlineStr">
        <is>
          <t>What does strictNullChecks require?</t>
        </is>
      </c>
      <c r="AU50" s="18" t="inlineStr">
        <is>
          <t>A) Handling null and undefined explicitly B) Faster code C) Typed comments D) No null values ever</t>
        </is>
      </c>
      <c r="AV50" s="18" t="inlineStr">
        <is>
          <t>A</t>
        </is>
      </c>
      <c r="AW50" s="18" t="inlineStr">
        <is>
          <t>Null becomes a separate type to be handled.</t>
        </is>
      </c>
      <c r="AX50" s="19" t="inlineStr">
        <is>
          <t>The option that rejects untyped parameters is ____ → noImplicitAny</t>
        </is>
      </c>
      <c r="AY50" s="18" t="inlineStr">
        <is>
          <t>Turn on strict mode in tsconfig.</t>
        </is>
      </c>
      <c r="AZ50" s="19" t="inlineStr">
        <is>
          <t>"strict": true</t>
        </is>
      </c>
      <c r="BA50" s="18" t="inlineStr">
        <is>
          <t>Fix a function that fails strict null checks.</t>
        </is>
      </c>
      <c r="BB50" s="19" t="inlineStr">
        <is>
          <t>Does strict mode change run-time speed?</t>
        </is>
      </c>
      <c r="BC50" s="19" t="inlineStr">
        <is>
          <t>No, it affects only compile-time checks.</t>
        </is>
      </c>
      <c r="BD50" s="17">
        <f>IF(K50="","",REPT("★",K50)&amp;REPT("☆",5-K50)&amp;" ("&amp;K50&amp;"/5)")</f>
        <v/>
      </c>
      <c r="BE50" s="17">
        <f>IF(S50="","","Meaning: "&amp;S50&amp;"  =  ______   (Answer: "&amp;F50&amp;")")</f>
        <v/>
      </c>
      <c r="BF50" s="17" t="inlineStr">
        <is>
          <t>New</t>
        </is>
      </c>
      <c r="BG50" s="17" t="n"/>
      <c r="BH50" s="17" t="n"/>
      <c r="BI50" s="17" t="n"/>
      <c r="BJ50" s="17" t="n"/>
      <c r="BK50" s="17" t="n"/>
      <c r="BL50" s="17" t="n"/>
      <c r="BM50" s="17" t="n"/>
      <c r="BN50" s="17" t="n"/>
    </row>
    <row r="51" ht="108" customHeight="1">
      <c r="A51" s="17" t="inlineStr">
        <is>
          <t>TS-049</t>
        </is>
      </c>
      <c r="B51" s="17" t="inlineStr">
        <is>
          <t>04 TypeScript</t>
        </is>
      </c>
      <c r="C51" s="17" t="inlineStr">
        <is>
          <t>Advanced</t>
        </is>
      </c>
      <c r="D51" s="17" t="n">
        <v>49</v>
      </c>
      <c r="E51" s="17" t="inlineStr">
        <is>
          <t>Claude knowledge</t>
        </is>
      </c>
      <c r="F51" s="18" t="inlineStr">
        <is>
          <t>Mapped types</t>
        </is>
      </c>
      <c r="G51" s="18" t="inlineStr">
        <is>
          <t>Which syntax builds a new type by transforming every key of another type?</t>
        </is>
      </c>
      <c r="H51" s="17" t="n"/>
      <c r="I51" s="18" t="inlineStr">
        <is>
          <t>Type</t>
        </is>
      </c>
      <c r="J51" s="18" t="inlineStr">
        <is>
          <t>Medium</t>
        </is>
      </c>
      <c r="K51" s="18" t="n">
        <v>3</v>
      </c>
      <c r="L51" s="18" t="inlineStr">
        <is>
          <t>Many helper types repeat the same change on each property, so mapped types express it once for all keys.</t>
        </is>
      </c>
      <c r="M51" s="18" t="inlineStr">
        <is>
          <t>Learn mapped types by rebuilding Partial and Readonly yourself.</t>
        </is>
      </c>
      <c r="N51" s="17" t="n"/>
      <c r="O51" s="18" t="inlineStr">
        <is>
          <t>A mapped type is an assembly line that visits every key and applies the same edit.</t>
        </is>
      </c>
      <c r="P51" s="18" t="inlineStr">
        <is>
          <t>A line of keys passing through a machine that changes each.</t>
        </is>
      </c>
      <c r="Q51" s="18" t="inlineStr">
        <is>
          <t>The satisfaction of building your own utility type.</t>
        </is>
      </c>
      <c r="R51" s="18" t="inlineStr">
        <is>
          <t>A mapped type iterates over the keys of a type, with a key in keyof T clause, and produces a new property for each one.</t>
        </is>
      </c>
      <c r="S51" s="17" t="n"/>
      <c r="T51" s="19" t="inlineStr">
        <is>
          <t>type Flags&lt;T&gt; = { [K in keyof T]: boolean };
type MyPartial&lt;T&gt; = { [K in keyof T]?: T[K] };
type Getters&lt;T&gt; = { [K in keyof T as `get${Capitalize&lt;string &amp; K&gt;}`]: () =&gt; T[K] };
interface User { id: number; name: string }
type UserFlags = Flags&lt;User&gt;;
type UserGetters = Getters&lt;User&gt;;</t>
        </is>
      </c>
      <c r="U51" s="19" t="inlineStr">
        <is>
          <t>UserFlags has id and name as booleans, and UserGetters has getId and getName functions.</t>
        </is>
      </c>
      <c r="V51" s="18" t="inlineStr">
        <is>
          <t>The in keyof clause loops over keys, and T[K] reads each property type. Modifiers can be added or removed with plus and minus signs. The as clause renames keys with template literal types. Built-in utilities such as Partial and Readonly are mapped types. Use them for derived shapes, not everyday code.</t>
        </is>
      </c>
      <c r="W51" s="18" t="inlineStr">
        <is>
          <t>Loop over every key of a type and produce a new shape from it.</t>
        </is>
      </c>
      <c r="X51" s="18" t="inlineStr">
        <is>
          <t>A mapped type is an assembly line that visits every key and applies the same edit.</t>
        </is>
      </c>
      <c r="Y51" s="19" t="inlineStr">
        <is>
          <t>{ [K in keyof T]: NewType }</t>
        </is>
      </c>
      <c r="Z51" s="18" t="inlineStr">
        <is>
          <t>K in keyof T = loop over keys | T[K] = property type | as = rename key | ? and readonly = modifiers</t>
        </is>
      </c>
      <c r="AA51" s="19" t="inlineStr">
        <is>
          <t>type Mutable&lt;T&gt; = { -readonly [K in keyof T]: T[K] };</t>
        </is>
      </c>
      <c r="AB51" s="19" t="inlineStr">
        <is>
          <t>type Nullable&lt;T&gt; = { [K in keyof T]: T[K] | null };</t>
        </is>
      </c>
      <c r="AC51" s="19" t="inlineStr">
        <is>
          <t>type Keys = keyof User;</t>
        </is>
      </c>
      <c r="AD51" s="19" t="inlineStr">
        <is>
          <t>{ [K in "a" | "b"]: number }   // loop over a literal union</t>
        </is>
      </c>
      <c r="AE51" s="18" t="inlineStr">
        <is>
          <t>generics, utility types, template literal types</t>
        </is>
      </c>
      <c r="AF51" s="18" t="inlineStr">
        <is>
          <t>utility types, generics, interfaces vs types, as const</t>
        </is>
      </c>
      <c r="AG51" s="18" t="inlineStr">
        <is>
          <t>Built-in utility types</t>
        </is>
      </c>
      <c r="AH51" s="17" t="n"/>
      <c r="AI51" s="18" t="inlineStr">
        <is>
          <t>Libraries | Form helpers | API clients</t>
        </is>
      </c>
      <c r="AJ51" s="18" t="inlineStr">
        <is>
          <t>A: I need a type with the same keys but all booleans. | B: Use a mapped type over the keys of the original.</t>
        </is>
      </c>
      <c r="AK51" s="18" t="inlineStr">
        <is>
          <t>✗ Mapped types create objects at run time → ✓ They exist only at compile time</t>
        </is>
      </c>
      <c r="AL51" s="18" t="inlineStr">
        <is>
          <t>keyof vs in keyof: keyof gives the key union, in keyof loops over it.</t>
        </is>
      </c>
      <c r="AM51" s="18" t="inlineStr">
        <is>
          <t>Do not build complex mapped types where a utility type works.</t>
        </is>
      </c>
      <c r="AN51" s="19" t="inlineStr">
        <is>
          <t>type Flags&lt;T&gt; = { K: boolean };</t>
        </is>
      </c>
      <c r="AO51" s="19" t="inlineStr">
        <is>
          <t>type Flags&lt;T&gt; = { [K in keyof T]: boolean };</t>
        </is>
      </c>
      <c r="AP51" s="18" t="inlineStr">
        <is>
          <t>K in keyof T loops every key.</t>
        </is>
      </c>
      <c r="AQ51" s="18" t="inlineStr">
        <is>
          <t>Building a mapped type gave typed field flags for a large form.</t>
        </is>
      </c>
      <c r="AR51" s="18" t="inlineStr">
        <is>
          <t>An interviewer may ask: How is Partial implemented?</t>
        </is>
      </c>
      <c r="AS51" s="18" t="inlineStr">
        <is>
          <t>It is like an assembly line that edits every key.</t>
        </is>
      </c>
      <c r="AT51" s="18" t="inlineStr">
        <is>
          <t>Which clause loops over the keys of T?</t>
        </is>
      </c>
      <c r="AU51" s="18" t="inlineStr">
        <is>
          <t>A) K of T B) K in keyof T C) K for T D) K as T</t>
        </is>
      </c>
      <c r="AV51" s="18" t="inlineStr">
        <is>
          <t>B</t>
        </is>
      </c>
      <c r="AW51" s="18" t="inlineStr">
        <is>
          <t>The in keyof form iterates over keys.</t>
        </is>
      </c>
      <c r="AX51" s="19" t="inlineStr">
        <is>
          <t>The operator that gives the union of a type's keys is ____ → keyof</t>
        </is>
      </c>
      <c r="AY51" s="18" t="inlineStr">
        <is>
          <t>Write a type that makes every property of T nullable.</t>
        </is>
      </c>
      <c r="AZ51" s="19" t="inlineStr">
        <is>
          <t>type Nullable&lt;T&gt; = { [K in keyof T]: T[K] | null };</t>
        </is>
      </c>
      <c r="BA51" s="18" t="inlineStr">
        <is>
          <t>Rebuild the built-in Readonly utility as your own mapped type.</t>
        </is>
      </c>
      <c r="BB51" s="19" t="inlineStr">
        <is>
          <t>What does T[K] mean?</t>
        </is>
      </c>
      <c r="BC51" s="19" t="inlineStr">
        <is>
          <t>The type of property K in T.</t>
        </is>
      </c>
      <c r="BD51" s="17">
        <f>IF(K51="","",REPT("★",K51)&amp;REPT("☆",5-K51)&amp;" ("&amp;K51&amp;"/5)")</f>
        <v/>
      </c>
      <c r="BE51" s="17">
        <f>IF(S51="","","Meaning: "&amp;S51&amp;"  =  ______   (Answer: "&amp;F51&amp;")")</f>
        <v/>
      </c>
      <c r="BF51" s="17" t="inlineStr">
        <is>
          <t>New</t>
        </is>
      </c>
      <c r="BG51" s="17" t="n"/>
      <c r="BH51" s="17" t="n"/>
      <c r="BI51" s="17" t="n"/>
      <c r="BJ51" s="17" t="n"/>
      <c r="BK51" s="17" t="n"/>
      <c r="BL51" s="17" t="n"/>
      <c r="BM51" s="17" t="n"/>
      <c r="BN51" s="17" t="n"/>
    </row>
    <row r="52" ht="108" customHeight="1">
      <c r="A52" s="17" t="inlineStr">
        <is>
          <t>TS-050</t>
        </is>
      </c>
      <c r="B52" s="17" t="inlineStr">
        <is>
          <t>04 TypeScript</t>
        </is>
      </c>
      <c r="C52" s="17" t="inlineStr">
        <is>
          <t>Intermediate</t>
        </is>
      </c>
      <c r="D52" s="17" t="n">
        <v>50</v>
      </c>
      <c r="E52" s="17" t="inlineStr">
        <is>
          <t>Claude knowledge</t>
        </is>
      </c>
      <c r="F52" s="18" t="inlineStr">
        <is>
          <t>as const</t>
        </is>
      </c>
      <c r="G52" s="18" t="inlineStr">
        <is>
          <t>Which assertion freezes a literal value and gives it the narrowest possible type?</t>
        </is>
      </c>
      <c r="H52" s="17" t="n"/>
      <c r="I52" s="18" t="inlineStr">
        <is>
          <t>Type</t>
        </is>
      </c>
      <c r="J52" s="18" t="inlineStr">
        <is>
          <t>High</t>
        </is>
      </c>
      <c r="K52" s="18" t="n">
        <v>4</v>
      </c>
      <c r="L52" s="18" t="inlineStr">
        <is>
          <t>Plain object and array literals widen to general types, so as const keeps their exact values and makes them readonly.</t>
        </is>
      </c>
      <c r="M52" s="18" t="inlineStr">
        <is>
          <t>Use as const on config objects and lists to derive union types from them.</t>
        </is>
      </c>
      <c r="N52" s="17" t="n"/>
      <c r="O52" s="18" t="inlineStr">
        <is>
          <t>As const is shrink wrap that fixes the exact contents.</t>
        </is>
      </c>
      <c r="P52" s="18" t="inlineStr">
        <is>
          <t>An object wrapped in plastic with every value labelled exactly.</t>
        </is>
      </c>
      <c r="Q52" s="18" t="inlineStr">
        <is>
          <t>The delight of deriving types straight from data.</t>
        </is>
      </c>
      <c r="R52" s="18" t="inlineStr">
        <is>
          <t>as const makes a literal deeply readonly and infers its narrowest literal types instead of widened ones.</t>
        </is>
      </c>
      <c r="S52" s="17" t="n"/>
      <c r="T52" s="19" t="inlineStr">
        <is>
          <t>const modes = ["light", "dark"] as const;
type Mode = typeof modes[number];
const config = { retries: 3, env: "prod" } as const;
type Env = typeof config.env;
const wide = ["a", "b"];
console.log(modes, config.retries);</t>
        </is>
      </c>
      <c r="U52" s="19" t="inlineStr">
        <is>
          <t>[ 'light', 'dark' ] 3</t>
        </is>
      </c>
      <c r="V52" s="18" t="inlineStr">
        <is>
          <t>Without as const the array would be string[], and the object would hold number and string. With it, the array is a readonly tuple of exact strings, so Mode becomes light or dark. It affects only the type, and nothing is frozen at run time. It removes the need for a separate union definition and keeps data and types in one place.</t>
        </is>
      </c>
      <c r="W52" s="18" t="inlineStr">
        <is>
          <t>Add as const to keep exact values, then derive types from the data.</t>
        </is>
      </c>
      <c r="X52" s="18" t="inlineStr">
        <is>
          <t>As const is shrink wrap that fixes the exact contents.</t>
        </is>
      </c>
      <c r="Y52" s="19" t="inlineStr">
        <is>
          <t>const x = value as const</t>
        </is>
      </c>
      <c r="Z52" s="18" t="inlineStr">
        <is>
          <t>as const = narrow and readonly | typeof x[number] = union of items | keyof typeof x = union of keys</t>
        </is>
      </c>
      <c r="AA52" s="19" t="inlineStr">
        <is>
          <t>const roles = ["admin", "user"] as const;</t>
        </is>
      </c>
      <c r="AB52" s="19" t="inlineStr">
        <is>
          <t>type Role = typeof roles[number];</t>
        </is>
      </c>
      <c r="AC52" s="19" t="inlineStr">
        <is>
          <t>type Key = keyof typeof config;</t>
        </is>
      </c>
      <c r="AD52" s="19" t="inlineStr">
        <is>
          <t>Object.freeze(config)   // add run-time protection</t>
        </is>
      </c>
      <c r="AE52" s="18" t="inlineStr">
        <is>
          <t>unions, enums, configuration</t>
        </is>
      </c>
      <c r="AF52" s="18" t="inlineStr">
        <is>
          <t>enums, unions and literals, mapped types, optional and readonly</t>
        </is>
      </c>
      <c r="AG52" s="18" t="inlineStr">
        <is>
          <t>Enums | explicit union types</t>
        </is>
      </c>
      <c r="AH52" s="17" t="n"/>
      <c r="AI52" s="18" t="inlineStr">
        <is>
          <t>Config | Option lists | Route tables</t>
        </is>
      </c>
      <c r="AJ52" s="18" t="inlineStr">
        <is>
          <t>A: I keep a list and a union with the same values. | B: Define the list as const and derive the union from it.</t>
        </is>
      </c>
      <c r="AK52" s="18" t="inlineStr">
        <is>
          <t>✗ as const freezes the object at run time → ✓ It changes only the compile-time type</t>
        </is>
      </c>
      <c r="AL52" s="18" t="inlineStr">
        <is>
          <t>as const vs Object.freeze: one is compile-time, the other is run-time.</t>
        </is>
      </c>
      <c r="AM52" s="18" t="inlineStr">
        <is>
          <t>Do not duplicate values in a list and in a union.</t>
        </is>
      </c>
      <c r="AN52" s="19" t="inlineStr">
        <is>
          <t>const modes = ["light", "dark"];   // type is string[]</t>
        </is>
      </c>
      <c r="AO52" s="19" t="inlineStr">
        <is>
          <t>const modes = ["light", "dark"] as const;</t>
        </is>
      </c>
      <c r="AP52" s="18" t="inlineStr">
        <is>
          <t>As const keeps the exact words.</t>
        </is>
      </c>
      <c r="AQ52" s="18" t="inlineStr">
        <is>
          <t>Deriving a union from a constant list removed a duplicated type in two files.</t>
        </is>
      </c>
      <c r="AR52" s="18" t="inlineStr">
        <is>
          <t>An interviewer may ask: What does as const do?</t>
        </is>
      </c>
      <c r="AS52" s="18" t="inlineStr">
        <is>
          <t>It is like shrink wrap around exact contents.</t>
        </is>
      </c>
      <c r="AT52" s="18" t="inlineStr">
        <is>
          <t>What is the type of an array literal with as const?</t>
        </is>
      </c>
      <c r="AU52" s="18" t="inlineStr">
        <is>
          <t>A) object B) string[] C) A readonly tuple of exact values D) any</t>
        </is>
      </c>
      <c r="AV52" s="18" t="inlineStr">
        <is>
          <t>C</t>
        </is>
      </c>
      <c r="AW52" s="18" t="inlineStr">
        <is>
          <t>Each element keeps its literal type.</t>
        </is>
      </c>
      <c r="AX52" s="19" t="inlineStr">
        <is>
          <t>A union of array items is derived with typeof x[____] → number</t>
        </is>
      </c>
      <c r="AY52" s="18" t="inlineStr">
        <is>
          <t>Make a constant list of two roles and derive a union from it.</t>
        </is>
      </c>
      <c r="AZ52" s="19" t="inlineStr">
        <is>
          <t>const roles = ["admin", "user"] as const; type Role = typeof roles[number];</t>
        </is>
      </c>
      <c r="BA52" s="18" t="inlineStr">
        <is>
          <t>Derive a union type of the keys from a config object.</t>
        </is>
      </c>
      <c r="BB52" s="19" t="inlineStr">
        <is>
          <t>Does as const freeze the object at run time?</t>
        </is>
      </c>
      <c r="BC52" s="19" t="inlineStr">
        <is>
          <t>No, it only affects types.</t>
        </is>
      </c>
      <c r="BD52" s="17">
        <f>IF(K52="","",REPT("★",K52)&amp;REPT("☆",5-K52)&amp;" ("&amp;K52&amp;"/5)")</f>
        <v/>
      </c>
      <c r="BE52" s="17">
        <f>IF(S52="","","Meaning: "&amp;S52&amp;"  =  ______   (Answer: "&amp;F52&amp;")")</f>
        <v/>
      </c>
      <c r="BF52" s="17" t="inlineStr">
        <is>
          <t>New</t>
        </is>
      </c>
      <c r="BG52" s="17" t="n"/>
      <c r="BH52" s="17" t="n"/>
      <c r="BI52" s="17" t="n"/>
      <c r="BJ52" s="17" t="n"/>
      <c r="BK52" s="17" t="n"/>
      <c r="BL52" s="17" t="n"/>
      <c r="BM52" s="17" t="n"/>
      <c r="BN52" s="17" t="n"/>
    </row>
    <row r="53" ht="189" customHeight="1">
      <c r="A53" s="17" t="inlineStr">
        <is>
          <t>TS-051</t>
        </is>
      </c>
      <c r="B53" s="17" t="inlineStr">
        <is>
          <t>04 TypeScript</t>
        </is>
      </c>
      <c r="C53" s="17" t="inlineStr">
        <is>
          <t>Advanced</t>
        </is>
      </c>
      <c r="D53" s="17" t="n">
        <v>51</v>
      </c>
      <c r="E53" s="17" t="inlineStr">
        <is>
          <t>Claude knowledge</t>
        </is>
      </c>
      <c r="F53" s="18" t="inlineStr">
        <is>
          <t>Errors in TypeScript</t>
        </is>
      </c>
      <c r="G53" s="18" t="inlineStr">
        <is>
          <t>How do you type and handle errors safely when anything can be thrown?</t>
        </is>
      </c>
      <c r="H53" s="17" t="n"/>
      <c r="I53" s="18" t="inlineStr">
        <is>
          <t>Type</t>
        </is>
      </c>
      <c r="J53" s="18" t="inlineStr">
        <is>
          <t>High</t>
        </is>
      </c>
      <c r="K53" s="18" t="n">
        <v>5</v>
      </c>
      <c r="L53" s="18" t="inlineStr">
        <is>
          <t>JavaScript lets you throw any value, so catch variables have no reliable type and need careful handling.</t>
        </is>
      </c>
      <c r="M53" s="18" t="inlineStr">
        <is>
          <t>Treat the caught value as unknown and narrow it before use.</t>
        </is>
      </c>
      <c r="N53" s="17" t="n"/>
      <c r="O53" s="18" t="inlineStr">
        <is>
          <t>A caught error is a parcel with no label, so you check what is inside before opening.</t>
        </is>
      </c>
      <c r="P53" s="18" t="inlineStr">
        <is>
          <t>A catch block with an unknown value being inspected.</t>
        </is>
      </c>
      <c r="Q53" s="18" t="inlineStr">
        <is>
          <t>The calm of predictable error messages.</t>
        </is>
      </c>
      <c r="R53" s="18" t="inlineStr">
        <is>
          <t>A caught value is unknown in strict setups, so you narrow it with instanceof Error, and you can define custom error classes for specific failures.</t>
        </is>
      </c>
      <c r="S53" s="17" t="n"/>
      <c r="T53" s="19" t="inlineStr">
        <is>
          <t>class ApiError extends Error {
  constructor(message: string, public status: number) { super(message); this.name = "ApiError"; }
}
function messageOf(err: unknown): string {
  if (err instanceof ApiError) return `API ${err.status}: ${err.message}`;
  if (err instanceof Error) return err.message;
  return String(err);
}
try { throw new ApiError("nope", 404); } catch (e) { console.log(messageOf(e)); }</t>
        </is>
      </c>
      <c r="U53" s="19" t="inlineStr">
        <is>
          <t>API 404: nope</t>
        </is>
      </c>
      <c r="V53" s="18" t="inlineStr">
        <is>
          <t>With useUnknownInCatchVariables, part of strict, catch variables are unknown. Custom errors carry extra data such as a status. Errors crossing module boundaries lose the class if serialised, so rebuild them. Result types, with ok and error fields, avoid exceptions for expected failures.</t>
        </is>
      </c>
      <c r="W53" s="18" t="inlineStr">
        <is>
          <t>Treat caught values as unknown, narrow them, and use custom errors for detail.</t>
        </is>
      </c>
      <c r="X53" s="18" t="inlineStr">
        <is>
          <t>A caught error is an unlabeled parcel, so check inside before opening.</t>
        </is>
      </c>
      <c r="Y53" s="19" t="inlineStr">
        <is>
          <t>catch (e: unknown) { if (e instanceof Error) { } }</t>
        </is>
      </c>
      <c r="Z53" s="18" t="inlineStr">
        <is>
          <t>unknown = caught value | instanceof = narrow | extends Error = custom class</t>
        </is>
      </c>
      <c r="AA53" s="19" t="inlineStr">
        <is>
          <t>if (e instanceof TypeError) { }</t>
        </is>
      </c>
      <c r="AB53" s="19" t="inlineStr">
        <is>
          <t>throw new Error("failed", { cause: original });</t>
        </is>
      </c>
      <c r="AC53" s="19" t="inlineStr">
        <is>
          <t>type Result&lt;T&gt; = { ok: true; value: T } | { ok: false; error: string };</t>
        </is>
      </c>
      <c r="AD53" s="19" t="inlineStr">
        <is>
          <t>err instanceof Error ? err.message : String(err)   // a one-line safe message</t>
        </is>
      </c>
      <c r="AE53" s="18" t="inlineStr">
        <is>
          <t>try and catch, narrowing, classes</t>
        </is>
      </c>
      <c r="AF53" s="18" t="inlineStr">
        <is>
          <t>error handling basics, narrowing, any vs unknown, type guards</t>
        </is>
      </c>
      <c r="AG53" s="18" t="inlineStr">
        <is>
          <t>Result types</t>
        </is>
      </c>
      <c r="AH53" s="17" t="n"/>
      <c r="AI53" s="18" t="inlineStr">
        <is>
          <t>APIs | Services | Libraries</t>
        </is>
      </c>
      <c r="AJ53" s="18" t="inlineStr">
        <is>
          <t>A: TypeScript says the error is unknown. | B: Narrow it with instanceof Error before reading message.</t>
        </is>
      </c>
      <c r="AK53" s="18" t="inlineStr">
        <is>
          <t>✗ Every caught value is an Error → ✓ Anything can be thrown, so check before using Error properties</t>
        </is>
      </c>
      <c r="AL53" s="18" t="inlineStr">
        <is>
          <t>Error vs custom error: a custom error carries extra fields such as status.</t>
        </is>
      </c>
      <c r="AM53" s="18" t="inlineStr">
        <is>
          <t>Do not read message from an unchecked value.</t>
        </is>
      </c>
      <c r="AN53" s="19" t="inlineStr">
        <is>
          <t>catch (e) { console.log(e.message); }   // e may not be an Error</t>
        </is>
      </c>
      <c r="AO53" s="19" t="inlineStr">
        <is>
          <t>catch (e) { console.log(e instanceof Error ? e.message : String(e)); }</t>
        </is>
      </c>
      <c r="AP53" s="18" t="inlineStr">
        <is>
          <t>Check the parcel before you open it.</t>
        </is>
      </c>
      <c r="AQ53" s="18" t="inlineStr">
        <is>
          <t>A custom error class with a status code simplified retry logic in an API client.</t>
        </is>
      </c>
      <c r="AR53" s="18" t="inlineStr">
        <is>
          <t>An interviewer may ask: Why is the catch variable unknown?</t>
        </is>
      </c>
      <c r="AS53" s="18" t="inlineStr">
        <is>
          <t>It is like an unlabelled parcel.</t>
        </is>
      </c>
      <c r="AT53" s="18" t="inlineStr">
        <is>
          <t>What type does a caught value have in strict mode?</t>
        </is>
      </c>
      <c r="AU53" s="18" t="inlineStr">
        <is>
          <t>A) unknown B) number C) string D) Error</t>
        </is>
      </c>
      <c r="AV53" s="18" t="inlineStr">
        <is>
          <t>A</t>
        </is>
      </c>
      <c r="AW53" s="18" t="inlineStr">
        <is>
          <t>Anything may be thrown.</t>
        </is>
      </c>
      <c r="AX53" s="19" t="inlineStr">
        <is>
          <t>A custom class for failures extends the built-in ____ class → Error</t>
        </is>
      </c>
      <c r="AY53" s="18" t="inlineStr">
        <is>
          <t>Safely get a message from a caught value.</t>
        </is>
      </c>
      <c r="AZ53" s="19" t="inlineStr">
        <is>
          <t>e instanceof Error ? e.message : String(e)</t>
        </is>
      </c>
      <c r="BA53" s="18" t="inlineStr">
        <is>
          <t>Write a custom error with a status field and catch it by class.</t>
        </is>
      </c>
      <c r="BB53" s="19" t="inlineStr">
        <is>
          <t>Why check instanceof Error before using message?</t>
        </is>
      </c>
      <c r="BC53" s="19" t="inlineStr">
        <is>
          <t>Any value can be thrown, not only errors.</t>
        </is>
      </c>
      <c r="BD53" s="17">
        <f>IF(K53="","",REPT("★",K53)&amp;REPT("☆",5-K53)&amp;" ("&amp;K53&amp;"/5)")</f>
        <v/>
      </c>
      <c r="BE53" s="17">
        <f>IF(S53="","","Meaning: "&amp;S53&amp;"  =  ______   (Answer: "&amp;F53&amp;")")</f>
        <v/>
      </c>
      <c r="BF53" s="17" t="inlineStr">
        <is>
          <t>New</t>
        </is>
      </c>
      <c r="BG53" s="17" t="n"/>
      <c r="BH53" s="17" t="n"/>
      <c r="BI53" s="17" t="n"/>
      <c r="BJ53" s="17" t="n"/>
      <c r="BK53" s="17" t="n"/>
      <c r="BL53" s="17" t="n"/>
      <c r="BM53" s="17" t="n"/>
      <c r="BN53" s="17" t="n"/>
    </row>
    <row r="54" ht="135" customHeight="1">
      <c r="A54" s="17" t="inlineStr">
        <is>
          <t>TS-052</t>
        </is>
      </c>
      <c r="B54" s="17" t="inlineStr">
        <is>
          <t>04 TypeScript</t>
        </is>
      </c>
      <c r="C54" s="17" t="inlineStr">
        <is>
          <t>Advanced</t>
        </is>
      </c>
      <c r="D54" s="17" t="n">
        <v>52</v>
      </c>
      <c r="E54" s="17" t="inlineStr">
        <is>
          <t>Claude knowledge</t>
        </is>
      </c>
      <c r="F54" s="18" t="inlineStr">
        <is>
          <t>Validating data with Zod</t>
        </is>
      </c>
      <c r="G54" s="18" t="inlineStr">
        <is>
          <t>Which approach checks run-time data against a schema and gives you a typed result?</t>
        </is>
      </c>
      <c r="H54" s="17" t="n"/>
      <c r="I54" s="18" t="inlineStr">
        <is>
          <t>Tooling</t>
        </is>
      </c>
      <c r="J54" s="18" t="inlineStr">
        <is>
          <t>High</t>
        </is>
      </c>
      <c r="K54" s="18" t="n">
        <v>5</v>
      </c>
      <c r="L54" s="18" t="inlineStr">
        <is>
          <t>Types vanish at run time, so a schema library checks real data and also produces the matching TypeScript type.</t>
        </is>
      </c>
      <c r="M54" s="18" t="inlineStr">
        <is>
          <t>Validate at every boundary, such as request bodies and API responses.</t>
        </is>
      </c>
      <c r="N54" s="17" t="n"/>
      <c r="O54" s="18" t="inlineStr">
        <is>
          <t>A schema is a customs officer who checks each parcel against the declaration.</t>
        </is>
      </c>
      <c r="P54" s="18" t="inlineStr">
        <is>
          <t>Raw data entering a schema and leaving as a typed value or an error.</t>
        </is>
      </c>
      <c r="Q54" s="18" t="inlineStr">
        <is>
          <t>The trust that data matches its type.</t>
        </is>
      </c>
      <c r="R54" s="18" t="inlineStr">
        <is>
          <t>A schema library such as Zod describes the expected shape, parses unknown data, returns a typed value on success and throws or reports details on failure.</t>
        </is>
      </c>
      <c r="S54" s="17" t="n"/>
      <c r="T54" s="19" t="inlineStr">
        <is>
          <t>import { z } from "zod";
const User = z.object({ id: z.number(), email: z.string().email(), age: z.number().int().optional() });
type User = z.infer&lt;typeof User&gt;;
const result = User.safeParse(JSON.parse('{"id": 1, "email": "a@example.com"}'));
if (result.success) console.log(result.data.email); else console.log(result.error.issues.length);</t>
        </is>
      </c>
      <c r="U54" s="19" t="inlineStr">
        <is>
          <t>a@example.com</t>
        </is>
      </c>
      <c r="V54" s="18" t="inlineStr">
        <is>
          <t>parse throws on failure, while safeParse returns an object with success. z.infer derives the TypeScript type from the schema, so there is one source of truth. Schemas can coerce, transform and refine values. Use them for request bodies, environment variables and API responses. Error messages should tell the user what to fix.</t>
        </is>
      </c>
      <c r="W54" s="18" t="inlineStr">
        <is>
          <t>Define the schema once, parse unknown data, and get both checks and types.</t>
        </is>
      </c>
      <c r="X54" s="18" t="inlineStr">
        <is>
          <t>A schema is a customs officer who checks each parcel against the declaration.</t>
        </is>
      </c>
      <c r="Y54" s="19" t="inlineStr">
        <is>
          <t>schema.safeParse(data) | z.infer&lt;typeof schema&gt;</t>
        </is>
      </c>
      <c r="Z54" s="18" t="inlineStr">
        <is>
          <t>z.object = shape | safeParse = result object | infer = derived type</t>
        </is>
      </c>
      <c r="AA54" s="19" t="inlineStr">
        <is>
          <t>z.string().min(1)</t>
        </is>
      </c>
      <c r="AB54" s="19" t="inlineStr">
        <is>
          <t>z.enum(["admin", "user"])</t>
        </is>
      </c>
      <c r="AC54" s="19" t="inlineStr">
        <is>
          <t>const env = z.object({ PORT: z.coerce.number() }).parse(process.env);</t>
        </is>
      </c>
      <c r="AD54" s="19" t="inlineStr">
        <is>
          <t>schema.parse(data)   // throws instead of returning a result</t>
        </is>
      </c>
      <c r="AE54" s="18" t="inlineStr">
        <is>
          <t>fetch, request bodies, environment variables</t>
        </is>
      </c>
      <c r="AF54" s="18" t="inlineStr">
        <is>
          <t>any vs unknown, type assertions, fetch, environment variables</t>
        </is>
      </c>
      <c r="AG54" s="18" t="inlineStr">
        <is>
          <t>Valibot | Yup | io-ts</t>
        </is>
      </c>
      <c r="AH54" s="17" t="n"/>
      <c r="AI54" s="18" t="inlineStr">
        <is>
          <t>API boundaries | Forms | Configuration</t>
        </is>
      </c>
      <c r="AJ54" s="18" t="inlineStr">
        <is>
          <t>A: The API sometimes returns a missing field. | B: Validate the response with a schema at the boundary.</t>
        </is>
      </c>
      <c r="AK54" s="18" t="inlineStr">
        <is>
          <t>✗ TypeScript types protect against bad API data at run time → ✓ Only run-time validation can do that</t>
        </is>
      </c>
      <c r="AL54" s="18" t="inlineStr">
        <is>
          <t>parse vs safeParse: parse throws, safeParse returns a result.</t>
        </is>
      </c>
      <c r="AM54" s="18" t="inlineStr">
        <is>
          <t>Do not trust external data without validation.</t>
        </is>
      </c>
      <c r="AN54" s="19" t="inlineStr">
        <is>
          <t>const user = (await res.json()) as User;</t>
        </is>
      </c>
      <c r="AO54" s="19" t="inlineStr">
        <is>
          <t>const user = User.parse(await res.json());</t>
        </is>
      </c>
      <c r="AP54" s="18" t="inlineStr">
        <is>
          <t>Validate at the border, trust inside.</t>
        </is>
      </c>
      <c r="AQ54" s="18" t="inlineStr">
        <is>
          <t>Validating webhook bodies with a schema rejected malformed events safely.</t>
        </is>
      </c>
      <c r="AR54" s="18" t="inlineStr">
        <is>
          <t>An interviewer may ask: How do you validate API responses in TypeScript?</t>
        </is>
      </c>
      <c r="AS54" s="18" t="inlineStr">
        <is>
          <t>It is like a customs officer checking a parcel.</t>
        </is>
      </c>
      <c r="AT54" s="18" t="inlineStr">
        <is>
          <t>What does z.infer give you?</t>
        </is>
      </c>
      <c r="AU54" s="18" t="inlineStr">
        <is>
          <t>A) The raw data B) A promise C) The error list D) The TypeScript type of the schema</t>
        </is>
      </c>
      <c r="AV54" s="18" t="inlineStr">
        <is>
          <t>D</t>
        </is>
      </c>
      <c r="AW54" s="18" t="inlineStr">
        <is>
          <t>It derives a static type from the schema.</t>
        </is>
      </c>
      <c r="AX54" s="19" t="inlineStr">
        <is>
          <t>The method that returns a result object instead of throwing is ____ → safeParse</t>
        </is>
      </c>
      <c r="AY54" s="18" t="inlineStr">
        <is>
          <t>Validate an unknown value against a user schema without throwing.</t>
        </is>
      </c>
      <c r="AZ54" s="19" t="inlineStr">
        <is>
          <t>const r = User.safeParse(data);</t>
        </is>
      </c>
      <c r="BA54" s="18" t="inlineStr">
        <is>
          <t>Write a schema for a signup request with email and age.</t>
        </is>
      </c>
      <c r="BB54" s="19" t="inlineStr">
        <is>
          <t>Why validate even with TypeScript types?</t>
        </is>
      </c>
      <c r="BC54" s="19" t="inlineStr">
        <is>
          <t>Types do not exist at run time.</t>
        </is>
      </c>
      <c r="BD54" s="17">
        <f>IF(K54="","",REPT("★",K54)&amp;REPT("☆",5-K54)&amp;" ("&amp;K54&amp;"/5)")</f>
        <v/>
      </c>
      <c r="BE54" s="17">
        <f>IF(S54="","","Meaning: "&amp;S54&amp;"  =  ______   (Answer: "&amp;F54&amp;")")</f>
        <v/>
      </c>
      <c r="BF54" s="17" t="inlineStr">
        <is>
          <t>New</t>
        </is>
      </c>
      <c r="BG54" s="17" t="n"/>
      <c r="BH54" s="17" t="n"/>
      <c r="BI54" s="17" t="n"/>
      <c r="BJ54" s="17" t="n"/>
      <c r="BK54" s="17" t="n"/>
      <c r="BL54" s="17" t="n"/>
      <c r="BM54" s="17" t="n"/>
      <c r="BN54" s="17" t="n"/>
    </row>
    <row r="55" ht="162" customHeight="1">
      <c r="A55" s="17" t="inlineStr">
        <is>
          <t>TS-053</t>
        </is>
      </c>
      <c r="B55" s="17" t="inlineStr">
        <is>
          <t>05 React Basics</t>
        </is>
      </c>
      <c r="C55" s="17" t="inlineStr">
        <is>
          <t>Beginner</t>
        </is>
      </c>
      <c r="D55" s="17" t="n">
        <v>53</v>
      </c>
      <c r="E55" s="17" t="inlineStr">
        <is>
          <t>Claude knowledge</t>
        </is>
      </c>
      <c r="F55" s="18" t="inlineStr">
        <is>
          <t>Components</t>
        </is>
      </c>
      <c r="G55" s="18" t="inlineStr">
        <is>
          <t>Which building blocks make up a React interface, and how are they written?</t>
        </is>
      </c>
      <c r="H55" s="17" t="n"/>
      <c r="I55" s="18" t="inlineStr">
        <is>
          <t>React concept</t>
        </is>
      </c>
      <c r="J55" s="18" t="inlineStr">
        <is>
          <t>Very high</t>
        </is>
      </c>
      <c r="K55" s="18" t="n">
        <v>5</v>
      </c>
      <c r="L55" s="18" t="inlineStr">
        <is>
          <t>Large screens are easier to build from small reusable pieces, so React describes a page as a tree of components.</t>
        </is>
      </c>
      <c r="M55" s="18" t="inlineStr">
        <is>
          <t>Start component names with a capital letter, and keep each one focused on one job.</t>
        </is>
      </c>
      <c r="N55" s="17" t="n"/>
      <c r="O55" s="18" t="inlineStr">
        <is>
          <t>Components are building blocks that snap together to make a page.</t>
        </is>
      </c>
      <c r="P55" s="18" t="inlineStr">
        <is>
          <t>A page split into nested boxes named header, list and card.</t>
        </is>
      </c>
      <c r="Q55" s="18" t="inlineStr">
        <is>
          <t>The satisfaction of reusing one piece in many places.</t>
        </is>
      </c>
      <c r="R55" s="18" t="inlineStr">
        <is>
          <t>A component is a function that returns a description of part of the interface, and components can contain other components.</t>
        </is>
      </c>
      <c r="S55" s="17" t="n"/>
      <c r="T55" s="19" t="inlineStr">
        <is>
          <t>function Greeting({ name }: { name: string }) {
  return &lt;p&gt;Hello {name}&lt;/p&gt;;
}
export default function App() {
  return (
    &lt;main&gt;
      &lt;Greeting name="Asha" /&gt;
      &lt;Greeting name="Ravi" /&gt;
    &lt;/main&gt;
  );
}</t>
        </is>
      </c>
      <c r="U55" s="19" t="inlineStr">
        <is>
          <t>Two greeting paragraphs, Hello Asha and Hello Ravi, appear inside main.</t>
        </is>
      </c>
      <c r="V55" s="18" t="inlineStr">
        <is>
          <t>A component returns JSX, which React turns into page elements. Names must start with a capital letter, or React treats them as plain HTML tags. A component should be pure, which means the same input gives the same output. Small components are easier to test and reuse. Components can live in their own files and be imported.</t>
        </is>
      </c>
      <c r="W55" s="18" t="inlineStr">
        <is>
          <t>Write small functions that return JSX, and combine them into a page.</t>
        </is>
      </c>
      <c r="X55" s="18" t="inlineStr">
        <is>
          <t>Components are building blocks that snap together to make a page.</t>
        </is>
      </c>
      <c r="Y55" s="19" t="inlineStr">
        <is>
          <t>function Name(props) { return &lt;jsx /&gt;; }</t>
        </is>
      </c>
      <c r="Z55" s="18" t="inlineStr">
        <is>
          <t>function = component | props = inputs | return = the interface</t>
        </is>
      </c>
      <c r="AA55" s="19" t="inlineStr">
        <is>
          <t>&lt;Button label="Save" /&gt;</t>
        </is>
      </c>
      <c r="AB55" s="19" t="inlineStr">
        <is>
          <t>&lt;Card&gt;&lt;Title /&gt;&lt;/Card&gt;</t>
        </is>
      </c>
      <c r="AC55" s="19" t="inlineStr">
        <is>
          <t>export function Header() { return &lt;h1&gt;Edusarthi&lt;/h1&gt;; }</t>
        </is>
      </c>
      <c r="AD55" s="19" t="inlineStr">
        <is>
          <t>const Tag = ({ text }: { text: string }) =&gt; &lt;span&gt;{text}&lt;/span&gt;;   // arrow style</t>
        </is>
      </c>
      <c r="AE55" s="18" t="inlineStr">
        <is>
          <t>JSX, props, state</t>
        </is>
      </c>
      <c r="AF55" s="18" t="inlineStr">
        <is>
          <t>JSX, props, state, lists and keys</t>
        </is>
      </c>
      <c r="AG55" s="18" t="inlineStr">
        <is>
          <t>Class components in older code</t>
        </is>
      </c>
      <c r="AH55" s="17" t="n"/>
      <c r="AI55" s="18" t="inlineStr">
        <is>
          <t>Every React app | Design systems | Pages</t>
        </is>
      </c>
      <c r="AJ55" s="18" t="inlineStr">
        <is>
          <t>A: My custom tag renders as plain HTML. | B: Start the component name with a capital letter.</t>
        </is>
      </c>
      <c r="AK55" s="18" t="inlineStr">
        <is>
          <t>✗ A component can have any name → ✓ It must start with a capital letter so React can tell it from an HTML tag</t>
        </is>
      </c>
      <c r="AL55" s="18" t="inlineStr">
        <is>
          <t>Component vs element: a component is a function, an element is what it returns.</t>
        </is>
      </c>
      <c r="AM55" s="18" t="inlineStr">
        <is>
          <t>Do not define components inside other components.</t>
        </is>
      </c>
      <c r="AN55" s="19" t="inlineStr">
        <is>
          <t>function greeting() { return &lt;p&gt;Hi&lt;/p&gt;; }</t>
        </is>
      </c>
      <c r="AO55" s="19" t="inlineStr">
        <is>
          <t>function Greeting() { return &lt;p&gt;Hi&lt;/p&gt;; }</t>
        </is>
      </c>
      <c r="AP55" s="18" t="inlineStr">
        <is>
          <t>A capital letter means a component here.</t>
        </is>
      </c>
      <c r="AQ55" s="18" t="inlineStr">
        <is>
          <t>Splitting a long page into small components made each piece easy to test.</t>
        </is>
      </c>
      <c r="AR55" s="18" t="inlineStr">
        <is>
          <t>An interviewer may ask: What is a React component?</t>
        </is>
      </c>
      <c r="AS55" s="18" t="inlineStr">
        <is>
          <t>It is like a block that snaps into a bigger build.</t>
        </is>
      </c>
      <c r="AT55" s="18" t="inlineStr">
        <is>
          <t>What must a component name start with?</t>
        </is>
      </c>
      <c r="AU55" s="18" t="inlineStr">
        <is>
          <t>A) A capital letter B) An underscore C) A number D) A lowercase letter</t>
        </is>
      </c>
      <c r="AV55" s="18" t="inlineStr">
        <is>
          <t>A</t>
        </is>
      </c>
      <c r="AW55" s="18" t="inlineStr">
        <is>
          <t>React treats lowercase names as HTML tags.</t>
        </is>
      </c>
      <c r="AX55" s="19" t="inlineStr">
        <is>
          <t>A component returns an interface description written in ____ → JSX</t>
        </is>
      </c>
      <c r="AY55" s="18" t="inlineStr">
        <is>
          <t>Write a component that shows a heading with your name.</t>
        </is>
      </c>
      <c r="AZ55" s="19" t="inlineStr">
        <is>
          <t>function Hello() { return &lt;h1&gt;Asha&lt;/h1&gt;; }</t>
        </is>
      </c>
      <c r="BA55" s="18" t="inlineStr">
        <is>
          <t>Create two components and use one inside the other.</t>
        </is>
      </c>
      <c r="BB55" s="19" t="inlineStr">
        <is>
          <t>Why capitalise component names?</t>
        </is>
      </c>
      <c r="BC55" s="19" t="inlineStr">
        <is>
          <t>Lowercase names are treated as HTML tags.</t>
        </is>
      </c>
      <c r="BD55" s="17">
        <f>IF(K55="","",REPT("★",K55)&amp;REPT("☆",5-K55)&amp;" ("&amp;K55&amp;"/5)")</f>
        <v/>
      </c>
      <c r="BE55" s="17">
        <f>IF(S55="","","Meaning: "&amp;S55&amp;"  =  ______   (Answer: "&amp;F55&amp;")")</f>
        <v/>
      </c>
      <c r="BF55" s="17" t="inlineStr">
        <is>
          <t>New</t>
        </is>
      </c>
      <c r="BG55" s="17" t="n"/>
      <c r="BH55" s="17" t="n"/>
      <c r="BI55" s="17" t="n"/>
      <c r="BJ55" s="17" t="n"/>
      <c r="BK55" s="17" t="n"/>
      <c r="BL55" s="17" t="n"/>
      <c r="BM55" s="17" t="n"/>
      <c r="BN55" s="17" t="n"/>
    </row>
    <row r="56" ht="121.5" customHeight="1">
      <c r="A56" s="17" t="inlineStr">
        <is>
          <t>TS-054</t>
        </is>
      </c>
      <c r="B56" s="17" t="inlineStr">
        <is>
          <t>05 React Basics</t>
        </is>
      </c>
      <c r="C56" s="17" t="inlineStr">
        <is>
          <t>Beginner</t>
        </is>
      </c>
      <c r="D56" s="17" t="n">
        <v>54</v>
      </c>
      <c r="E56" s="17" t="inlineStr">
        <is>
          <t>Claude knowledge</t>
        </is>
      </c>
      <c r="F56" s="18" t="inlineStr">
        <is>
          <t>JSX</t>
        </is>
      </c>
      <c r="G56" s="18" t="inlineStr">
        <is>
          <t>Which syntax lets you write interface markup inside JavaScript?</t>
        </is>
      </c>
      <c r="H56" s="17" t="n"/>
      <c r="I56" s="18" t="inlineStr">
        <is>
          <t>React concept</t>
        </is>
      </c>
      <c r="J56" s="18" t="inlineStr">
        <is>
          <t>Very high</t>
        </is>
      </c>
      <c r="K56" s="18" t="n">
        <v>5</v>
      </c>
      <c r="L56" s="18" t="inlineStr">
        <is>
          <t>Interfaces mix structure and logic, so JSX lets you write HTML-like markup directly inside JavaScript code.</t>
        </is>
      </c>
      <c r="M56" s="18" t="inlineStr">
        <is>
          <t>Put JavaScript expressions in curly braces, and remember that JSX is not a string.</t>
        </is>
      </c>
      <c r="N56" s="17" t="n"/>
      <c r="O56" s="18" t="inlineStr">
        <is>
          <t>JSX is plain HTML that has put on a JavaScript costume for the day.</t>
        </is>
      </c>
      <c r="P56" s="18" t="inlineStr">
        <is>
          <t>Markup with curly braces holding live values.</t>
        </is>
      </c>
      <c r="Q56" s="18" t="inlineStr">
        <is>
          <t>The joy of seeing structure and logic side by side.</t>
        </is>
      </c>
      <c r="R56" s="18" t="inlineStr">
        <is>
          <t>JSX is a syntax extension that looks like HTML, is compiled into JavaScript calls, and allows expressions inside curly braces.</t>
        </is>
      </c>
      <c r="S56" s="17" t="n"/>
      <c r="T56" s="19" t="inlineStr">
        <is>
          <t>const user = { name: "Asha", unread: 3 };
const view = (
  &lt;section className="card"&gt;
    &lt;h2&gt;{user.name.toUpperCase()}&lt;/h2&gt;
    &lt;p&gt;{user.unread} new message{user.unread === 1 ? "" : "s"}&lt;/p&gt;
    &lt;img src="/a.png" alt="Profile" /&gt;
  &lt;/section&gt;
);</t>
        </is>
      </c>
      <c r="U56" s="19" t="inlineStr">
        <is>
          <t>A section with the name in capitals and the text 3 new messages is described.</t>
        </is>
      </c>
      <c r="V56" s="18" t="inlineStr">
        <is>
          <t>JSX must return one root element, or a fragment written as empty angle brackets. Attributes use camelCase, such as className and onClick. Self-closing tags need a slash. Only expressions work inside braces, not statements such as if. Text in JSX is escaped, which helps against injection.</t>
        </is>
      </c>
      <c r="W56" s="18" t="inlineStr">
        <is>
          <t>Write markup, use braces for JavaScript, and return one root.</t>
        </is>
      </c>
      <c r="X56" s="18" t="inlineStr">
        <is>
          <t>JSX is HTML wearing a JavaScript costume.</t>
        </is>
      </c>
      <c r="Y56" s="19" t="inlineStr">
        <is>
          <t>&lt;tag attr={value}&gt;{expression}&lt;/tag&gt;</t>
        </is>
      </c>
      <c r="Z56" s="18" t="inlineStr">
        <is>
          <t>{ } = JavaScript inside markup | className = class | fragment = a wrapper with no element</t>
        </is>
      </c>
      <c r="AA56" s="19" t="inlineStr">
        <is>
          <t>&lt;button onClick={() =&gt; save()}&gt;Save&lt;/button&gt;</t>
        </is>
      </c>
      <c r="AB56" s="19" t="inlineStr">
        <is>
          <t>&lt;&gt;{title}{subtitle}&lt;/&gt;</t>
        </is>
      </c>
      <c r="AC56" s="19" t="inlineStr">
        <is>
          <t>&lt;input disabled={!ready} /&gt;</t>
        </is>
      </c>
      <c r="AD56" s="19" t="inlineStr">
        <is>
          <t>&lt;label htmlFor="email"&gt;Email&lt;/label&gt;   // for becomes htmlFor</t>
        </is>
      </c>
      <c r="AE56" s="18" t="inlineStr">
        <is>
          <t>components, props, events</t>
        </is>
      </c>
      <c r="AF56" s="18" t="inlineStr">
        <is>
          <t>components, props, conditional rendering, lists and keys</t>
        </is>
      </c>
      <c r="AG56" s="18" t="inlineStr">
        <is>
          <t>Template strings | other view libraries</t>
        </is>
      </c>
      <c r="AH56" s="17" t="n"/>
      <c r="AI56" s="18" t="inlineStr">
        <is>
          <t>Every React component | UI code | Pages</t>
        </is>
      </c>
      <c r="AJ56" s="18" t="inlineStr">
        <is>
          <t>A: Why does class not work on my element? | B: In JSX the attribute is className.</t>
        </is>
      </c>
      <c r="AK56" s="18" t="inlineStr">
        <is>
          <t>✗ JSX is a string of HTML → ✓ It is compiled into JavaScript function calls</t>
        </is>
      </c>
      <c r="AL56" s="18" t="inlineStr">
        <is>
          <t>JSX vs HTML: JSX uses className, camelCase and requires closed tags.</t>
        </is>
      </c>
      <c r="AM56" s="18" t="inlineStr">
        <is>
          <t>Do not put statements inside curly braces.</t>
        </is>
      </c>
      <c r="AN56" s="19" t="inlineStr">
        <is>
          <t>&lt;div class="box"&gt;Hi&lt;/div&gt;</t>
        </is>
      </c>
      <c r="AO56" s="19" t="inlineStr">
        <is>
          <t>&lt;div className="box"&gt;Hi&lt;/div&gt;</t>
        </is>
      </c>
      <c r="AP56" s="18" t="inlineStr">
        <is>
          <t>JSX uses className, not class.</t>
        </is>
      </c>
      <c r="AQ56" s="18" t="inlineStr">
        <is>
          <t>Replacing string-built markup with JSX removed an injection risk.</t>
        </is>
      </c>
      <c r="AR56" s="18" t="inlineStr">
        <is>
          <t>An interviewer may ask: Is JSX HTML?</t>
        </is>
      </c>
      <c r="AS56" s="18" t="inlineStr">
        <is>
          <t>It is like HTML in a JavaScript costume.</t>
        </is>
      </c>
      <c r="AT56" s="18" t="inlineStr">
        <is>
          <t>Which attribute sets the CSS class in JSX?</t>
        </is>
      </c>
      <c r="AU56" s="18" t="inlineStr">
        <is>
          <t>A) cssClass B) className C) class D) styleClass</t>
        </is>
      </c>
      <c r="AV56" s="18" t="inlineStr">
        <is>
          <t>B</t>
        </is>
      </c>
      <c r="AW56" s="18" t="inlineStr">
        <is>
          <t>class is a reserved word in JavaScript.</t>
        </is>
      </c>
      <c r="AX56" s="19" t="inlineStr">
        <is>
          <t>JavaScript inside JSX goes in curly ____ → braces</t>
        </is>
      </c>
      <c r="AY56" s="18" t="inlineStr">
        <is>
          <t>Show the value of count inside a paragraph.</t>
        </is>
      </c>
      <c r="AZ56" s="19" t="inlineStr">
        <is>
          <t>&lt;p&gt;{count}&lt;/p&gt;</t>
        </is>
      </c>
      <c r="BA56" s="18" t="inlineStr">
        <is>
          <t>Write JSX that shows a name and a conditional plural word.</t>
        </is>
      </c>
      <c r="BB56" s="19" t="inlineStr">
        <is>
          <t>Why must JSX return a single root?</t>
        </is>
      </c>
      <c r="BC56" s="19" t="inlineStr">
        <is>
          <t>A function can return only one value, so wrap siblings in a parent or fragment.</t>
        </is>
      </c>
      <c r="BD56" s="17">
        <f>IF(K56="","",REPT("★",K56)&amp;REPT("☆",5-K56)&amp;" ("&amp;K56&amp;"/5)")</f>
        <v/>
      </c>
      <c r="BE56" s="17">
        <f>IF(S56="","","Meaning: "&amp;S56&amp;"  =  ______   (Answer: "&amp;F56&amp;")")</f>
        <v/>
      </c>
      <c r="BF56" s="17" t="inlineStr">
        <is>
          <t>New</t>
        </is>
      </c>
      <c r="BG56" s="17" t="n"/>
      <c r="BH56" s="17" t="n"/>
      <c r="BI56" s="17" t="n"/>
      <c r="BJ56" s="17" t="n"/>
      <c r="BK56" s="17" t="n"/>
      <c r="BL56" s="17" t="n"/>
      <c r="BM56" s="17" t="n"/>
      <c r="BN56" s="17" t="n"/>
    </row>
    <row r="57" ht="202.5" customHeight="1">
      <c r="A57" s="17" t="inlineStr">
        <is>
          <t>TS-055</t>
        </is>
      </c>
      <c r="B57" s="17" t="inlineStr">
        <is>
          <t>05 React Basics</t>
        </is>
      </c>
      <c r="C57" s="17" t="inlineStr">
        <is>
          <t>Beginner</t>
        </is>
      </c>
      <c r="D57" s="17" t="n">
        <v>55</v>
      </c>
      <c r="E57" s="17" t="inlineStr">
        <is>
          <t>Claude knowledge</t>
        </is>
      </c>
      <c r="F57" s="18" t="inlineStr">
        <is>
          <t>Props</t>
        </is>
      </c>
      <c r="G57" s="18" t="inlineStr">
        <is>
          <t>Which inputs pass data from a parent component to a child?</t>
        </is>
      </c>
      <c r="H57" s="17" t="n"/>
      <c r="I57" s="18" t="inlineStr">
        <is>
          <t>React concept</t>
        </is>
      </c>
      <c r="J57" s="18" t="inlineStr">
        <is>
          <t>Very high</t>
        </is>
      </c>
      <c r="K57" s="18" t="n">
        <v>5</v>
      </c>
      <c r="L57" s="18" t="inlineStr">
        <is>
          <t>Reusable components need different data each time, so props pass values from parent to child like function arguments.</t>
        </is>
      </c>
      <c r="M57" s="18" t="inlineStr">
        <is>
          <t>Treat props as read-only, and type them with an interface.</t>
        </is>
      </c>
      <c r="N57" s="17" t="n"/>
      <c r="O57" s="18" t="inlineStr">
        <is>
          <t>Props are the instructions a parent hands to a child before work starts.</t>
        </is>
      </c>
      <c r="P57" s="18" t="inlineStr">
        <is>
          <t>An arrow carrying values from a parent box to a child box.</t>
        </is>
      </c>
      <c r="Q57" s="18" t="inlineStr">
        <is>
          <t>The ease of reusing one component with new data.</t>
        </is>
      </c>
      <c r="R57" s="18" t="inlineStr">
        <is>
          <t>Props are the read-only inputs of a component, passed as attributes in JSX and received as an object.</t>
        </is>
      </c>
      <c r="S57" s="17" t="n"/>
      <c r="T57" s="19" t="inlineStr">
        <is>
          <t>interface CardProps { title: string; count?: number; onOpen: () =&gt; void; children?: React.ReactNode }
function Card({ title, count = 0, onOpen, children }: CardProps) {
  return (
    &lt;div&gt;
      &lt;h3&gt;{title} ({count})&lt;/h3&gt;
      {children}
      &lt;button onClick={onOpen}&gt;Open&lt;/button&gt;
    &lt;/div&gt;
  );
}
&lt;Card title="Inbox" count={4} onOpen={() =&gt; alert("open")}&gt;Latest mail&lt;/Card&gt;</t>
        </is>
      </c>
      <c r="U57" s="19" t="inlineStr">
        <is>
          <t>A card shows Inbox (4), the text Latest mail and an Open button.</t>
        </is>
      </c>
      <c r="V57" s="18" t="inlineStr">
        <is>
          <t>Data flows down from parents to children only. A child must never change its props, and instead calls a function prop to ask the parent to change state. The special children prop holds whatever is placed between the tags. Defaults can be set in destructuring. TypeScript interfaces make props self-documenting.</t>
        </is>
      </c>
      <c r="W57" s="18" t="inlineStr">
        <is>
          <t>Pass data down with props, and pass functions down to send events up.</t>
        </is>
      </c>
      <c r="X57" s="18" t="inlineStr">
        <is>
          <t>Props are the instructions a parent hands to a child before work starts.</t>
        </is>
      </c>
      <c r="Y57" s="19" t="inlineStr">
        <is>
          <t>&lt;Child name={value} onClick={fn} /&gt; | function Child({ name }) { }</t>
        </is>
      </c>
      <c r="Z57" s="18" t="inlineStr">
        <is>
          <t>props = inputs | children = nested content | callback prop = event upward</t>
        </is>
      </c>
      <c r="AA57" s="19" t="inlineStr">
        <is>
          <t>&lt;Avatar src={user.photo} size={40} /&gt;</t>
        </is>
      </c>
      <c r="AB57" s="19" t="inlineStr">
        <is>
          <t>&lt;List items={items} /&gt;</t>
        </is>
      </c>
      <c r="AC57" s="19" t="inlineStr">
        <is>
          <t>&lt;Modal onClose={() =&gt; setOpen(false)} /&gt;</t>
        </is>
      </c>
      <c r="AD57" s="19" t="inlineStr">
        <is>
          <t>&lt;Card {...cardProps} /&gt;   // spread an object as props</t>
        </is>
      </c>
      <c r="AE57" s="18" t="inlineStr">
        <is>
          <t>state, events, TypeScript</t>
        </is>
      </c>
      <c r="AF57" s="18" t="inlineStr">
        <is>
          <t>components, state, JSX, lists and keys</t>
        </is>
      </c>
      <c r="AG57" s="18" t="inlineStr">
        <is>
          <t>Context for deeply shared data</t>
        </is>
      </c>
      <c r="AH57" s="17" t="n"/>
      <c r="AI57" s="18" t="inlineStr">
        <is>
          <t>Every component | Design systems | Forms</t>
        </is>
      </c>
      <c r="AJ57" s="18" t="inlineStr">
        <is>
          <t>A: Can the child change the title it received? | B: No, props are read-only, so call a function prop.</t>
        </is>
      </c>
      <c r="AK57" s="18" t="inlineStr">
        <is>
          <t>✗ A child can modify its props → ✓ Props are read-only, and changes belong to the parent</t>
        </is>
      </c>
      <c r="AL57" s="18" t="inlineStr">
        <is>
          <t>Props vs state: props come from the parent, state belongs to the component.</t>
        </is>
      </c>
      <c r="AM57" s="18" t="inlineStr">
        <is>
          <t>Never change the props you receive.</t>
        </is>
      </c>
      <c r="AN57" s="19" t="inlineStr">
        <is>
          <t>function Card(props) { props.title = "x"; }</t>
        </is>
      </c>
      <c r="AO57" s="19" t="inlineStr">
        <is>
          <t>function Card({ title, onRename }) { return &lt;button onClick={() =&gt; onRename("x")}&gt;{title}&lt;/button&gt;; }</t>
        </is>
      </c>
      <c r="AP57" s="18" t="inlineStr">
        <is>
          <t>Data flows down, events flow up.</t>
        </is>
      </c>
      <c r="AQ57" s="18" t="inlineStr">
        <is>
          <t>Passing a callback prop let a form child report saves to its parent page.</t>
        </is>
      </c>
      <c r="AR57" s="18" t="inlineStr">
        <is>
          <t>An interviewer may ask: How does a child tell a parent something happened?</t>
        </is>
      </c>
      <c r="AS57" s="18" t="inlineStr">
        <is>
          <t>It is like a note of instructions to a helper.</t>
        </is>
      </c>
      <c r="AT57" s="18" t="inlineStr">
        <is>
          <t>In which direction do props flow?</t>
        </is>
      </c>
      <c r="AU57" s="18" t="inlineStr">
        <is>
          <t>A) Between siblings B) Both ways C) From child to parent D) From parent to child</t>
        </is>
      </c>
      <c r="AV57" s="18" t="inlineStr">
        <is>
          <t>D</t>
        </is>
      </c>
      <c r="AW57" s="18" t="inlineStr">
        <is>
          <t>React data flow is one-way and downward.</t>
        </is>
      </c>
      <c r="AX57" s="19" t="inlineStr">
        <is>
          <t>The prop that holds nested content is called ____ → children</t>
        </is>
      </c>
      <c r="AY57" s="18" t="inlineStr">
        <is>
          <t>Pass a name prop to a Greeting component.</t>
        </is>
      </c>
      <c r="AZ57" s="19" t="inlineStr">
        <is>
          <t>&lt;Greeting name="Asha" /&gt;</t>
        </is>
      </c>
      <c r="BA57" s="18" t="inlineStr">
        <is>
          <t>Create a child with a callback prop that the parent handles.</t>
        </is>
      </c>
      <c r="BB57" s="19" t="inlineStr">
        <is>
          <t>How does a child send data up?</t>
        </is>
      </c>
      <c r="BC57" s="19" t="inlineStr">
        <is>
          <t>It calls a function passed down as a prop.</t>
        </is>
      </c>
      <c r="BD57" s="17">
        <f>IF(K57="","",REPT("★",K57)&amp;REPT("☆",5-K57)&amp;" ("&amp;K57&amp;"/5)")</f>
        <v/>
      </c>
      <c r="BE57" s="17">
        <f>IF(S57="","","Meaning: "&amp;S57&amp;"  =  ______   (Answer: "&amp;F57&amp;")")</f>
        <v/>
      </c>
      <c r="BF57" s="17" t="inlineStr">
        <is>
          <t>New</t>
        </is>
      </c>
      <c r="BG57" s="17" t="n"/>
      <c r="BH57" s="17" t="n"/>
      <c r="BI57" s="17" t="n"/>
      <c r="BJ57" s="17" t="n"/>
      <c r="BK57" s="17" t="n"/>
      <c r="BL57" s="17" t="n"/>
      <c r="BM57" s="17" t="n"/>
      <c r="BN57" s="17" t="n"/>
    </row>
    <row r="58" ht="135" customHeight="1">
      <c r="A58" s="17" t="inlineStr">
        <is>
          <t>TS-056</t>
        </is>
      </c>
      <c r="B58" s="17" t="inlineStr">
        <is>
          <t>05 React Basics</t>
        </is>
      </c>
      <c r="C58" s="17" t="inlineStr">
        <is>
          <t>Beginner</t>
        </is>
      </c>
      <c r="D58" s="17" t="n">
        <v>56</v>
      </c>
      <c r="E58" s="17" t="inlineStr">
        <is>
          <t>Claude knowledge</t>
        </is>
      </c>
      <c r="F58" s="18" t="inlineStr">
        <is>
          <t>State</t>
        </is>
      </c>
      <c r="G58" s="18" t="inlineStr">
        <is>
          <t>Which hook lets a component remember a value that changes and redraw when it does?</t>
        </is>
      </c>
      <c r="H58" s="17" t="n"/>
      <c r="I58" s="18" t="inlineStr">
        <is>
          <t>React concept</t>
        </is>
      </c>
      <c r="J58" s="18" t="inlineStr">
        <is>
          <t>Very high</t>
        </is>
      </c>
      <c r="K58" s="18" t="n">
        <v>5</v>
      </c>
      <c r="L58" s="18" t="inlineStr">
        <is>
          <t>Interfaces change over time, so components need a memory that triggers a redraw when it changes.</t>
        </is>
      </c>
      <c r="M58" s="18" t="inlineStr">
        <is>
          <t>Never change state directly, always use the setter function.</t>
        </is>
      </c>
      <c r="N58" s="17" t="n"/>
      <c r="O58" s="18" t="inlineStr">
        <is>
          <t>State is a component's notebook, and the setter is the pen that makes it re-read the page.</t>
        </is>
      </c>
      <c r="P58" s="18" t="inlineStr">
        <is>
          <t>A counter value with a button that updates it.</t>
        </is>
      </c>
      <c r="Q58" s="18" t="inlineStr">
        <is>
          <t>The thrill of the screen updating from one click.</t>
        </is>
      </c>
      <c r="R58" s="18" t="inlineStr">
        <is>
          <t>useState returns the current value and a setter function, and calling the setter stores a new value and re-renders the component.</t>
        </is>
      </c>
      <c r="S58" s="17" t="n"/>
      <c r="T58" s="19" t="inlineStr">
        <is>
          <t>import { useState } from "react";
export function Counter() {
  const [count, setCount] = useState(0);
  return (
    &lt;button onClick={() =&gt; setCount(c =&gt; c + 1)}&gt;
      Clicked {count} times
    &lt;/button&gt;
  );
}</t>
        </is>
      </c>
      <c r="U58" s="19" t="inlineStr">
        <is>
          <t>The button text starts at Clicked 0 times and increases with every click.</t>
        </is>
      </c>
      <c r="V58" s="18" t="inlineStr">
        <is>
          <t>State is private to each component instance. Updating state schedules a re-render, and the new value is seen on the next render. When the new value depends on the old one, pass a function to the setter. Objects and arrays must be replaced with new copies, not mutated. Related values may be grouped in one object or a reducer.</t>
        </is>
      </c>
      <c r="W58" s="18" t="inlineStr">
        <is>
          <t>Use useState for values that change, and update them only through the setter.</t>
        </is>
      </c>
      <c r="X58" s="18" t="inlineStr">
        <is>
          <t>State is a component's notebook, and the setter is the pen that makes it re-read the page.</t>
        </is>
      </c>
      <c r="Y58" s="19" t="inlineStr">
        <is>
          <t>const [value, setValue] = useState(initial)</t>
        </is>
      </c>
      <c r="Z58" s="18" t="inlineStr">
        <is>
          <t>value = current | setValue = updater | initial = first value</t>
        </is>
      </c>
      <c r="AA58" s="19" t="inlineStr">
        <is>
          <t>const [name, setName] = useState("");</t>
        </is>
      </c>
      <c r="AB58" s="19" t="inlineStr">
        <is>
          <t>setItems(prev =&gt; [...prev, newItem]);</t>
        </is>
      </c>
      <c r="AC58" s="19" t="inlineStr">
        <is>
          <t>setUser({ ...user, age: 29 });</t>
        </is>
      </c>
      <c r="AD58" s="19" t="inlineStr">
        <is>
          <t>useReducer(reducer, initial)   // for more complex state</t>
        </is>
      </c>
      <c r="AE58" s="18" t="inlineStr">
        <is>
          <t>events, props, effects</t>
        </is>
      </c>
      <c r="AF58" s="18" t="inlineStr">
        <is>
          <t>props, useEffect, components, JSX</t>
        </is>
      </c>
      <c r="AG58" s="18" t="inlineStr">
        <is>
          <t>useReducer | external stores</t>
        </is>
      </c>
      <c r="AH58" s="17" t="n"/>
      <c r="AI58" s="18" t="inlineStr">
        <is>
          <t>Forms | Toggles | Counters</t>
        </is>
      </c>
      <c r="AJ58" s="18" t="inlineStr">
        <is>
          <t>A: The list does not update when I push an item. | B: You mutated the array, so set a new copy.</t>
        </is>
      </c>
      <c r="AK58" s="18" t="inlineStr">
        <is>
          <t>✗ Setting state changes the variable immediately → ✓ The new value appears on the next render</t>
        </is>
      </c>
      <c r="AL58" s="18" t="inlineStr">
        <is>
          <t>State vs variable: a normal variable resets on every render, state is kept.</t>
        </is>
      </c>
      <c r="AM58" s="18" t="inlineStr">
        <is>
          <t>Do not mutate state objects or arrays.</t>
        </is>
      </c>
      <c r="AN58" s="19" t="inlineStr">
        <is>
          <t>items.push(x); setItems(items);</t>
        </is>
      </c>
      <c r="AO58" s="19" t="inlineStr">
        <is>
          <t>setItems([...items, x]);</t>
        </is>
      </c>
      <c r="AP58" s="18" t="inlineStr">
        <is>
          <t>New copy in, never mutate.</t>
        </is>
      </c>
      <c r="AQ58" s="18" t="inlineStr">
        <is>
          <t>Replacing array mutations with copies fixed a list that refused to update.</t>
        </is>
      </c>
      <c r="AR58" s="18" t="inlineStr">
        <is>
          <t>An interviewer may ask: Why must state updates be immutable?</t>
        </is>
      </c>
      <c r="AS58" s="18" t="inlineStr">
        <is>
          <t>It is like a notebook that triggers a re-read.</t>
        </is>
      </c>
      <c r="AT58" s="18" t="inlineStr">
        <is>
          <t>What does calling the setter do?</t>
        </is>
      </c>
      <c r="AU58" s="18" t="inlineStr">
        <is>
          <t>A) Reloads the page B) Deletes the component C) Stores the value and re-renders D) Changes the props</t>
        </is>
      </c>
      <c r="AV58" s="18" t="inlineStr">
        <is>
          <t>C</t>
        </is>
      </c>
      <c r="AW58" s="18" t="inlineStr">
        <is>
          <t>The setter triggers a new render with the new value.</t>
        </is>
      </c>
      <c r="AX58" s="19" t="inlineStr">
        <is>
          <t>The hook that adds state to a function component is ____ → useState</t>
        </is>
      </c>
      <c r="AY58" s="18" t="inlineStr">
        <is>
          <t>Create a state value called open that starts as false.</t>
        </is>
      </c>
      <c r="AZ58" s="19" t="inlineStr">
        <is>
          <t>const [open, setOpen] = useState(false);</t>
        </is>
      </c>
      <c r="BA58" s="18" t="inlineStr">
        <is>
          <t>Build a toggle button that switches between on and off.</t>
        </is>
      </c>
      <c r="BB58" s="19" t="inlineStr">
        <is>
          <t>Why pass a function to the setter?</t>
        </is>
      </c>
      <c r="BC58" s="19" t="inlineStr">
        <is>
          <t>It uses the latest value when the update depends on the old one.</t>
        </is>
      </c>
      <c r="BD58" s="17">
        <f>IF(K58="","",REPT("★",K58)&amp;REPT("☆",5-K58)&amp;" ("&amp;K58&amp;"/5)")</f>
        <v/>
      </c>
      <c r="BE58" s="17">
        <f>IF(S58="","","Meaning: "&amp;S58&amp;"  =  ______   (Answer: "&amp;F58&amp;")")</f>
        <v/>
      </c>
      <c r="BF58" s="17" t="inlineStr">
        <is>
          <t>New</t>
        </is>
      </c>
      <c r="BG58" s="17" t="n"/>
      <c r="BH58" s="17" t="n"/>
      <c r="BI58" s="17" t="n"/>
      <c r="BJ58" s="17" t="n"/>
      <c r="BK58" s="17" t="n"/>
      <c r="BL58" s="17" t="n"/>
      <c r="BM58" s="17" t="n"/>
      <c r="BN58" s="17" t="n"/>
    </row>
    <row r="59" ht="121.5" customHeight="1">
      <c r="A59" s="17" t="inlineStr">
        <is>
          <t>TS-057</t>
        </is>
      </c>
      <c r="B59" s="17" t="inlineStr">
        <is>
          <t>05 React Basics</t>
        </is>
      </c>
      <c r="C59" s="17" t="inlineStr">
        <is>
          <t>Intermediate</t>
        </is>
      </c>
      <c r="D59" s="17" t="n">
        <v>57</v>
      </c>
      <c r="E59" s="17" t="inlineStr">
        <is>
          <t>Claude knowledge</t>
        </is>
      </c>
      <c r="F59" s="18" t="inlineStr">
        <is>
          <t>useEffect</t>
        </is>
      </c>
      <c r="G59" s="18" t="inlineStr">
        <is>
          <t>Which hook runs code after rendering, such as fetching data or subscribing to events?</t>
        </is>
      </c>
      <c r="H59" s="17" t="n"/>
      <c r="I59" s="18" t="inlineStr">
        <is>
          <t>React concept</t>
        </is>
      </c>
      <c r="J59" s="18" t="inlineStr">
        <is>
          <t>Very high</t>
        </is>
      </c>
      <c r="K59" s="18" t="n">
        <v>5</v>
      </c>
      <c r="L59" s="18" t="inlineStr">
        <is>
          <t>Some work, such as network calls and timers, does not belong in rendering, so effects run it after the screen updates.</t>
        </is>
      </c>
      <c r="M59" s="18" t="inlineStr">
        <is>
          <t>List every value used inside the effect in its dependency array, and return a cleanup function.</t>
        </is>
      </c>
      <c r="N59" s="17" t="n"/>
      <c r="O59" s="18" t="inlineStr">
        <is>
          <t>An effect is a side errand that runs after the main job is done.</t>
        </is>
      </c>
      <c r="P59" s="18" t="inlineStr">
        <is>
          <t>A render followed by an effect that runs when a dependency changes.</t>
        </is>
      </c>
      <c r="Q59" s="18" t="inlineStr">
        <is>
          <t>The relief of understanding why an effect ran twice.</t>
        </is>
      </c>
      <c r="R59" s="18" t="inlineStr">
        <is>
          <t>useEffect runs a function after render, re-runs it when listed dependencies change, and can return a cleanup function that runs before the next effect or on unmount.</t>
        </is>
      </c>
      <c r="S59" s="17" t="n"/>
      <c r="T59" s="19" t="inlineStr">
        <is>
          <t>useEffect(() =&gt; {
  const id = setInterval(() =&gt; setSeconds(s =&gt; s + 1), 1000);
  return () =&gt; clearInterval(id);
}, []);
useEffect(() =&gt; {
  document.title = `Unread ${count}`;
}, [count]);</t>
        </is>
      </c>
      <c r="U59" s="19" t="inlineStr">
        <is>
          <t>A timer ticks once per second and stops on unmount, and the page title follows count.</t>
        </is>
      </c>
      <c r="V59" s="18" t="inlineStr">
        <is>
          <t>An empty array runs the effect once after the first render. Without an array it runs after every render. Cleanup prevents leaks, such as leftover timers and listeners. In development, strict mode runs effects twice on purpose to expose missing cleanup. Do not use effects to compute values that can be calculated during render.</t>
        </is>
      </c>
      <c r="W59" s="18" t="inlineStr">
        <is>
          <t>Use effects for side work, list dependencies, and clean up after yourself.</t>
        </is>
      </c>
      <c r="X59" s="18" t="inlineStr">
        <is>
          <t>An effect is a side errand that runs after the main job is done.</t>
        </is>
      </c>
      <c r="Y59" s="19" t="inlineStr">
        <is>
          <t>useEffect(() =&gt; { ...; return cleanup; }, [dependencies])</t>
        </is>
      </c>
      <c r="Z59" s="18" t="inlineStr">
        <is>
          <t>function = the effect | return = cleanup | array = when to re-run</t>
        </is>
      </c>
      <c r="AA59" s="19" t="inlineStr">
        <is>
          <t>useEffect(() =&gt; { load(); }, [id]);</t>
        </is>
      </c>
      <c r="AB59" s="19" t="inlineStr">
        <is>
          <t>useEffect(() =&gt; { window.addEventListener("resize", f); return () =&gt; window.removeEventListener("resize", f); }, []);</t>
        </is>
      </c>
      <c r="AC59" s="19" t="inlineStr">
        <is>
          <t>useEffect(() =&gt; { log("every render"); });</t>
        </is>
      </c>
      <c r="AD59" s="19" t="inlineStr">
        <is>
          <t>useLayoutEffect(fn, deps)   // runs before the browser paints</t>
        </is>
      </c>
      <c r="AE59" s="18" t="inlineStr">
        <is>
          <t>state, fetch, timers</t>
        </is>
      </c>
      <c r="AF59" s="18" t="inlineStr">
        <is>
          <t>state, fetching data, components, timers</t>
        </is>
      </c>
      <c r="AG59" s="18" t="inlineStr">
        <is>
          <t>Event handlers | data libraries</t>
        </is>
      </c>
      <c r="AH59" s="17" t="n"/>
      <c r="AI59" s="18" t="inlineStr">
        <is>
          <t>Subscriptions | Timers | Data loading</t>
        </is>
      </c>
      <c r="AJ59" s="18" t="inlineStr">
        <is>
          <t>A: My effect runs on every render. | B: You left out the dependency array.</t>
        </is>
      </c>
      <c r="AK59" s="18" t="inlineStr">
        <is>
          <t>✗ An empty dependency array means the effect never reads fresh values → ✓ It runs once, so values used inside may become stale</t>
        </is>
      </c>
      <c r="AL59" s="18" t="inlineStr">
        <is>
          <t>Effect vs event handler: handlers respond to user actions, effects sync with outside systems.</t>
        </is>
      </c>
      <c r="AM59" s="18" t="inlineStr">
        <is>
          <t>Do not leave out cleanup for timers and listeners.</t>
        </is>
      </c>
      <c r="AN59" s="19" t="inlineStr">
        <is>
          <t>useEffect(() =&gt; { fetchData(id); }, []);   // misses id</t>
        </is>
      </c>
      <c r="AO59" s="19" t="inlineStr">
        <is>
          <t>useEffect(() =&gt; { fetchData(id); }, [id]);</t>
        </is>
      </c>
      <c r="AP59" s="18" t="inlineStr">
        <is>
          <t>Every used value belongs in the array.</t>
        </is>
      </c>
      <c r="AQ59" s="18" t="inlineStr">
        <is>
          <t>Adding cleanup to an effect stopped a memory leak from leftover listeners.</t>
        </is>
      </c>
      <c r="AR59" s="18" t="inlineStr">
        <is>
          <t>An interviewer may ask: When does useEffect run?</t>
        </is>
      </c>
      <c r="AS59" s="18" t="inlineStr">
        <is>
          <t>It is like a side errand after the main job.</t>
        </is>
      </c>
      <c r="AT59" s="18" t="inlineStr">
        <is>
          <t>When does an effect with an empty array run?</t>
        </is>
      </c>
      <c r="AU59" s="18" t="inlineStr">
        <is>
          <t>A) On every render B) Once after the first render C) On every click D) Never</t>
        </is>
      </c>
      <c r="AV59" s="18" t="inlineStr">
        <is>
          <t>B</t>
        </is>
      </c>
      <c r="AW59" s="18" t="inlineStr">
        <is>
          <t>No dependencies means no re-runs.</t>
        </is>
      </c>
      <c r="AX59" s="19" t="inlineStr">
        <is>
          <t>The function returned from an effect is called ____ → cleanup</t>
        </is>
      </c>
      <c r="AY59" s="18" t="inlineStr">
        <is>
          <t>Run a function when the id changes.</t>
        </is>
      </c>
      <c r="AZ59" s="19" t="inlineStr">
        <is>
          <t>useEffect(() =&gt; { load(id); }, [id]);</t>
        </is>
      </c>
      <c r="BA59" s="18" t="inlineStr">
        <is>
          <t>Write an effect that adds and removes a resize listener.</t>
        </is>
      </c>
      <c r="BB59" s="19" t="inlineStr">
        <is>
          <t>Why do effects run twice in development strict mode?</t>
        </is>
      </c>
      <c r="BC59" s="19" t="inlineStr">
        <is>
          <t>To expose missing cleanup logic.</t>
        </is>
      </c>
      <c r="BD59" s="17">
        <f>IF(K59="","",REPT("★",K59)&amp;REPT("☆",5-K59)&amp;" ("&amp;K59&amp;"/5)")</f>
        <v/>
      </c>
      <c r="BE59" s="17">
        <f>IF(S59="","","Meaning: "&amp;S59&amp;"  =  ______   (Answer: "&amp;F59&amp;")")</f>
        <v/>
      </c>
      <c r="BF59" s="17" t="inlineStr">
        <is>
          <t>New</t>
        </is>
      </c>
      <c r="BG59" s="17" t="n"/>
      <c r="BH59" s="17" t="n"/>
      <c r="BI59" s="17" t="n"/>
      <c r="BJ59" s="17" t="n"/>
      <c r="BK59" s="17" t="n"/>
      <c r="BL59" s="17" t="n"/>
      <c r="BM59" s="17" t="n"/>
      <c r="BN59" s="17" t="n"/>
    </row>
    <row r="60" ht="121.5" customHeight="1">
      <c r="A60" s="17" t="inlineStr">
        <is>
          <t>TS-058</t>
        </is>
      </c>
      <c r="B60" s="17" t="inlineStr">
        <is>
          <t>05 React Basics</t>
        </is>
      </c>
      <c r="C60" s="17" t="inlineStr">
        <is>
          <t>Beginner</t>
        </is>
      </c>
      <c r="D60" s="17" t="n">
        <v>58</v>
      </c>
      <c r="E60" s="17" t="inlineStr">
        <is>
          <t>Claude knowledge</t>
        </is>
      </c>
      <c r="F60" s="18" t="inlineStr">
        <is>
          <t>Lists and keys</t>
        </is>
      </c>
      <c r="G60" s="18" t="inlineStr">
        <is>
          <t>How do you render many items from an array, and why does each need a key?</t>
        </is>
      </c>
      <c r="H60" s="17" t="n"/>
      <c r="I60" s="18" t="inlineStr">
        <is>
          <t>React concept</t>
        </is>
      </c>
      <c r="J60" s="18" t="inlineStr">
        <is>
          <t>Very high</t>
        </is>
      </c>
      <c r="K60" s="18" t="n">
        <v>5</v>
      </c>
      <c r="L60" s="18" t="inlineStr">
        <is>
          <t>Interfaces often show lists, and React needs a stable identity per item to update the right one efficiently.</t>
        </is>
      </c>
      <c r="M60" s="18" t="inlineStr">
        <is>
          <t>Use a unique stable id as the key, not the array index.</t>
        </is>
      </c>
      <c r="N60" s="17" t="n"/>
      <c r="O60" s="18" t="inlineStr">
        <is>
          <t>A key is a name tag on each item so React can recognise it after the list changes.</t>
        </is>
      </c>
      <c r="P60" s="18" t="inlineStr">
        <is>
          <t>A list of rows each tagged with an id.</t>
        </is>
      </c>
      <c r="Q60" s="18" t="inlineStr">
        <is>
          <t>The comfort of lists that update correctly.</t>
        </is>
      </c>
      <c r="R60" s="18" t="inlineStr">
        <is>
          <t>You render a list by mapping an array to elements, and each element needs a unique, stable key prop so React can track it between renders.</t>
        </is>
      </c>
      <c r="S60" s="17" t="n"/>
      <c r="T60" s="19" t="inlineStr">
        <is>
          <t>const users = [{ id: 7, name: "Asha" }, { id: 9, name: "Ravi" }];
return (
  &lt;ul&gt;
    {users.map(u =&gt; (
      &lt;li key={u.id}&gt;{u.name}&lt;/li&gt;
    ))}
  &lt;/ul&gt;
);</t>
        </is>
      </c>
      <c r="U60" s="19" t="inlineStr">
        <is>
          <t>A bullet list with Asha and Ravi, each tracked by its id.</t>
        </is>
      </c>
      <c r="V60" s="18" t="inlineStr">
        <is>
          <t>Keys need to be unique among siblings, and they should stay with the same item. Index keys cause bugs when items are reordered or removed, because state can attach to the wrong row. The key is not passed to the component as a prop. When items have no id, create one when the data is created.</t>
        </is>
      </c>
      <c r="W60" s="18" t="inlineStr">
        <is>
          <t>Map the array to elements and give each a unique id as key.</t>
        </is>
      </c>
      <c r="X60" s="18" t="inlineStr">
        <is>
          <t>A key is a name tag on each item so React recognises it after the list changes.</t>
        </is>
      </c>
      <c r="Y60" s="19" t="inlineStr">
        <is>
          <t>{items.map(item =&gt; &lt;Item key={item.id} {...item} /&gt;)}</t>
        </is>
      </c>
      <c r="Z60" s="18" t="inlineStr">
        <is>
          <t>map = one element per item | key = stable identity | id = best key source</t>
        </is>
      </c>
      <c r="AA60" s="19" t="inlineStr">
        <is>
          <t>{rows.map(r =&gt; &lt;Row key={r.id} row={r} /&gt;)}</t>
        </is>
      </c>
      <c r="AB60" s="19" t="inlineStr">
        <is>
          <t>{tags.map(t =&gt; &lt;span key={t}&gt;{t}&lt;/span&gt;)}</t>
        </is>
      </c>
      <c r="AC60" s="19" t="inlineStr">
        <is>
          <t>{items.length === 0 ? &lt;p&gt;Empty&lt;/p&gt; : &lt;List items={items} /&gt;}</t>
        </is>
      </c>
      <c r="AD60" s="19" t="inlineStr">
        <is>
          <t>&lt;Fragment key={id}&gt;...&lt;/Fragment&gt;   // keys on fragments</t>
        </is>
      </c>
      <c r="AE60" s="18" t="inlineStr">
        <is>
          <t>components, state, conditional rendering</t>
        </is>
      </c>
      <c r="AF60" s="18" t="inlineStr">
        <is>
          <t>components, state, conditional rendering, array methods</t>
        </is>
      </c>
      <c r="AG60" s="18" t="inlineStr">
        <is>
          <t>Virtualised lists for huge data</t>
        </is>
      </c>
      <c r="AH60" s="17" t="n"/>
      <c r="AI60" s="18" t="inlineStr">
        <is>
          <t>Tables | Menus | Feeds</t>
        </is>
      </c>
      <c r="AJ60" s="18" t="inlineStr">
        <is>
          <t>A: Typing in one row changes another row after sorting. | B: You used the index as the key, so use a stable id.</t>
        </is>
      </c>
      <c r="AK60" s="18" t="inlineStr">
        <is>
          <t>✗ The array index is always a fine key → ✓ It breaks when the list is reordered or filtered</t>
        </is>
      </c>
      <c r="AL60" s="18" t="inlineStr">
        <is>
          <t>key vs id prop: key is for React only, id is data you pass yourself.</t>
        </is>
      </c>
      <c r="AM60" s="18" t="inlineStr">
        <is>
          <t>Do not use random values as keys.</t>
        </is>
      </c>
      <c r="AN60" s="19" t="inlineStr">
        <is>
          <t>{items.map((x, i) =&gt; &lt;Row key={i} item={x} /&gt;)}</t>
        </is>
      </c>
      <c r="AO60" s="19" t="inlineStr">
        <is>
          <t>{items.map(x =&gt; &lt;Row key={x.id} item={x} /&gt;)}</t>
        </is>
      </c>
      <c r="AP60" s="18" t="inlineStr">
        <is>
          <t>Stable ids make safe keys.</t>
        </is>
      </c>
      <c r="AQ60" s="18" t="inlineStr">
        <is>
          <t>Switching from index keys to ids fixed inputs that kept the wrong text after sorting.</t>
        </is>
      </c>
      <c r="AR60" s="18" t="inlineStr">
        <is>
          <t>An interviewer may ask: Why does React need keys?</t>
        </is>
      </c>
      <c r="AS60" s="18" t="inlineStr">
        <is>
          <t>It is like a name tag on each item.</t>
        </is>
      </c>
      <c r="AT60" s="18" t="inlineStr">
        <is>
          <t>What makes a good key?</t>
        </is>
      </c>
      <c r="AU60" s="18" t="inlineStr">
        <is>
          <t>A) The array index B) The item colour C) A unique stable id D) A random number each render</t>
        </is>
      </c>
      <c r="AV60" s="18" t="inlineStr">
        <is>
          <t>C</t>
        </is>
      </c>
      <c r="AW60" s="18" t="inlineStr">
        <is>
          <t>It identifies the same item across renders.</t>
        </is>
      </c>
      <c r="AX60" s="19" t="inlineStr">
        <is>
          <t>Each item in a mapped list needs a unique ____ → key</t>
        </is>
      </c>
      <c r="AY60" s="18" t="inlineStr">
        <is>
          <t>Render a list of names with keys.</t>
        </is>
      </c>
      <c r="AZ60" s="19" t="inlineStr">
        <is>
          <t>{names.map(n =&gt; &lt;li key={n}&gt;{n}&lt;/li&gt;)}</t>
        </is>
      </c>
      <c r="BA60" s="18" t="inlineStr">
        <is>
          <t>Render a list of users that shows a message when the list is empty.</t>
        </is>
      </c>
      <c r="BB60" s="19" t="inlineStr">
        <is>
          <t>Why can index keys cause bugs?</t>
        </is>
      </c>
      <c r="BC60" s="19" t="inlineStr">
        <is>
          <t>Reordering makes state attach to the wrong item.</t>
        </is>
      </c>
      <c r="BD60" s="17">
        <f>IF(K60="","",REPT("★",K60)&amp;REPT("☆",5-K60)&amp;" ("&amp;K60&amp;"/5)")</f>
        <v/>
      </c>
      <c r="BE60" s="17">
        <f>IF(S60="","","Meaning: "&amp;S60&amp;"  =  ______   (Answer: "&amp;F60&amp;")")</f>
        <v/>
      </c>
      <c r="BF60" s="17" t="inlineStr">
        <is>
          <t>New</t>
        </is>
      </c>
      <c r="BG60" s="17" t="n"/>
      <c r="BH60" s="17" t="n"/>
      <c r="BI60" s="17" t="n"/>
      <c r="BJ60" s="17" t="n"/>
      <c r="BK60" s="17" t="n"/>
      <c r="BL60" s="17" t="n"/>
      <c r="BM60" s="17" t="n"/>
      <c r="BN60" s="17" t="n"/>
    </row>
    <row r="61" ht="135" customHeight="1">
      <c r="A61" s="17" t="inlineStr">
        <is>
          <t>TS-059</t>
        </is>
      </c>
      <c r="B61" s="17" t="inlineStr">
        <is>
          <t>05 React Basics</t>
        </is>
      </c>
      <c r="C61" s="17" t="inlineStr">
        <is>
          <t>Beginner</t>
        </is>
      </c>
      <c r="D61" s="17" t="n">
        <v>59</v>
      </c>
      <c r="E61" s="17" t="inlineStr">
        <is>
          <t>Claude knowledge</t>
        </is>
      </c>
      <c r="F61" s="18" t="inlineStr">
        <is>
          <t>Conditional rendering</t>
        </is>
      </c>
      <c r="G61" s="18" t="inlineStr">
        <is>
          <t>How do you show different content depending on state or props?</t>
        </is>
      </c>
      <c r="H61" s="17" t="n"/>
      <c r="I61" s="18" t="inlineStr">
        <is>
          <t>React concept</t>
        </is>
      </c>
      <c r="J61" s="18" t="inlineStr">
        <is>
          <t>Very high</t>
        </is>
      </c>
      <c r="K61" s="18" t="n">
        <v>4</v>
      </c>
      <c r="L61" s="18" t="inlineStr">
        <is>
          <t>Interfaces change with data, such as loading and error states, so components choose what to show using normal JavaScript conditions.</t>
        </is>
      </c>
      <c r="M61" s="18" t="inlineStr">
        <is>
          <t>Handle loading, error and empty states explicitly.</t>
        </is>
      </c>
      <c r="N61" s="17" t="n"/>
      <c r="O61" s="18" t="inlineStr">
        <is>
          <t>Conditional rendering is a stage manager who decides which scene appears.</t>
        </is>
      </c>
      <c r="P61" s="18" t="inlineStr">
        <is>
          <t>A branch with a loading view and a loaded view.</t>
        </is>
      </c>
      <c r="Q61" s="18" t="inlineStr">
        <is>
          <t>The calm of an interface that explains every state.</t>
        </is>
      </c>
      <c r="R61" s="18" t="inlineStr">
        <is>
          <t>Conditional rendering uses if statements, the ternary operator or the and operator to decide which JSX to return.</t>
        </is>
      </c>
      <c r="S61" s="17" t="n"/>
      <c r="T61" s="19" t="inlineStr">
        <is>
          <t>function Inbox({ loading, error, messages }: { loading: boolean; error?: string; messages: string[] }) {
  if (loading) return &lt;p&gt;Loading...&lt;/p&gt;;
  if (error) return &lt;p role="alert"&gt;{error} Try again.&lt;/p&gt;;
  return messages.length ? &lt;ul&gt;{messages.map(m =&gt; &lt;li key={m}&gt;{m}&lt;/li&gt;)}&lt;/ul&gt; : &lt;p&gt;No messages yet.&lt;/p&gt;;
}</t>
        </is>
      </c>
      <c r="U61" s="19" t="inlineStr">
        <is>
          <t>One of four views appears: loading, an error with advice, a list or an empty note.</t>
        </is>
      </c>
      <c r="V61" s="18" t="inlineStr">
        <is>
          <t>Early returns keep components readable. The ternary suits choosing between two views, and the and operator suits showing or hiding one. Beware that zero in count &amp;&amp; view renders the zero. Hide elements with null, which renders nothing. Every error message should tell the user what to do next.</t>
        </is>
      </c>
      <c r="W61" s="18" t="inlineStr">
        <is>
          <t>Use early returns for states, ternaries for either-or, and and for show-or-hide.</t>
        </is>
      </c>
      <c r="X61" s="18" t="inlineStr">
        <is>
          <t>Conditional rendering is a stage manager who decides which scene appears.</t>
        </is>
      </c>
      <c r="Y61" s="19" t="inlineStr">
        <is>
          <t>if (cond) return &lt;A /&gt;; | cond ? &lt;A /&gt; : &lt;B /&gt; | cond &amp;&amp; &lt;A /&gt;</t>
        </is>
      </c>
      <c r="Z61" s="18" t="inlineStr">
        <is>
          <t>early return = states | ternary = two options | &amp;&amp; = show or nothing</t>
        </is>
      </c>
      <c r="AA61" s="19" t="inlineStr">
        <is>
          <t>{isAdmin &amp;&amp; &lt;AdminPanel /&gt;}</t>
        </is>
      </c>
      <c r="AB61" s="19" t="inlineStr">
        <is>
          <t>{user ? &lt;Welcome /&gt; : &lt;Login /&gt;}</t>
        </is>
      </c>
      <c r="AC61" s="19" t="inlineStr">
        <is>
          <t>if (!data) return null;</t>
        </is>
      </c>
      <c r="AD61" s="19" t="inlineStr">
        <is>
          <t>{count &gt; 0 &amp;&amp; &lt;Badge n={count} /&gt;}   // avoids rendering a bare zero</t>
        </is>
      </c>
      <c r="AE61" s="18" t="inlineStr">
        <is>
          <t>state, props, fetching data</t>
        </is>
      </c>
      <c r="AF61" s="18" t="inlineStr">
        <is>
          <t>JSX, state, lists and keys, fetching data</t>
        </is>
      </c>
      <c r="AG61" s="18" t="inlineStr">
        <is>
          <t>Separate components per state</t>
        </is>
      </c>
      <c r="AH61" s="17" t="n"/>
      <c r="AI61" s="18" t="inlineStr">
        <is>
          <t>Loading states | Permissions | Empty views</t>
        </is>
      </c>
      <c r="AJ61" s="18" t="inlineStr">
        <is>
          <t>A: A zero shows on the screen. | B: count and the view renders zero, so compare with greater than zero.</t>
        </is>
      </c>
      <c r="AK61" s="18" t="inlineStr">
        <is>
          <t>✗ cond &amp;&amp; view always renders nothing when false → ✓ If cond is zero, the zero is rendered</t>
        </is>
      </c>
      <c r="AL61" s="18" t="inlineStr">
        <is>
          <t>null vs undefined return: a component may return null, but returning undefined was an error in older versions.</t>
        </is>
      </c>
      <c r="AM61" s="18" t="inlineStr">
        <is>
          <t>Do not leave loading and error states unhandled.</t>
        </is>
      </c>
      <c r="AN61" s="19" t="inlineStr">
        <is>
          <t>{count &amp;&amp; &lt;Badge n={count} /&gt;}</t>
        </is>
      </c>
      <c r="AO61" s="19" t="inlineStr">
        <is>
          <t>{count &gt; 0 &amp;&amp; &lt;Badge n={count} /&gt;}</t>
        </is>
      </c>
      <c r="AP61" s="18" t="inlineStr">
        <is>
          <t>Compare numbers before using and.</t>
        </is>
      </c>
      <c r="AQ61" s="18" t="inlineStr">
        <is>
          <t>Adding clear loading and error views stopped users seeing a blank screen.</t>
        </is>
      </c>
      <c r="AR61" s="18" t="inlineStr">
        <is>
          <t>An interviewer may ask: How do you render different content in React?</t>
        </is>
      </c>
      <c r="AS61" s="18" t="inlineStr">
        <is>
          <t>It is like a stage manager choosing the scene.</t>
        </is>
      </c>
      <c r="AT61" s="18" t="inlineStr">
        <is>
          <t>What does a component return to render nothing?</t>
        </is>
      </c>
      <c r="AU61" s="18" t="inlineStr">
        <is>
          <t>A) null B) a space C) zero D) a number</t>
        </is>
      </c>
      <c r="AV61" s="18" t="inlineStr">
        <is>
          <t>A</t>
        </is>
      </c>
      <c r="AW61" s="18" t="inlineStr">
        <is>
          <t>Returning null renders nothing.</t>
        </is>
      </c>
      <c r="AX61" s="19" t="inlineStr">
        <is>
          <t>The short form for either-or in JSX uses the ____ operator → ternary</t>
        </is>
      </c>
      <c r="AY61" s="18" t="inlineStr">
        <is>
          <t>Show a message only when loading is true.</t>
        </is>
      </c>
      <c r="AZ61" s="19" t="inlineStr">
        <is>
          <t>{loading &amp;&amp; &lt;p&gt;Loading...&lt;/p&gt;}</t>
        </is>
      </c>
      <c r="BA61" s="18" t="inlineStr">
        <is>
          <t>Write a component with loading, error and empty states.</t>
        </is>
      </c>
      <c r="BB61" s="19" t="inlineStr">
        <is>
          <t>Why does count &amp;&amp; view sometimes show a zero?</t>
        </is>
      </c>
      <c r="BC61" s="19" t="inlineStr">
        <is>
          <t>Zero is falsy, but React still renders the number zero.</t>
        </is>
      </c>
      <c r="BD61" s="17">
        <f>IF(K61="","",REPT("★",K61)&amp;REPT("☆",5-K61)&amp;" ("&amp;K61&amp;"/5)")</f>
        <v/>
      </c>
      <c r="BE61" s="17">
        <f>IF(S61="","","Meaning: "&amp;S61&amp;"  =  ______   (Answer: "&amp;F61&amp;")")</f>
        <v/>
      </c>
      <c r="BF61" s="17" t="inlineStr">
        <is>
          <t>New</t>
        </is>
      </c>
      <c r="BG61" s="17" t="n"/>
      <c r="BH61" s="17" t="n"/>
      <c r="BI61" s="17" t="n"/>
      <c r="BJ61" s="17" t="n"/>
      <c r="BK61" s="17" t="n"/>
      <c r="BL61" s="17" t="n"/>
      <c r="BM61" s="17" t="n"/>
      <c r="BN61" s="17" t="n"/>
    </row>
    <row r="62" ht="337.5" customHeight="1">
      <c r="A62" s="17" t="inlineStr">
        <is>
          <t>TS-060</t>
        </is>
      </c>
      <c r="B62" s="17" t="inlineStr">
        <is>
          <t>05 React Basics</t>
        </is>
      </c>
      <c r="C62" s="17" t="inlineStr">
        <is>
          <t>Intermediate</t>
        </is>
      </c>
      <c r="D62" s="17" t="n">
        <v>60</v>
      </c>
      <c r="E62" s="17" t="inlineStr">
        <is>
          <t>Claude knowledge</t>
        </is>
      </c>
      <c r="F62" s="18" t="inlineStr">
        <is>
          <t>Fetching data in React</t>
        </is>
      </c>
      <c r="G62" s="18" t="inlineStr">
        <is>
          <t>How do you load data from an API into a component and handle each state?</t>
        </is>
      </c>
      <c r="H62" s="17" t="n"/>
      <c r="I62" s="18" t="inlineStr">
        <is>
          <t>React concept</t>
        </is>
      </c>
      <c r="J62" s="18" t="inlineStr">
        <is>
          <t>Very high</t>
        </is>
      </c>
      <c r="K62" s="18" t="n">
        <v>5</v>
      </c>
      <c r="L62" s="18" t="inlineStr">
        <is>
          <t>Most interfaces show server data, so components need a pattern to load, show progress, handle errors and avoid stale results.</t>
        </is>
      </c>
      <c r="M62" s="18" t="inlineStr">
        <is>
          <t>Cancel or ignore outdated requests, and use a data library for anything beyond a simple case.</t>
        </is>
      </c>
      <c r="N62" s="17" t="n"/>
      <c r="O62" s="18" t="inlineStr">
        <is>
          <t>Fetching is sending an order and showing a waiting sign until it arrives.</t>
        </is>
      </c>
      <c r="P62" s="18" t="inlineStr">
        <is>
          <t>A component moving from loading to loaded or failed.</t>
        </is>
      </c>
      <c r="Q62" s="18" t="inlineStr">
        <is>
          <t>The pleasure of a screen that always shows what is happening.</t>
        </is>
      </c>
      <c r="R62" s="18" t="inlineStr">
        <is>
          <t>A component keeps data, loading and error state, loads data in an effect, and cancels the request if the component changes or unmounts.</t>
        </is>
      </c>
      <c r="S62" s="17" t="n"/>
      <c r="T62" s="19" t="inlineStr">
        <is>
          <t>function Users() {
  const [users, setUsers] = useState&lt;User[]&gt;([]);
  const [state, setState] = useState&lt;"loading" | "error" | "done"&gt;("loading");
  useEffect(() =&gt; {
    const ctrl = new AbortController();
    fetch("/api/users", { signal: ctrl.signal })
      .then(r =&gt; { if (!r.ok) throw new Error(String(r.status)); return r.json(); })
      .then(data =&gt; { setUsers(data); setState("done"); })
      .catch(e =&gt; { if (e.name !== "AbortError") setState("error"); });
    return () =&gt; ctrl.abort();
  }, []);
  if (state === "loading") return &lt;p&gt;Loading...&lt;/p&gt;;
  if (state === "error") return &lt;p role="alert"&gt;Could not load users. Check your connection and retry.&lt;/p&gt;;
  return &lt;ul&gt;{users.map(u =&gt; &lt;li key={u.id}&gt;{u.name}&lt;/li&gt;)}&lt;/ul&gt;;
}</t>
        </is>
      </c>
      <c r="U62" s="19" t="inlineStr">
        <is>
          <t>The screen shows loading, then either the user list or a helpful error message.</t>
        </is>
      </c>
      <c r="V62" s="18" t="inlineStr">
        <is>
          <t>The effect starts the request, and the cleanup aborts it if the component unmounts, which avoids updating state on a gone component and stops races between old and new requests. Check response.ok, since fetch does not reject on error statuses. Libraries such as TanStack Query add caching, retries and deduplication. Server components in newer frameworks can load data without effects.</t>
        </is>
      </c>
      <c r="W62" s="18" t="inlineStr">
        <is>
          <t>Track loading, error and data, fetch in an effect, and abort on cleanup.</t>
        </is>
      </c>
      <c r="X62" s="18" t="inlineStr">
        <is>
          <t>Fetching is sending an order and showing a waiting sign until it arrives.</t>
        </is>
      </c>
      <c r="Y62" s="19" t="inlineStr">
        <is>
          <t>useEffect(() =&gt; { fetch(...).then(...); return () =&gt; ctrl.abort(); }, [deps])</t>
        </is>
      </c>
      <c r="Z62" s="18" t="inlineStr">
        <is>
          <t>state = data, loading, error | AbortController = cancel | cleanup = abort on unmount</t>
        </is>
      </c>
      <c r="AA62" s="19" t="inlineStr">
        <is>
          <t>const { data, isLoading } = useQuery({ queryKey: ["users"], queryFn: loadUsers });</t>
        </is>
      </c>
      <c r="AB62" s="19" t="inlineStr">
        <is>
          <t>setState("loading") before a new request</t>
        </is>
      </c>
      <c r="AC62" s="19" t="inlineStr">
        <is>
          <t>if (!res.ok) throw new Error(`HTTP ${res.status}`);</t>
        </is>
      </c>
      <c r="AD62" s="19" t="inlineStr">
        <is>
          <t>const data = await fetch(url).then(r =&gt; r.json());   // in a server component</t>
        </is>
      </c>
      <c r="AE62" s="18" t="inlineStr">
        <is>
          <t>state, useEffect, conditional rendering</t>
        </is>
      </c>
      <c r="AF62" s="18" t="inlineStr">
        <is>
          <t>useEffect, state, fetch, conditional rendering</t>
        </is>
      </c>
      <c r="AG62" s="18" t="inlineStr">
        <is>
          <t>TanStack Query | SWR | server components</t>
        </is>
      </c>
      <c r="AH62" s="17" t="n"/>
      <c r="AI62" s="18" t="inlineStr">
        <is>
          <t>Dashboards | Lists | Detail pages</t>
        </is>
      </c>
      <c r="AJ62" s="18" t="inlineStr">
        <is>
          <t>A: Old results flash after I change the filter. | B: Abort the previous request in the effect cleanup.</t>
        </is>
      </c>
      <c r="AK62" s="18" t="inlineStr">
        <is>
          <t>✗ Data fetching always belongs in useEffect → ✓ Data libraries and server components often handle it better</t>
        </is>
      </c>
      <c r="AL62" s="18" t="inlineStr">
        <is>
          <t>Loading vs empty: loading means waiting, empty means a finished request with no items.</t>
        </is>
      </c>
      <c r="AM62" s="18" t="inlineStr">
        <is>
          <t>Do not ignore errors or leave the user on a blank screen.</t>
        </is>
      </c>
      <c r="AN62" s="19" t="inlineStr">
        <is>
          <t>useEffect(async () =&gt; { await load(); }, []);</t>
        </is>
      </c>
      <c r="AO62" s="19" t="inlineStr">
        <is>
          <t>useEffect(() =&gt; { load(); }, []);</t>
        </is>
      </c>
      <c r="AP62" s="18" t="inlineStr">
        <is>
          <t>Loading, error, data, always show all three.</t>
        </is>
      </c>
      <c r="AQ62" s="18" t="inlineStr">
        <is>
          <t>Adding abort and error states fixed a flickering list during fast filter changes.</t>
        </is>
      </c>
      <c r="AR62" s="18" t="inlineStr">
        <is>
          <t>An interviewer may ask: How do you avoid race conditions when fetching in an effect?</t>
        </is>
      </c>
      <c r="AS62" s="18" t="inlineStr">
        <is>
          <t>It is like an order with a waiting sign.</t>
        </is>
      </c>
      <c r="AT62" s="18" t="inlineStr">
        <is>
          <t>Why abort a request in the effect cleanup?</t>
        </is>
      </c>
      <c r="AU62" s="18" t="inlineStr">
        <is>
          <t>A) To speed up the server B) To save memory only C) To hide errors D) To avoid stale or unmounted updates</t>
        </is>
      </c>
      <c r="AV62" s="18" t="inlineStr">
        <is>
          <t>D</t>
        </is>
      </c>
      <c r="AW62" s="18" t="inlineStr">
        <is>
          <t>Old requests must not overwrite newer results.</t>
        </is>
      </c>
      <c r="AX62" s="19" t="inlineStr">
        <is>
          <t>The browser API used to cancel a fetch is AbortController and its ____ → signal</t>
        </is>
      </c>
      <c r="AY62" s="18" t="inlineStr">
        <is>
          <t>Show a loading message until the data arrives.</t>
        </is>
      </c>
      <c r="AZ62" s="19" t="inlineStr">
        <is>
          <t>if (state === "loading") return &lt;p&gt;Loading...&lt;/p&gt;;</t>
        </is>
      </c>
      <c r="BA62" s="18" t="inlineStr">
        <is>
          <t>Add an error state with a retry hint to a data component.</t>
        </is>
      </c>
      <c r="BB62" s="19" t="inlineStr">
        <is>
          <t>Can an effect callback be async directly?</t>
        </is>
      </c>
      <c r="BC62" s="19" t="inlineStr">
        <is>
          <t>No, it must return a cleanup function or nothing.</t>
        </is>
      </c>
      <c r="BD62" s="17">
        <f>IF(K62="","",REPT("★",K62)&amp;REPT("☆",5-K62)&amp;" ("&amp;K62&amp;"/5)")</f>
        <v/>
      </c>
      <c r="BE62" s="17">
        <f>IF(S62="","","Meaning: "&amp;S62&amp;"  =  ______   (Answer: "&amp;F62&amp;")")</f>
        <v/>
      </c>
      <c r="BF62" s="17" t="inlineStr">
        <is>
          <t>New</t>
        </is>
      </c>
      <c r="BG62" s="17" t="n"/>
      <c r="BH62" s="17" t="n"/>
      <c r="BI62" s="17" t="n"/>
      <c r="BJ62" s="17" t="n"/>
      <c r="BK62" s="17" t="n"/>
      <c r="BL62" s="17" t="n"/>
      <c r="BM62" s="17" t="n"/>
      <c r="BN62" s="17" t="n"/>
    </row>
  </sheetData>
  <autoFilter ref="A2:BN62"/>
  <mergeCells count="6">
    <mergeCell ref="AT1:BC1"/>
    <mergeCell ref="BD1:BE1"/>
    <mergeCell ref="F1:Q1"/>
    <mergeCell ref="A1:E1"/>
    <mergeCell ref="BF1:BN1"/>
    <mergeCell ref="R1:AS1"/>
  </mergeCells>
  <dataValidations count="2">
    <dataValidation sqref="BF3:BF62" showDropDown="0" showInputMessage="0" showErrorMessage="0" allowBlank="1" type="list">
      <formula1>"New,Learning,Known"</formula1>
    </dataValidation>
    <dataValidation sqref="BM3:BM62"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TS-001</t>
        </is>
      </c>
    </row>
    <row r="4">
      <c r="A4" s="23" t="inlineStr">
        <is>
          <t>FRONT · Recognition (pehchano)</t>
        </is>
      </c>
    </row>
    <row r="5" ht="30" customHeight="1">
      <c r="A5" s="24" t="inlineStr">
        <is>
          <t>ID</t>
        </is>
      </c>
      <c r="B5" s="17">
        <f>INDEX('Code concept (56-pt) cards'!$A$3:$BN$62,MATCH($B$2,'Code concept (56-pt) cards'!$A$3:$A$62,0),MATCH("ID",'Code concept (56-pt) cards'!$A$2:$BN$2,0))&amp;""</f>
        <v/>
      </c>
    </row>
    <row r="6" ht="30" customHeight="1">
      <c r="A6" s="24" t="inlineStr">
        <is>
          <t>Topic</t>
        </is>
      </c>
      <c r="B6" s="17">
        <f>INDEX('Code concept (56-pt) cards'!$A$3:$BN$62,MATCH($B$2,'Code concept (56-pt) cards'!$A$3:$A$62,0),MATCH("Topic",'Code concept (56-pt) cards'!$A$2:$BN$2,0))&amp;""</f>
        <v/>
      </c>
    </row>
    <row r="7" ht="30" customHeight="1">
      <c r="A7" s="24" t="inlineStr">
        <is>
          <t>Level</t>
        </is>
      </c>
      <c r="B7" s="17">
        <f>INDEX('Code concept (56-pt) cards'!$A$3:$BN$62,MATCH($B$2,'Code concept (56-pt) cards'!$A$3:$A$62,0),MATCH("Level",'Code concept (56-pt) cards'!$A$2:$BN$2,0))&amp;""</f>
        <v/>
      </c>
    </row>
    <row r="8" ht="30" customHeight="1">
      <c r="A8" s="24" t="inlineStr">
        <is>
          <t>Concept</t>
        </is>
      </c>
      <c r="B8" s="17">
        <f>INDEX('Code concept (56-pt) cards'!$A$3:$BN$62,MATCH($B$2,'Code concept (56-pt) cards'!$A$3:$A$62,0),MATCH("Concept",'Code concept (56-pt) cards'!$A$2:$BN$2,0))&amp;""</f>
        <v/>
      </c>
    </row>
    <row r="9" ht="30" customHeight="1">
      <c r="A9" s="24" t="inlineStr">
        <is>
          <t>Recall cue</t>
        </is>
      </c>
      <c r="B9" s="17">
        <f>INDEX('Code concept (56-pt) cards'!$A$3:$BN$62,MATCH($B$2,'Code concept (56-pt) cards'!$A$3:$A$62,0),MATCH("Recall cue",'Code concept (56-pt) cards'!$A$2:$BN$2,0))&amp;""</f>
        <v/>
      </c>
    </row>
    <row r="10" ht="30" customHeight="1">
      <c r="A10" s="24" t="inlineStr">
        <is>
          <t>Read aloud</t>
        </is>
      </c>
      <c r="B10" s="17">
        <f>INDEX('Code concept (56-pt) cards'!$A$3:$BN$62,MATCH($B$2,'Code concept (56-pt) cards'!$A$3:$A$62,0),MATCH("Read aloud",'Code concept (56-pt) cards'!$A$2:$BN$2,0))&amp;""</f>
        <v/>
      </c>
    </row>
    <row r="11" ht="30" customHeight="1">
      <c r="A11" s="24" t="inlineStr">
        <is>
          <t>Type</t>
        </is>
      </c>
      <c r="B11" s="17">
        <f>INDEX('Code concept (56-pt) cards'!$A$3:$BN$62,MATCH($B$2,'Code concept (56-pt) cards'!$A$3:$A$62,0),MATCH("Type",'Code concept (56-pt) cards'!$A$2:$BN$2,0))&amp;""</f>
        <v/>
      </c>
    </row>
    <row r="12" ht="30" customHeight="1">
      <c r="A12" s="24" t="inlineStr">
        <is>
          <t>How often used</t>
        </is>
      </c>
      <c r="B12" s="17">
        <f>INDEX('Code concept (56-pt) cards'!$A$3:$BN$62,MATCH($B$2,'Code concept (56-pt) cards'!$A$3:$A$62,0),MATCH("How often used",'Code concept (56-pt) cards'!$A$2:$BN$2,0))&amp;""</f>
        <v/>
      </c>
    </row>
    <row r="13" ht="30" customHeight="1">
      <c r="A13" s="24" t="inlineStr">
        <is>
          <t>Importance (1-5)</t>
        </is>
      </c>
      <c r="B13" s="17">
        <f>INDEX('Code concept (56-pt) cards'!$A$3:$BN$62,MATCH($B$2,'Code concept (56-pt) cards'!$A$3:$A$62,0),MATCH("Importance (1-5)",'Code concept (56-pt) cards'!$A$2:$BN$2,0))&amp;""</f>
        <v/>
      </c>
    </row>
    <row r="14" ht="30" customHeight="1">
      <c r="A14" s="24" t="inlineStr">
        <is>
          <t>Origin / why it exists</t>
        </is>
      </c>
      <c r="B14" s="17">
        <f>INDEX('Code concept (56-pt) cards'!$A$3:$BN$62,MATCH($B$2,'Code concept (56-pt) cards'!$A$3:$A$62,0),MATCH("Origin / why it exists",'Code concept (56-pt) cards'!$A$2:$BN$2,0))&amp;""</f>
        <v/>
      </c>
    </row>
    <row r="15" ht="30" customHeight="1">
      <c r="A15" s="24" t="inlineStr">
        <is>
          <t>Pro tip</t>
        </is>
      </c>
      <c r="B15" s="17">
        <f>INDEX('Code concept (56-pt) cards'!$A$3:$BN$62,MATCH($B$2,'Code concept (56-pt) cards'!$A$3:$A$62,0),MATCH("Pro tip",'Code concept (56-pt) cards'!$A$2:$BN$2,0))&amp;""</f>
        <v/>
      </c>
    </row>
    <row r="16" ht="30" customHeight="1">
      <c r="A16" s="24" t="inlineStr">
        <is>
          <t>Typing hint</t>
        </is>
      </c>
      <c r="B16" s="17">
        <f>INDEX('Code concept (56-pt) cards'!$A$3:$BN$62,MATCH($B$2,'Code concept (56-pt) cards'!$A$3:$A$62,0),MATCH("Typing hint",'Code concept (56-pt) cards'!$A$2:$BN$2,0))&amp;""</f>
        <v/>
      </c>
    </row>
    <row r="17" ht="30" customHeight="1">
      <c r="A17" s="24" t="inlineStr">
        <is>
          <t>Memory story</t>
        </is>
      </c>
      <c r="B17" s="17">
        <f>INDEX('Code concept (56-pt) cards'!$A$3:$BN$62,MATCH($B$2,'Code concept (56-pt) cards'!$A$3:$A$62,0),MATCH("Memory story",'Code concept (56-pt) cards'!$A$2:$BN$2,0))&amp;""</f>
        <v/>
      </c>
    </row>
    <row r="18" ht="30" customHeight="1">
      <c r="A18" s="24" t="inlineStr">
        <is>
          <t>Picture it</t>
        </is>
      </c>
      <c r="B18" s="17">
        <f>INDEX('Code concept (56-pt) cards'!$A$3:$BN$62,MATCH($B$2,'Code concept (56-pt) cards'!$A$3:$A$62,0),MATCH("Picture it",'Code concept (56-pt) cards'!$A$2:$BN$2,0))&amp;""</f>
        <v/>
      </c>
    </row>
    <row r="19" ht="30" customHeight="1">
      <c r="A19" s="24" t="inlineStr">
        <is>
          <t>Emotion hook</t>
        </is>
      </c>
      <c r="B19" s="17">
        <f>INDEX('Code concept (56-pt) cards'!$A$3:$BN$62,MATCH($B$2,'Code concept (56-pt) cards'!$A$3:$A$62,0),MATCH("Emotion hook",'Code concept (56-pt) cards'!$A$2:$BN$2,0))&amp;""</f>
        <v/>
      </c>
    </row>
    <row r="20" ht="30" customHeight="1">
      <c r="A20" s="24" t="inlineStr">
        <is>
          <t>Importance ★</t>
        </is>
      </c>
      <c r="B20" s="17">
        <f>INDEX('Code concept (56-pt) cards'!$A$3:$BN$62,MATCH($B$2,'Code concept (56-pt) cards'!$A$3:$A$62,0),MATCH("Importance ★",'Code concept (56-pt) cards'!$A$2:$BN$2,0))&amp;""</f>
        <v/>
      </c>
    </row>
    <row r="21">
      <c r="A21" s="25" t="inlineStr">
        <is>
          <t>BACK · Understanding (samjho)</t>
        </is>
      </c>
    </row>
    <row r="22" ht="30" customHeight="1">
      <c r="A22" s="24" t="inlineStr">
        <is>
          <t>Meaning (short)</t>
        </is>
      </c>
      <c r="B22" s="17">
        <f>INDEX('Code concept (56-pt) cards'!$A$3:$BN$62,MATCH($B$2,'Code concept (56-pt) cards'!$A$3:$A$62,0),MATCH("Meaning (short)",'Code concept (56-pt) cards'!$A$2:$BN$2,0))&amp;""</f>
        <v/>
      </c>
    </row>
    <row r="23" ht="30" customHeight="1">
      <c r="A23" s="24" t="inlineStr">
        <is>
          <t>Meaning in learner's language</t>
        </is>
      </c>
      <c r="B23" s="17">
        <f>INDEX('Code concept (56-pt) cards'!$A$3:$BN$62,MATCH($B$2,'Code concept (56-pt) cards'!$A$3:$A$62,0),MATCH("Meaning in learner's language",'Code concept (56-pt) cards'!$A$2:$BN$2,0))&amp;""</f>
        <v/>
      </c>
    </row>
    <row r="24" ht="216" customHeight="1">
      <c r="A24" s="24" t="inlineStr">
        <is>
          <t>Code</t>
        </is>
      </c>
      <c r="B24" s="26">
        <f>INDEX('Code concept (56-pt) cards'!$A$3:$BN$62,MATCH($B$2,'Code concept (56-pt) cards'!$A$3:$A$62,0),MATCH("Code",'Code concept (56-pt) cards'!$A$2:$BN$2,0))&amp;""</f>
        <v/>
      </c>
    </row>
    <row r="25" ht="30" customHeight="1">
      <c r="A25" s="24" t="inlineStr">
        <is>
          <t>Output</t>
        </is>
      </c>
      <c r="B25" s="26">
        <f>INDEX('Code concept (56-pt) cards'!$A$3:$BN$62,MATCH($B$2,'Code concept (56-pt) cards'!$A$3:$A$62,0),MATCH("Output",'Code concept (56-pt) cards'!$A$2:$BN$2,0))&amp;""</f>
        <v/>
      </c>
    </row>
    <row r="26" ht="67.5" customHeight="1">
      <c r="A26" s="24" t="inlineStr">
        <is>
          <t>Explanation</t>
        </is>
      </c>
      <c r="B26" s="17">
        <f>INDEX('Code concept (56-pt) cards'!$A$3:$BN$62,MATCH($B$2,'Code concept (56-pt) cards'!$A$3:$A$62,0),MATCH("Explanation",'Code concept (56-pt) cards'!$A$2:$BN$2,0))&amp;""</f>
        <v/>
      </c>
    </row>
    <row r="27" ht="30" customHeight="1">
      <c r="A27" s="24" t="inlineStr">
        <is>
          <t>Simple explanation (Hinglish)</t>
        </is>
      </c>
      <c r="B27" s="17">
        <f>INDEX('Code concept (56-pt) cards'!$A$3:$BN$62,MATCH($B$2,'Code concept (56-pt) cards'!$A$3:$A$62,0),MATCH("Simple explanation (Hinglish)",'Code concept (56-pt) cards'!$A$2:$BN$2,0))&amp;""</f>
        <v/>
      </c>
    </row>
    <row r="28" ht="30" customHeight="1">
      <c r="A28" s="24" t="inlineStr">
        <is>
          <t>Real-life analogy</t>
        </is>
      </c>
      <c r="B28" s="17">
        <f>INDEX('Code concept (56-pt) cards'!$A$3:$BN$62,MATCH($B$2,'Code concept (56-pt) cards'!$A$3:$A$62,0),MATCH("Real-life analogy",'Code concept (56-pt) cards'!$A$2:$BN$2,0))&amp;""</f>
        <v/>
      </c>
    </row>
    <row r="29" ht="30" customHeight="1">
      <c r="A29" s="24" t="inlineStr">
        <is>
          <t>Syntax pattern</t>
        </is>
      </c>
      <c r="B29" s="26">
        <f>INDEX('Code concept (56-pt) cards'!$A$3:$BN$62,MATCH($B$2,'Code concept (56-pt) cards'!$A$3:$A$62,0),MATCH("Syntax pattern",'Code concept (56-pt) cards'!$A$2:$BN$2,0))&amp;""</f>
        <v/>
      </c>
    </row>
    <row r="30" ht="30" customHeight="1">
      <c r="A30" s="24" t="inlineStr">
        <is>
          <t>Anatomy</t>
        </is>
      </c>
      <c r="B30" s="17">
        <f>INDEX('Code concept (56-pt) cards'!$A$3:$BN$62,MATCH($B$2,'Code concept (56-pt) cards'!$A$3:$A$62,0),MATCH("Anatomy",'Code concept (56-pt) cards'!$A$2:$BN$2,0))&amp;""</f>
        <v/>
      </c>
    </row>
    <row r="31" ht="30" customHeight="1">
      <c r="A31" s="24" t="inlineStr">
        <is>
          <t>Example 1</t>
        </is>
      </c>
      <c r="B31" s="26">
        <f>INDEX('Code concept (56-pt) cards'!$A$3:$BN$62,MATCH($B$2,'Code concept (56-pt) cards'!$A$3:$A$62,0),MATCH("Example 1",'Code concept (56-pt) cards'!$A$2:$BN$2,0))&amp;""</f>
        <v/>
      </c>
    </row>
    <row r="32" ht="30" customHeight="1">
      <c r="A32" s="24" t="inlineStr">
        <is>
          <t>Example 2</t>
        </is>
      </c>
      <c r="B32" s="26">
        <f>INDEX('Code concept (56-pt) cards'!$A$3:$BN$62,MATCH($B$2,'Code concept (56-pt) cards'!$A$3:$A$62,0),MATCH("Example 2",'Code concept (56-pt) cards'!$A$2:$BN$2,0))&amp;""</f>
        <v/>
      </c>
    </row>
    <row r="33" ht="30" customHeight="1">
      <c r="A33" s="24" t="inlineStr">
        <is>
          <t>Example 3</t>
        </is>
      </c>
      <c r="B33" s="26">
        <f>INDEX('Code concept (56-pt) cards'!$A$3:$BN$62,MATCH($B$2,'Code concept (56-pt) cards'!$A$3:$A$62,0),MATCH("Example 3",'Code concept (56-pt) cards'!$A$2:$BN$2,0))&amp;""</f>
        <v/>
      </c>
    </row>
    <row r="34" ht="30" customHeight="1">
      <c r="A34" s="24" t="inlineStr">
        <is>
          <t>Variation</t>
        </is>
      </c>
      <c r="B34" s="26">
        <f>INDEX('Code concept (56-pt) cards'!$A$3:$BN$62,MATCH($B$2,'Code concept (56-pt) cards'!$A$3:$A$62,0),MATCH("Variation",'Code concept (56-pt) cards'!$A$2:$BN$2,0))&amp;""</f>
        <v/>
      </c>
    </row>
    <row r="35" ht="30" customHeight="1">
      <c r="A35" s="24" t="inlineStr">
        <is>
          <t>Used with</t>
        </is>
      </c>
      <c r="B35" s="17">
        <f>INDEX('Code concept (56-pt) cards'!$A$3:$BN$62,MATCH($B$2,'Code concept (56-pt) cards'!$A$3:$A$62,0),MATCH("Used with",'Code concept (56-pt) cards'!$A$2:$BN$2,0))&amp;""</f>
        <v/>
      </c>
    </row>
    <row r="36" ht="30" customHeight="1">
      <c r="A36" s="24" t="inlineStr">
        <is>
          <t>Related concepts</t>
        </is>
      </c>
      <c r="B36" s="17">
        <f>INDEX('Code concept (56-pt) cards'!$A$3:$BN$62,MATCH($B$2,'Code concept (56-pt) cards'!$A$3:$A$62,0),MATCH("Related concepts",'Code concept (56-pt) cards'!$A$2:$BN$2,0))&amp;""</f>
        <v/>
      </c>
    </row>
    <row r="37" ht="30" customHeight="1">
      <c r="A37" s="24" t="inlineStr">
        <is>
          <t>Alternatives</t>
        </is>
      </c>
      <c r="B37" s="17">
        <f>INDEX('Code concept (56-pt) cards'!$A$3:$BN$62,MATCH($B$2,'Code concept (56-pt) cards'!$A$3:$A$62,0),MATCH("Alternatives",'Code concept (56-pt) cards'!$A$2:$BN$2,0))&amp;""</f>
        <v/>
      </c>
    </row>
    <row r="38" ht="30" customHeight="1">
      <c r="A38" s="24" t="inlineStr">
        <is>
          <t>Family / group</t>
        </is>
      </c>
      <c r="B38" s="17">
        <f>INDEX('Code concept (56-pt) cards'!$A$3:$BN$62,MATCH($B$2,'Code concept (56-pt) cards'!$A$3:$A$62,0),MATCH("Family / group",'Code concept (56-pt) cards'!$A$2:$BN$2,0))&amp;""</f>
        <v/>
      </c>
    </row>
    <row r="39" ht="30" customHeight="1">
      <c r="A39" s="24" t="inlineStr">
        <is>
          <t>Where it is used</t>
        </is>
      </c>
      <c r="B39" s="17">
        <f>INDEX('Code concept (56-pt) cards'!$A$3:$BN$62,MATCH($B$2,'Code concept (56-pt) cards'!$A$3:$A$62,0),MATCH("Where it is used",'Code concept (56-pt) cards'!$A$2:$BN$2,0))&amp;""</f>
        <v/>
      </c>
    </row>
    <row r="40" ht="30" customHeight="1">
      <c r="A40" s="24" t="inlineStr">
        <is>
          <t>Mini conversation</t>
        </is>
      </c>
      <c r="B40" s="17">
        <f>INDEX('Code concept (56-pt) cards'!$A$3:$BN$62,MATCH($B$2,'Code concept (56-pt) cards'!$A$3:$A$62,0),MATCH("Mini conversation",'Code concept (56-pt) cards'!$A$2:$BN$2,0))&amp;""</f>
        <v/>
      </c>
    </row>
    <row r="41" ht="30" customHeight="1">
      <c r="A41" s="24" t="inlineStr">
        <is>
          <t>Common mistake</t>
        </is>
      </c>
      <c r="B41" s="17">
        <f>INDEX('Code concept (56-pt) cards'!$A$3:$BN$62,MATCH($B$2,'Code concept (56-pt) cards'!$A$3:$A$62,0),MATCH("Common mistake",'Code concept (56-pt) cards'!$A$2:$BN$2,0))&amp;""</f>
        <v/>
      </c>
    </row>
    <row r="42" ht="30" customHeight="1">
      <c r="A42" s="24" t="inlineStr">
        <is>
          <t>Commonly confused with</t>
        </is>
      </c>
      <c r="B42" s="17">
        <f>INDEX('Code concept (56-pt) cards'!$A$3:$BN$62,MATCH($B$2,'Code concept (56-pt) cards'!$A$3:$A$62,0),MATCH("Commonly confused with",'Code concept (56-pt) cards'!$A$2:$BN$2,0))&amp;""</f>
        <v/>
      </c>
    </row>
    <row r="43" ht="30" customHeight="1">
      <c r="A43" s="24" t="inlineStr">
        <is>
          <t>Avoid / don't</t>
        </is>
      </c>
      <c r="B43" s="17">
        <f>INDEX('Code concept (56-pt) cards'!$A$3:$BN$62,MATCH($B$2,'Code concept (56-pt) cards'!$A$3:$A$62,0),MATCH("Avoid / don't",'Code concept (56-pt) cards'!$A$2:$BN$2,0))&amp;""</f>
        <v/>
      </c>
    </row>
    <row r="44" ht="30" customHeight="1">
      <c r="A44" s="24" t="inlineStr">
        <is>
          <t>Wrong code</t>
        </is>
      </c>
      <c r="B44" s="26">
        <f>INDEX('Code concept (56-pt) cards'!$A$3:$BN$62,MATCH($B$2,'Code concept (56-pt) cards'!$A$3:$A$62,0),MATCH("Wrong code",'Code concept (56-pt) cards'!$A$2:$BN$2,0))&amp;""</f>
        <v/>
      </c>
    </row>
    <row r="45" ht="30" customHeight="1">
      <c r="A45" s="24" t="inlineStr">
        <is>
          <t>Right code</t>
        </is>
      </c>
      <c r="B45" s="26">
        <f>INDEX('Code concept (56-pt) cards'!$A$3:$BN$62,MATCH($B$2,'Code concept (56-pt) cards'!$A$3:$A$62,0),MATCH("Right code",'Code concept (56-pt) cards'!$A$2:$BN$2,0))&amp;""</f>
        <v/>
      </c>
    </row>
    <row r="46" ht="30" customHeight="1">
      <c r="A46" s="24" t="inlineStr">
        <is>
          <t>Memory trick</t>
        </is>
      </c>
      <c r="B46" s="17">
        <f>INDEX('Code concept (56-pt) cards'!$A$3:$BN$62,MATCH($B$2,'Code concept (56-pt) cards'!$A$3:$A$62,0),MATCH("Memory trick",'Code concept (56-pt) cards'!$A$2:$BN$2,0))&amp;""</f>
        <v/>
      </c>
    </row>
    <row r="47" ht="30" customHeight="1">
      <c r="A47" s="24" t="inlineStr">
        <is>
          <t>Real life: project / work</t>
        </is>
      </c>
      <c r="B47" s="17">
        <f>INDEX('Code concept (56-pt) cards'!$A$3:$BN$62,MATCH($B$2,'Code concept (56-pt) cards'!$A$3:$A$62,0),MATCH("Real life: project / work",'Code concept (56-pt) cards'!$A$2:$BN$2,0))&amp;""</f>
        <v/>
      </c>
    </row>
    <row r="48" ht="30" customHeight="1">
      <c r="A48" s="24" t="inlineStr">
        <is>
          <t>Real life: interview / exam</t>
        </is>
      </c>
      <c r="B48" s="17">
        <f>INDEX('Code concept (56-pt) cards'!$A$3:$BN$62,MATCH($B$2,'Code concept (56-pt) cards'!$A$3:$A$62,0),MATCH("Real life: interview / exam",'Code concept (56-pt) cards'!$A$2:$BN$2,0))&amp;""</f>
        <v/>
      </c>
    </row>
    <row r="49" ht="30" customHeight="1">
      <c r="A49" s="24" t="inlineStr">
        <is>
          <t>Real life: daily life</t>
        </is>
      </c>
      <c r="B49" s="17">
        <f>INDEX('Code concept (56-pt) cards'!$A$3:$BN$62,MATCH($B$2,'Code concept (56-pt) cards'!$A$3:$A$62,0),MATCH("Real life: daily life",'Code concept (56-pt) cards'!$A$2:$BN$2,0))&amp;""</f>
        <v/>
      </c>
    </row>
    <row r="50">
      <c r="A50" s="27" t="inlineStr">
        <is>
          <t>PRACTICE · Khud karo</t>
        </is>
      </c>
    </row>
    <row r="51" ht="30" customHeight="1">
      <c r="A51" s="24" t="inlineStr">
        <is>
          <t>MCQ question</t>
        </is>
      </c>
      <c r="B51" s="17">
        <f>INDEX('Code concept (56-pt) cards'!$A$3:$BN$62,MATCH($B$2,'Code concept (56-pt) cards'!$A$3:$A$62,0),MATCH("MCQ question",'Code concept (56-pt) cards'!$A$2:$BN$2,0))&amp;""</f>
        <v/>
      </c>
    </row>
    <row r="52" ht="30" customHeight="1">
      <c r="A52" s="24" t="inlineStr">
        <is>
          <t>MCQ options</t>
        </is>
      </c>
      <c r="B52" s="17">
        <f>INDEX('Code concept (56-pt) cards'!$A$3:$BN$62,MATCH($B$2,'Code concept (56-pt) cards'!$A$3:$A$62,0),MATCH("MCQ options",'Code concept (56-pt) cards'!$A$2:$BN$2,0))&amp;""</f>
        <v/>
      </c>
    </row>
    <row r="53" ht="30" customHeight="1">
      <c r="A53" s="24" t="inlineStr">
        <is>
          <t>MCQ answer</t>
        </is>
      </c>
      <c r="B53" s="17">
        <f>INDEX('Code concept (56-pt) cards'!$A$3:$BN$62,MATCH($B$2,'Code concept (56-pt) cards'!$A$3:$A$62,0),MATCH("MCQ answer",'Code concept (56-pt) cards'!$A$2:$BN$2,0))&amp;""</f>
        <v/>
      </c>
    </row>
    <row r="54" ht="30" customHeight="1">
      <c r="A54" s="24" t="inlineStr">
        <is>
          <t>Why that answer</t>
        </is>
      </c>
      <c r="B54" s="17">
        <f>INDEX('Code concept (56-pt) cards'!$A$3:$BN$62,MATCH($B$2,'Code concept (56-pt) cards'!$A$3:$A$62,0),MATCH("Why that answer",'Code concept (56-pt) cards'!$A$2:$BN$2,0))&amp;""</f>
        <v/>
      </c>
    </row>
    <row r="55" ht="30" customHeight="1">
      <c r="A55" s="24" t="inlineStr">
        <is>
          <t>Fill the blank</t>
        </is>
      </c>
      <c r="B55" s="26">
        <f>INDEX('Code concept (56-pt) cards'!$A$3:$BN$62,MATCH($B$2,'Code concept (56-pt) cards'!$A$3:$A$62,0),MATCH("Fill the blank",'Code concept (56-pt) cards'!$A$2:$BN$2,0))&amp;""</f>
        <v/>
      </c>
    </row>
    <row r="56" ht="30" customHeight="1">
      <c r="A56" s="24" t="inlineStr">
        <is>
          <t>Try it yourself</t>
        </is>
      </c>
      <c r="B56" s="17">
        <f>INDEX('Code concept (56-pt) cards'!$A$3:$BN$62,MATCH($B$2,'Code concept (56-pt) cards'!$A$3:$A$62,0),MATCH("Try it yourself",'Code concept (56-pt) cards'!$A$2:$BN$2,0))&amp;""</f>
        <v/>
      </c>
    </row>
    <row r="57" ht="30" customHeight="1">
      <c r="A57" s="24" t="inlineStr">
        <is>
          <t>Task answer</t>
        </is>
      </c>
      <c r="B57" s="26">
        <f>INDEX('Code concept (56-pt) cards'!$A$3:$BN$62,MATCH($B$2,'Code concept (56-pt) cards'!$A$3:$A$62,0),MATCH("Task answer",'Code concept (56-pt) cards'!$A$2:$BN$2,0))&amp;""</f>
        <v/>
      </c>
    </row>
    <row r="58" ht="30" customHeight="1">
      <c r="A58" s="24" t="inlineStr">
        <is>
          <t>Write your own</t>
        </is>
      </c>
      <c r="B58" s="17">
        <f>INDEX('Code concept (56-pt) cards'!$A$3:$BN$62,MATCH($B$2,'Code concept (56-pt) cards'!$A$3:$A$62,0),MATCH("Write your own",'Code concept (56-pt) cards'!$A$2:$BN$2,0))&amp;""</f>
        <v/>
      </c>
    </row>
    <row r="59" ht="30" customHeight="1">
      <c r="A59" s="24" t="inlineStr">
        <is>
          <t>Practice question</t>
        </is>
      </c>
      <c r="B59" s="26">
        <f>INDEX('Code concept (56-pt) cards'!$A$3:$BN$62,MATCH($B$2,'Code concept (56-pt) cards'!$A$3:$A$62,0),MATCH("Practice question",'Code concept (56-pt) cards'!$A$2:$BN$2,0))&amp;""</f>
        <v/>
      </c>
    </row>
    <row r="60" ht="30" customHeight="1">
      <c r="A60" s="24" t="inlineStr">
        <is>
          <t>Practice answer</t>
        </is>
      </c>
      <c r="B60" s="26">
        <f>INDEX('Code concept (56-pt) cards'!$A$3:$BN$62,MATCH($B$2,'Code concept (56-pt) cards'!$A$3:$A$62,0),MATCH("Practice answer",'Code concept (56-pt) cards'!$A$2:$BN$2,0))&amp;""</f>
        <v/>
      </c>
    </row>
    <row r="61" ht="30" customHeight="1">
      <c r="A61" s="24" t="inlineStr">
        <is>
          <t>Quick recall (reverse)</t>
        </is>
      </c>
      <c r="B61" s="17">
        <f>INDEX('Code concept (56-pt) cards'!$A$3:$BN$62,MATCH($B$2,'Code concept (56-pt) cards'!$A$3:$A$62,0),MATCH("Quick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cards'!$A$3:$A$62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1"/>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let, const and var
Which three keywords declare variables, and which one should you reach for first?
const apiUrl = "https://api.example.com";
let retries = 0;
retries += 1;
if (true) { var leaked = "visible"; let hidden = "blocked"; }
console.log(leaked);</t>
        </is>
      </c>
      <c r="B2" s="29" t="inlineStr">
        <is>
          <t>MEANING (SHORT):
const declares a binding that cannot be reassigned, let declares a block-scoped binding that can be reassigned, and var declares a function-scoped binding that is hoisted.
CODE:
const apiUrl = "https://api.example.com";
let retries = 0;
retries += 1;
if (true) { var leaked = "visible"; let hidden = "blocked"; }
console.log(leaked);
OUTPUT:
visible
EXPLANATION:
A const binding cannot point to a new value, but an object stored in it can still be changed. let and const live only inside the braces where they are written. var ignores blocks, so a value declared inside an if statement is visible outside it. Variables from let and const exist in a temporal dead zone before their line, and reading them there throws an error.
SIMPLE EXPLANATION (HINGLISH):
Use const by default, let when you must reassign, and avoid var in new code.
REAL-LIFE ANALOGY:
Const is a name tag glued to one person, let is a tag you may move, and var is a tag that floats around the whole room.
SYNTAX PATTERN:
const name = value; | let name = value;
ANATOMY:
const = fixed binding | let = changeable binding | block = the braces that limit scope
EXAMPLE 1:
const taxRate = 0.18;
EXAMPLE 2:
let counter = 0; counter++;
EXAMPLE 3:
for (let i = 0; i &lt; 3; i++) { console.log(i); }
VARIATION:
const user = { name: "Asha" }; user.name = "Ravi";   // allowed, the object itself changes
USED WITH:
loops, functions, modules
RELATED CONCEPTS:
scope, closures, hoisting, objects
ALTERNATIVES:
Object.freeze to block changes inside an object
WHERE IT IS USED:
Every JavaScript file | Loops | Configuration
MINI CONVERSATION:
A: Why did my variable still exist after the if block? | B: You used var, which ignores block scope, so switch to let or const.
COMMON MISTAKE:
✗ const makes the value completely unchangeable → ✓ const only stops reassignment, and objects inside it can still change
COMMONLY CONFUSED WITH:
let vs var: let is block scoped, var is function scoped.
AVOID / DON'T:
Do not use var in new code.
WRONG CODE:
const total = 0;
total = total + 5;
RIGHT CODE:
let total = 0;
total = total + 5;
MEMORY TRICK:
Const first, let when needed, never var.
REAL LIFE: PROJECT / WORK:
Replacing var with const and let removed a loop bug in a customer script.
REAL LIFE: INTERVIEW / EXAM:
An interviewer may ask: What is the difference between let, const and var?
REAL LIFE: DAILY LIFE:
It is like a name tag that is either glued, movable or loose.</t>
        </is>
      </c>
      <c r="C2" s="29" t="inlineStr">
        <is>
          <t>01_JavaScript_Core_Beginner_TS-001</t>
        </is>
      </c>
    </row>
    <row r="3" ht="409" customHeight="1">
      <c r="A3" s="29" t="inlineStr">
        <is>
          <t>Data types
Which kinds of values does JavaScript have, and how do you check them?
console.log(typeof "hi");
console.log(typeof 42);
console.log(typeof [1, 2]);
console.log(typeof null);
console.log(Array.isArray([1, 2]));</t>
        </is>
      </c>
      <c r="B3" s="29" t="inlineStr">
        <is>
          <t>MEANING (SHORT):
JavaScript has primitive types such as string, number, boolean, null, undefined, bigint and symbol, plus objects including arrays and functions.
CODE:
console.log(typeof "hi");
console.log(typeof 42);
console.log(typeof [1, 2]);
console.log(typeof null);
console.log(Array.isArray([1, 2]));
OUTPUT:
string
number
object
object
true
EXPLANATION:
Primitives are immutable and compared by value. Objects are compared by reference, so two equal-looking objects are different. All numbers are floating point, which gives results such as 0.1 plus 0.2 not equal to 0.3. undefined means no value was given, while null is an intentional empty value. typeof null returning object is an old mistake that was never fixed.
SIMPLE EXPLANATION (HINGLISH):
There are a few primitive types and everything else is an object. Check carefully, because typeof is not always enough.
REAL-LIFE ANALOGY:
Types are different kitchen containers, each meant for one kind of thing.
SYNTAX PATTERN:
typeof value | Array.isArray(value)
ANATOMY:
typeof = type name as text | Array.isArray = real array check | null = intentional empty
EXAMPLE 1:
typeof true
EXAMPLE 2:
typeof undefined
EXAMPLE 3:
typeof function() {}
VARIATION:
Number.isInteger(5)   // check for whole numbers
USED WITH:
conditions, validation, TypeScript
RELATED CONCEPTS:
truthiness, equality, objects, TypeScript types
ALTERNATIVES:
TypeScript for compile-time checks
WHERE IT IS USED:
Validation | Parsing data | Debugging
MINI CONVERSATION:
A: Why does typeof null say object? | B: It is a historic bug, so check for null explicitly.
COMMON MISTAKE:
✗ typeof tells you if something is an array → ✓ Arrays report as object, so you need Array.isArray
COMMONLY CONFUSED WITH:
null vs undefined: null is a deliberate empty value, undefined means nothing was assigned.
AVOID / DON'T:
Do not use typeof alone to detect null or arrays.
WRONG CODE:
if (typeof items === "array") { }
RIGHT CODE:
if (Array.isArray(items)) { }
MEMORY TRICK:
Null and arrays both pretend to be objects.
REAL LIFE: PROJECT / WORK:
Adding an Array.isArray check stopped a crash when an API returned null.
REAL LIFE: INTERVIEW / EXAM:
An interviewer may ask: Why does typeof null return object?
REAL LIFE: DAILY LIFE:
It is like checking which container holds what.</t>
        </is>
      </c>
      <c r="C3" s="29" t="inlineStr">
        <is>
          <t>01_JavaScript_Core_Beginner_TS-002</t>
        </is>
      </c>
    </row>
    <row r="4" ht="409" customHeight="1">
      <c r="A4" s="29" t="inlineStr">
        <is>
          <t>Functions and arrow functions
Which two syntaxes define reusable blocks of code, and how do they differ?
function add(a, b) { return a + b; }
const multiply = (a, b) =&gt; a * b;
const square = x =&gt; x * x;
console.log(add(2, 3), multiply(2, 3), square(4));</t>
        </is>
      </c>
      <c r="B4" s="29" t="inlineStr">
        <is>
          <t>MEANING (SHORT):
A function groups code that takes parameters and returns a value, and an arrow function is a shorter syntax that does not have its own this.
CODE:
function add(a, b) { return a + b; }
const multiply = (a, b) =&gt; a * b;
const square = x =&gt; x * x;
console.log(add(2, 3), multiply(2, 3), square(4));
OUTPUT:
5 6 16
EXPLANATION:
A function declaration is hoisted, so it can be called before its line. An arrow function assigned to a const is not. A single expression after the arrow is returned automatically, while braces need an explicit return. Default parameters give a fallback value. Arrow functions take this from the surrounding code, which suits callbacks but not object methods.
SIMPLE EXPLANATION (HINGLISH):
Use functions to name and reuse logic, and arrows for short callbacks.
REAL-LIFE ANALOGY:
A function is a recipe card, and an arrow function is a sticky-note version.
SYNTAX PATTERN:
function name(params) { return value; } | const name = (params) =&gt; value;
ANATOMY:
params = inputs | return = output | =&gt; = arrow
EXAMPLE 1:
const greet = (name = "friend") =&gt; `Hello ${name}`;
EXAMPLE 2:
[1, 2, 3].map(n =&gt; n * 2);
EXAMPLE 3:
function total(...nums) { return nums.reduce((a, b) =&gt; a + b, 0); }
VARIATION:
(() =&gt; console.log("run now"))();   // immediately invoked arrow
USED WITH:
array methods, callbacks, promises
RELATED CONCEPTS:
scope, closures, this, array methods
ALTERNATIVES:
Methods on classes
WHERE IT IS USED:
Callbacks | Utilities | Event handlers
MINI CONVERSATION:
A: My arrow function returns undefined. | B: With braces you must write return, or remove the braces.
COMMON MISTAKE:
✗ Arrow functions are just shorter normal functions → ✓ They also do not have their own this or arguments
COMMONLY CONFUSED WITH:
Declaration vs arrow: declarations are hoisted and have their own this, arrows are not hoisted and inherit this.
AVOID / DON'T:
Do not use arrow functions as object methods that need this.
WRONG CODE:
const double = x =&gt; { x * 2 };
RIGHT CODE:
const double = x =&gt; x * 2;
MEMORY TRICK:
Braces need return, no braces returns itself.
REAL LIFE: PROJECT / WORK:
Converting repeated loops into small arrow callbacks shortened a data cleaning script.
REAL LIFE: INTERVIEW / EXAM:
An interviewer may ask: How do arrow functions differ from regular functions?
REAL LIFE: DAILY LIFE:
It is like a recipe card versus a sticky note.</t>
        </is>
      </c>
      <c r="C4" s="29" t="inlineStr">
        <is>
          <t>01_JavaScript_Core_Beginner_TS-003</t>
        </is>
      </c>
    </row>
    <row r="5" ht="409" customHeight="1">
      <c r="A5" s="29" t="inlineStr">
        <is>
          <t>Scope
Which rules decide where a variable can be read?
const level = "global";
function outer() {
  const inner = "outer value";
  function show() { console.log(level, inner); }
  show();
}
outer();
// console.log(inner) would throw an error</t>
        </is>
      </c>
      <c r="B5" s="29" t="inlineStr">
        <is>
          <t>MEANING (SHORT):
Scope is the region of code where a variable is accessible, and inner scopes can read outer ones through the scope chain.
CODE:
const level = "global";
function outer() {
  const inner = "outer value";
  function show() { console.log(level, inner); }
  show();
}
outer();
// console.log(inner) would throw an error
OUTPUT:
global outer value
EXPLANATION:
Global scope is outermost, function scope is created by each function, and block scope by braces with let and const. When a name is used, JavaScript looks in the current scope and then outward. Inner variables with the same name shadow outer ones. Too many globals risk clashes, so modules are used.
SIMPLE EXPLANATION (HINGLISH):
A variable is visible inside its own scope and in scopes nested within it.
REAL-LIFE ANALOGY:
Scope is a set of rooms, and you can see your room and the rooms around it, but not other private ones.
SYNTAX PATTERN:
{ let x = 1; }   // x exists only inside the braces
ANATOMY:
global = everywhere | function = inside the function | block = inside braces | chain = lookup path
EXAMPLE 1:
function f() { const a = 1; }
EXAMPLE 2:
{ const b = 2; }
EXAMPLE 3:
const c = 3; function g() { return c; }
VARIATION:
const x = 1; { const x = 2; }   // shadowing inside a block
USED WITH:
closures, modules, functions
RELATED CONCEPTS:
let const var, closures, hoisting, modules
ALTERNATIVES:
Modules to avoid globals
WHERE IT IS USED:
Every program | Debugging | Library design
MINI CONVERSATION:
A: Why is my variable not defined outside the function? | B: It lives only in the function scope, so return it instead.
COMMON MISTAKE:
✗ Variables declared in a function are available everywhere → ✓ They exist only inside that function
COMMONLY CONFUSED WITH:
Scope vs context: scope is where a name is visible, context is what this refers to.
AVOID / DON'T:
Do not create accidental globals by skipping declarations.
WRONG CODE:
function setup() { count = 5; }
RIGHT CODE:
function setup() { const count = 5; return count; }
MEMORY TRICK:
Look inside first, then outward.
REAL LIFE: PROJECT / WORK:
Moving a shared value into a module fixed a global name clash in two scripts.
REAL LIFE: INTERVIEW / EXAM:
An interviewer may ask: What is the scope chain?
REAL LIFE: DAILY LIFE:
It is like looking in your own room before others.</t>
        </is>
      </c>
      <c r="C5" s="29" t="inlineStr">
        <is>
          <t>01_JavaScript_Core_Intermediate_TS-004</t>
        </is>
      </c>
    </row>
    <row r="6" ht="409" customHeight="1">
      <c r="A6" s="29" t="inlineStr">
        <is>
          <t>Closures
Which feature lets a function remember variables from where it was created?
function makeCounter() {
  let count = 0;
  return () =&gt; ++count;
}
const next = makeCounter();
console.log(next(), next(), next());</t>
        </is>
      </c>
      <c r="B6" s="29" t="inlineStr">
        <is>
          <t>MEANING (SHORT):
A closure is a function together with the variables from the scope in which it was defined, which stay available even after that scope has finished.
CODE:
function makeCounter() {
  let count = 0;
  return () =&gt; ++count;
}
const next = makeCounter();
console.log(next(), next(), next());
OUTPUT:
1 2 3
EXPLANATION:
makeCounter finishes running, but the returned function still holds count. Each call to makeCounter creates a separate count. Closures power callbacks, event handlers, partial application and private data. A common trap is creating closures in a loop with var, where all share one variable, which let avoids.
SIMPLE EXPLANATION (HINGLISH):
A function keeps access to the variables around it where it was made.
REAL-LIFE ANALOGY:
A closure is a backpack that a function carries, holding variables from its home.
SYNTAX PATTERN:
function outer() { let x; return function inner() { use(x); }; }
ANATOMY:
outer = creates the scope | inner = the closure | x = captured variable
EXAMPLE 1:
const add = a =&gt; b =&gt; a + b;
EXAMPLE 2:
setTimeout(() =&gt; console.log(id), 100);
EXAMPLE 3:
button.addEventListener("click", () =&gt; count++);
VARIATION:
const makeAdder = n =&gt; x =&gt; x + n;   // partial application with a closure
USED WITH:
callbacks, event handlers, factories
RELATED CONCEPTS:
scope, functions, callbacks, modules
ALTERNATIVES:
Classes with private fields
WHERE IT IS USED:
Counters | Event handlers | Private state
MINI CONVERSATION:
A: How does the counter remember its value? | B: The returned function keeps a closure over count.
COMMON MISTAKE:
✗ Variables vanish when their function returns → ✓ A closure keeps them alive as long as the inner function exists
COMMONLY CONFUSED WITH:
Closure vs global: a closure holds private state, a global is open to everyone.
AVOID / DON'T:
Do not capture a var loop variable inside callbacks.
WRONG CODE:
for (var i = 0; i &lt; 3; i++) { setTimeout(() =&gt; console.log(i), 0); }
RIGHT CODE:
for (let i = 0; i &lt; 3; i++) { setTimeout(() =&gt; console.log(i), 0); }
MEMORY TRICK:
A function carries its home variables along.
REAL LIFE: PROJECT / WORK:
Using a closure to keep retry counts private in an API client.
REAL LIFE: INTERVIEW / EXAM:
An interviewer may ask: What is a closure and why is it useful?
REAL LIFE: DAILY LIFE:
It is like a backpack of things from home.</t>
        </is>
      </c>
      <c r="C6" s="29" t="inlineStr">
        <is>
          <t>01_JavaScript_Core_Intermediate_TS-005</t>
        </is>
      </c>
    </row>
    <row r="7" ht="409" customHeight="1">
      <c r="A7" s="29" t="inlineStr">
        <is>
          <t>this
Which keyword refers to the object a function is working on, and why does it change?
const user = {
  name: "Asha",
  hello() { return "Hi " + this.name; },
  later() { return [1].map(() =&gt; this.name); }
};
console.log(user.hello(), user.later());
const f = user.hello;
// f() would lose this</t>
        </is>
      </c>
      <c r="B7" s="29" t="inlineStr">
        <is>
          <t>MEANING (SHORT):
this is set at call time, and for a method call it is the object before the dot, while arrow functions take this from the surrounding code.
CODE:
const user = {
  name: "Asha",
  hello() { return "Hi " + this.name; },
  later() { return [1].map(() =&gt; this.name); }
};
console.log(user.hello(), user.later());
const f = user.hello;
// f() would lose this
OUTPUT:
Hi Asha [ 'Asha' ]
EXPLANATION:
Calling user.hello sets this to user. Detaching the method and calling it alone loses the object, which gives undefined or an error in strict mode. bind, call and apply set this explicitly. Arrow functions never have their own this, so they keep the outer one. In classes, methods passed as callbacks often need binding.
SIMPLE EXPLANATION (HINGLISH):
Look at how the function is called, because that decides this.
REAL-LIFE ANALOGY:
This is a pointing finger that points at whoever called the function.
SYNTAX PATTERN:
obj.method() | fn.bind(obj) | fn.call(obj, arg)
ANATOMY:
obj.method() = this is obj | bind = fixed this | arrow = outer this
EXAMPLE 1:
const bound = user.hello.bind(user);
EXAMPLE 2:
user.hello.call({ name: "Ravi" });
EXAMPLE 3:
button.addEventListener("click", () =&gt; this.save());
VARIATION:
fn.apply(obj, [a, b])   // call with an array of arguments
USED WITH:
classes, event handlers, callbacks
RELATED CONCEPTS:
functions, closures, classes, scope
ALTERNATIVES:
Arrow functions | Closures instead of this
WHERE IT IS USED:
Methods | Classes | Event handlers
MINI CONVERSATION:
A: My method says this is undefined in the callback. | B: The call lost its object, so bind it or use an arrow function.
COMMON MISTAKE:
✗ this always refers to the object where the function is written → ✓ It depends on how the function is called
COMMONLY CONFUSED WITH:
bind vs call: bind returns a new function, call runs the function now.
AVOID / DON'T:
Do not pass a method as a callback without binding.
WRONG CODE:
setTimeout(user.hello, 100);
RIGHT CODE:
setTimeout(user.hello.bind(user), 100);
MEMORY TRICK:
This follows the caller, not the writer.
REAL LIFE: PROJECT / WORK:
Binding a class method fixed a lost context bug in an event handler.
REAL LIFE: INTERVIEW / EXAM:
An interviewer may ask: What determines the value of this?
REAL LIFE: DAILY LIFE:
It is like a finger pointing at the caller.</t>
        </is>
      </c>
      <c r="C7" s="29" t="inlineStr">
        <is>
          <t>01_JavaScript_Core_Advanced_TS-006</t>
        </is>
      </c>
    </row>
    <row r="8" ht="409" customHeight="1">
      <c r="A8" s="29" t="inlineStr">
        <is>
          <t>Array methods: map, filter and reduce
Which three methods transform, select and combine items in an array?
const prices = [100, 250, 40];
const withTax = prices.map(p =&gt; p * 1.18);
const big = prices.filter(p =&gt; p &gt; 50);
const total = prices.reduce((sum, p) =&gt; sum + p, 0);
console.log(withTax, big, total);</t>
        </is>
      </c>
      <c r="B8" s="29" t="inlineStr">
        <is>
          <t>MEANING (SHORT):
map returns a new array by transforming each item, filter returns a new array of items that pass a test, and reduce combines all items into a single value.
CODE:
const prices = [100, 250, 40];
const withTax = prices.map(p =&gt; p * 1.18);
const big = prices.filter(p =&gt; p &gt; 50);
const total = prices.reduce((sum, p) =&gt; sum + p, 0);
console.log(withTax, big, total);
OUTPUT:
[ 118, 295, 47.199999999999996 ] [ 100, 250 ] 390
EXPLANATION:
None of the three changes the original array. map always returns an array of the same length, filter returns the same or fewer items, and reduce returns anything you build. reduce needs a starting value to behave well on empty arrays. forEach runs code for each item but returns nothing. Floating point results may need rounding.
SIMPLE EXPLANATION (HINGLISH):
map changes each item, filter picks items, reduce builds one result.
REAL-LIFE ANALOGY:
Map reshapes every item, filter keeps some, and reduce squeezes everything into one value.
SYNTAX PATTERN:
arr.map(fn) | arr.filter(fn) | arr.reduce((acc, x) =&gt; ..., start)
ANATOMY:
map = same length | filter = keeps matches | reduce = accumulator and start value
EXAMPLE 1:
["a", "b"].map(s =&gt; s.toUpperCase());
EXAMPLE 2:
users.filter(u =&gt; u.active);
EXAMPLE 3:
nums.reduce((max, n) =&gt; Math.max(max, n), -Infinity);
VARIATION:
Object.fromEntries(arr.map(x =&gt; [x.id, x]));   // map into an object
USED WITH:
arrow functions, objects, chaining
RELATED CONCEPTS:
functions, destructuring, loops, objects
ALTERNATIVES:
for loops | for of
WHERE IT IS USED:
Data cleaning | UI lists | Reports
MINI CONVERSATION:
A: Why does reduce fail on an empty array? | B: You forgot the starting value, so add zero as the second argument.
COMMON MISTAKE:
✗ map changes the original array → ✓ It returns a new array and leaves the original untouched
COMMONLY CONFUSED WITH:
map vs forEach: map returns a new array, forEach returns nothing.
AVOID / DON'T:
Do not use map only for side effects.
WRONG CODE:
const names = users.forEach(u =&gt; u.name);
RIGHT CODE:
const names = users.map(u =&gt; u.name);
MEMORY TRICK:
Map reshapes, filter selects, reduce combines.
REAL LIFE: PROJECT / WORK:
Replacing nested loops with chained filter and map made a report script shorter.
REAL LIFE: INTERVIEW / EXAM:
An interviewer may ask: What is the difference between map and forEach?
REAL LIFE: DAILY LIFE:
It is like reshaping, picking and combining items.</t>
        </is>
      </c>
      <c r="C8" s="29" t="inlineStr">
        <is>
          <t>01_JavaScript_Core_Beginner_TS-007</t>
        </is>
      </c>
    </row>
    <row r="9" ht="409" customHeight="1">
      <c r="A9" s="29" t="inlineStr">
        <is>
          <t>Objects
Which structure stores named values and how do you read and change them?
const user = { name: "Asha", age: 28, skills: ["sql", "js"] };
user.age = 29;
user["city"] = "Pune";
delete user.skills;
console.log(user, Object.keys(user));</t>
        </is>
      </c>
      <c r="B9" s="29" t="inlineStr">
        <is>
          <t>MEANING (SHORT):
An object is a collection of key and value pairs, where values can be any type including functions and other objects.
CODE:
const user = { name: "Asha", age: 28, skills: ["sql", "js"] };
user.age = 29;
user["city"] = "Pune";
delete user.skills;
console.log(user, Object.keys(user));
OUTPUT:
{ name: 'Asha', age: 29, city: 'Pune' } [ 'name', 'age', 'city' ]
EXPLANATION:
Keys are strings or symbols. Dot access reads fixed names, and bracket access accepts any expression. Object.keys, values and entries list the contents for loops. Assigning an object to another variable copies the reference, not the object. Use spread to make a shallow copy, and structuredClone for a deep copy.
SIMPLE EXPLANATION (HINGLISH):
Objects hold labelled values, and copies share the same object unless you clone.
REAL-LIFE ANALOGY:
An object is a form with labelled fields.
SYNTAX PATTERN:
const obj = { key: value }; obj.key; obj["key"];
ANATOMY:
key = label | value = data | dot = fixed access | bracket = dynamic access
EXAMPLE 1:
Object.entries(user).forEach(([k, v]) =&gt; console.log(k, v));
EXAMPLE 2:
const copy = { ...user };
EXAMPLE 3:
const field = "name"; user[field];
VARIATION:
const deep = structuredClone(user);   // independent deep copy
USED WITH:
arrays, JSON, destructuring
RELATED CONCEPTS:
destructuring and spread, JSON, arrays, classes
ALTERNATIVES:
Map | classes
WHERE IT IS USED:
Configuration | API data | State
MINI CONVERSATION:
A: I changed the copy and the original changed too. | B: Both names point to one object, so clone it first.
COMMON MISTAKE:
✗ Assigning an object to a new variable copies it → ✓ It copies only the reference to the same object
COMMONLY CONFUSED WITH:
Dot vs bracket: dot uses a fixed name, bracket uses any expression.
AVOID / DON'T:
Do not mutate shared objects without meaning to.
WRONG CODE:
const b = a; b.name = "x";   // also changes a
RIGHT CODE:
const b = { ...a }; b.name = "x";
MEMORY TRICK:
Equals shares the object, spread copies it.
REAL LIFE: PROJECT / WORK:
Cloning a configuration object stopped one tenant's settings leaking into another.
REAL LIFE: INTERVIEW / EXAM:
An interviewer may ask: How do you copy an object in JavaScript?
REAL LIFE: DAILY LIFE:
It is like a form with labelled fields.</t>
        </is>
      </c>
      <c r="C9" s="29" t="inlineStr">
        <is>
          <t>01_JavaScript_Core_Beginner_TS-008</t>
        </is>
      </c>
    </row>
    <row r="10" ht="409" customHeight="1">
      <c r="A10" s="29" t="inlineStr">
        <is>
          <t>Destructuring and spread
Which syntax unpacks values from arrays and objects and expands them into new ones?
const user = { name: "Asha", age: 28, city: "Pune" };
const { name, age: years, country = "IN" } = user;
const [first, ...rest] = [1, 2, 3, 4];
const merged = { ...user, age: 29 };
console.log(name, years, country, first, rest, merged);</t>
        </is>
      </c>
      <c r="B10" s="29" t="inlineStr">
        <is>
          <t>MEANING (SHORT):
Destructuring pulls values out of arrays or objects into variables, and spread expands an array or object into another.
CODE:
const user = { name: "Asha", age: 28, city: "Pune" };
const { name, age: years, country = "IN" } = user;
const [first, ...rest] = [1, 2, 3, 4];
const merged = { ...user, age: 29 };
console.log(name, years, country, first, rest, merged);
OUTPUT:
Asha 28 IN 1 [ 2, 3, 4 ] { name: 'Asha', age: 29, city: 'Pune' }
EXPLANATION:
In object destructuring, names must match the keys, and a colon renames them. An equals sign gives a default. Array destructuring goes by position. The rest syntax collects what remains. Spread creates shallow copies, and later keys override earlier ones, which is handy for updates.
SIMPLE EXPLANATION (HINGLISH):
Destructure to take values out, and spread to copy and combine.
REAL-LIFE ANALOGY:
Destructuring is unpacking a suitcase onto shelves, and spread is tipping one suitcase into another.
SYNTAX PATTERN:
const { a, b: c = 1 } = obj; const [x, ...rest] = arr; const copy = { ...obj };
ANATOMY:
{ } = by name | [ ] = by position | ... = rest or spread | = value = default
EXAMPLE 1:
function show({ name, age }) { return name + age; }
EXAMPLE 2:
[a, b] = [b, a];   // swap two existing let variables
EXAMPLE 3:
const all = [...list1, ...list2];
VARIATION:
const { data: { id } } = response;   // nested destructuring
USED WITH:
function parameters, props, immutable updates
RELATED CONCEPTS:
objects, arrays, React props, function parameters
ALTERNATIVES:
Object.assign | concat
WHERE IT IS USED:
React props | API responses | State updates
MINI CONVERSATION:
A: How do I update one field without changing the rest? | B: Spread the old object and override that field.
COMMON MISTAKE:
✗ Spread makes a deep copy → ✓ It copies only the first level, so nested objects are still shared
COMMONLY CONFUSED WITH:
Rest vs spread: rest collects values together, spread expands them.
AVOID / DON'T:
Do not rely on spread for nested copies.
WRONG CODE:
const { fullName } = user;   // key does not exist
RIGHT CODE:
const { name: fullName } = user;
MEMORY TRICK:
A colon renames it, an equals sign defaults it.
REAL LIFE: PROJECT / WORK:
Using spread to update one setting in a state object without touching others.
REAL LIFE: INTERVIEW / EXAM:
An interviewer may ask: What is the difference between rest and spread?
REAL LIFE: DAILY LIFE:
It is like unpacking a suitcase onto shelves.</t>
        </is>
      </c>
      <c r="C10" s="29" t="inlineStr">
        <is>
          <t>01_JavaScript_Core_Intermediate_TS-009</t>
        </is>
      </c>
    </row>
    <row r="11" ht="409" customHeight="1">
      <c r="A11" s="29" t="inlineStr">
        <is>
          <t>ES modules
Which syntax splits code into files that import and export what they share?
// math.js
export const PI = 3.14159;
export function area(r) { return PI * r * r; }
export default function describe() { return "circle tools"; }
// app.js
import describe, { area, PI as pi } from "./math.js";
console.log(describe(), area(2), pi);</t>
        </is>
      </c>
      <c r="B11" s="29" t="inlineStr">
        <is>
          <t>MEANING (SHORT):
A module is a file with its own scope that shares values using export and receives them using import.
CODE:
// math.js
export const PI = 3.14159;
export function area(r) { return PI * r * r; }
export default function describe() { return "circle tools"; }
// app.js
import describe, { area, PI as pi } from "./math.js";
console.log(describe(), area(2), pi);
OUTPUT:
circle tools 12.56636 3.14159
EXPLANATION:
Each module has its own scope, so top-level variables are not global. Named exports are imported with braces and must match the names. A default export can be imported under any name. Import paths for local files need the extension in the browser and in native Node ES modules. Modules run once and are cached, and imports are live bindings.
SIMPLE EXPLANATION (HINGLISH):
Export what others need, import it by name, and keep everything else private.
REAL-LIFE ANALOGY:
A module is a toolbox that shows only the tools you choose.
SYNTAX PATTERN:
export const x; export default f; import f, { x } from "./file.js";
ANATOMY:
export = share | import = receive | default = one main export | as = rename
EXAMPLE 1:
export { area, PI };
EXAMPLE 2:
import * as math from "./math.js";
EXAMPLE 3:
const mod = await import("./heavy.js");
VARIATION:
export * from "./helpers.js";   // re-export everything
USED WITH:
bundlers, Node, TypeScript
RELATED CONCEPTS:
scope, ES modules vs CommonJS, package.json, TypeScript
ALTERNATIVES:
CommonJS require
WHERE IT IS USED:
Every modern project | Libraries | Frontend apps
MINI CONVERSATION:
A: Why does my import say the export does not exist? | B: Named imports must match exactly, and default ones have no braces.
COMMON MISTAKE:
✗ Default and named exports are imported the same way → ✓ Named ones need braces, and a default one does not
COMMONLY CONFUSED WITH:
Named vs default export: a file may have many named exports but only one default.
AVOID / DON'T:
Do not mix up braces for default imports.
WRONG CODE:
import { describe } from "./math.js";
RIGHT CODE:
import describe from "./math.js";
MEMORY TRICK:
Braces for named, bare for default.
REAL LIFE: PROJECT / WORK:
Splitting a large script into modules made each part testable.
REAL LIFE: INTERVIEW / EXAM:
An interviewer may ask: What is the difference between a default and a named export?
REAL LIFE: DAILY LIFE:
It is like a toolbox that shows only chosen tools.</t>
        </is>
      </c>
      <c r="C11" s="29" t="inlineStr">
        <is>
          <t>01_JavaScript_Core_Intermediate_TS-010</t>
        </is>
      </c>
    </row>
    <row r="12" ht="409" customHeight="1">
      <c r="A12" s="29" t="inlineStr">
        <is>
          <t>Template strings
Which backtick syntax lets you embed values and expressions inside text?
const name = "Asha";
const items = 3;
const msg = `Hello ${name},
you have ${items} item${items === 1 ? "" : "s"}.`;
console.log(msg);</t>
        </is>
      </c>
      <c r="B12" s="29" t="inlineStr">
        <is>
          <t>MEANING (SHORT):
A template literal is text written between backticks that can include expressions inside dollar-brace placeholders and can span several lines.
CODE:
const name = "Asha";
const items = 3;
const msg = `Hello ${name},
you have ${items} item${items === 1 ? "" : "s"}.`;
console.log(msg);
OUTPUT:
Hello Asha,
you have 3 items.
EXPLANATION:
Any expression can go inside the placeholder, including calls and conditionals. Line breaks inside the backticks stay in the text. Regular quotes cannot do this. Tagged templates run a function on the pieces and are used by some libraries. Never build database queries by pasting user input into a template, because that invites injection.
SIMPLE EXPLANATION (HINGLISH):
Use backticks and dollar braces to put values in text.
REAL-LIFE ANALOGY:
A template string is a form letter with blanks that fill themselves in.
SYNTAX PATTERN:
`text ${expression} text`
ANATOMY:
backticks = template | ${ } = placeholder | expression = any code that gives a value
EXAMPLE 1:
`Total: ${price * qty}`
EXAMPLE 2:
`${user.name.toUpperCase()}`
EXAMPLE 3:
`Line one
Line two`
VARIATION:
String.raw`C:\new\folder`   // keeps backslashes as written
USED WITH:
logging, messages, HTML
RELATED CONCEPTS:
data types, functions, strings, security
ALTERNATIVES:
String concatenation | format functions
WHERE IT IS USED:
Messages | Logging | URLs
MINI CONVERSATION:
A: My message shows the placeholder text, not the value. | B: You used quotes, so switch to backticks.
COMMON MISTAKE:
✗ Quotes and backticks work the same for inserting variables → ✓ Only backticks evaluate placeholders
COMMONLY CONFUSED WITH:
Template string vs concatenation: one embeds values, the other joins pieces with plus.
AVOID / DON'T:
Do not paste user input into query strings with templates.
WRONG CODE:
const s = "Hello ${name}";
RIGHT CODE:
const s = `Hello ${name}`;
MEMORY TRICK:
Backticks fill blanks, quotes stay literal.
REAL LIFE: PROJECT / WORK:
Replacing string joins with templates cleaned up log messages in a service.
REAL LIFE: INTERVIEW / EXAM:
An interviewer may ask: What is a template literal?
REAL LIFE: DAILY LIFE:
It is like a form letter with blanks.</t>
        </is>
      </c>
      <c r="C12" s="29" t="inlineStr">
        <is>
          <t>01_JavaScript_Core_Beginner_TS-011</t>
        </is>
      </c>
    </row>
    <row r="13" ht="409" customHeight="1">
      <c r="A13" s="29" t="inlineStr">
        <is>
          <t>Equality
Which two comparison operators exist, and why should you prefer one?
console.log(5 === "5");
console.log(5 == "5");
console.log(0 == false);
console.log(null == undefined);
console.log(NaN === NaN);
console.log(Object.is(NaN, NaN));</t>
        </is>
      </c>
      <c r="B13" s="29" t="inlineStr">
        <is>
          <t>MEANING (SHORT):
Strict equality compares value and type without conversion, while loose equality converts types first, which can give surprising results.
CODE:
console.log(5 === "5");
console.log(5 == "5");
console.log(0 == false);
console.log(null == undefined);
console.log(NaN === NaN);
console.log(Object.is(NaN, NaN));
OUTPUT:
false
true
true
true
false
true
EXPLANATION:
Loose equality follows complicated conversion rules that few people remember. Strict equality has simple rules, except that NaN is never equal to itself. Object.is handles that case. Objects are compared by reference with both operators. null equals undefined only under loose equality, and checking value == null is one accepted use of it.
SIMPLE EXPLANATION (HINGLISH):
Use three equals signs, and treat two equals signs as a risk.
REAL-LIFE ANALOGY:
Strict equality is a customs officer who checks the item and its type, and loose equality just glances.
SYNTAX PATTERN:
a === b | a !== b | Object.is(a, b)
ANATOMY:
=== = strict | == = loose | Object.is = special cases
EXAMPLE 1:
"1" === 1
EXAMPLE 2:
[] == false
EXAMPLE 3:
value == null   // null or undefined
VARIATION:
Number.isNaN(x)   // the safe NaN check
USED WITH:
conditions, validation, tests
RELATED CONCEPTS:
data types, truthiness, objects, conditions
ALTERNATIVES:
Object.is | Number.isNaN
WHERE IT IS USED:
Conditions | Validation | Tests
MINI CONVERSATION:
A: Why does zero equal false here? | B: You used loose equality, so switch to strict.
COMMON MISTAKE:
✗ Two equals signs are just a shorter way of writing three → ✓ They convert types first and give different results
COMMONLY CONFUSED WITH:
== vs ===: loose converts types, strict does not.
AVOID / DON'T:
Do not compare with NaN using an equality operator.
WRONG CODE:
if (value == NaN) { }
RIGHT CODE:
if (Number.isNaN(value)) { }
MEMORY TRICK:
Three signs check type too.
REAL LIFE: PROJECT / WORK:
Switching to strict equality removed a bug where an empty string matched zero.
REAL LIFE: INTERVIEW / EXAM:
An interviewer may ask: What is the difference between double and triple equals?
REAL LIFE: DAILY LIFE:
It is like a customs officer who checks type too.</t>
        </is>
      </c>
      <c r="C13" s="29" t="inlineStr">
        <is>
          <t>01_JavaScript_Core_Intermediate_TS-012</t>
        </is>
      </c>
    </row>
    <row r="14" ht="409" customHeight="1">
      <c r="A14" s="29" t="inlineStr">
        <is>
          <t>Truthiness
Which values count as false in a condition, and which as true?
const values = [0, "", null, undefined, NaN, [], {}, "0", "false"];
values.forEach(v =&gt; console.log(Boolean(v)));</t>
        </is>
      </c>
      <c r="B14" s="29" t="inlineStr">
        <is>
          <t>MEANING (SHORT):
Falsy values are false, 0, -0, 0n, empty string, null, undefined and NaN, and every other value is truthy, including empty arrays and objects.
CODE:
const values = [0, "", null, undefined, NaN, [], {}, "0", "false"];
values.forEach(v =&gt; console.log(Boolean(v)));
OUTPUT:
false
false
false
false
false
true
true
true
true
EXPLANATION:
A condition such as if (name) is true for any non-empty text. Empty arrays and objects are truthy, which surprises many people, so check length for arrays. The strings "0" and "false" are truthy because they are non-empty. Double negation converts a value to a boolean, and the nullish operator is better when zero or empty text are valid values.
SIMPLE EXPLANATION (HINGLISH):
Only a short list of empty values are falsy, and everything else is truthy.
REAL-LIFE ANALOGY:
Falsy values are the empty things, such as zero, nothing and empty text.
SYNTAX PATTERN:
if (value) { } | Boolean(value) | !!value
ANATOMY:
falsy = the eight false-like values | truthy = everything else
EXAMPLE 1:
if (items.length) { }
EXAMPLE 2:
const ok = !!user;
EXAMPLE 3:
const name = input || "anonymous";
VARIATION:
const port = config.port ?? 3000;   // only null and undefined fall back
USED WITH:
conditions, defaults, validation
RELATED CONCEPTS:
equality, optional chaining, data types, conditions
ALTERNATIVES:
Explicit comparisons
WHERE IT IS USED:
Conditions | Defaults | Validation
MINI CONVERSATION:
A: My check treats zero as missing. | B: Zero is falsy, so test for null or undefined instead.
COMMON MISTAKE:
✗ An empty array is falsy → ✓ Empty arrays and objects are truthy, so check their length
COMMONLY CONFUSED WITH:
|| vs ??: the first falls back on any falsy value, the second only on null or undefined.
AVOID / DON'T:
Do not use a plain truthy check when zero is a valid value.
WRONG CODE:
if (list) { console.log("has items"); }
RIGHT CODE:
if (list.length &gt; 0) { console.log("has items"); }
MEMORY TRICK:
Zero, empty, null, undefined and NaN fail.
REAL LIFE: PROJECT / WORK:
Fixing a discount of zero that was ignored because of a truthy check.
REAL LIFE: INTERVIEW / EXAM:
An interviewer may ask: Which values are falsy in JavaScript?
REAL LIFE: DAILY LIFE:
It is like a list of empty things.</t>
        </is>
      </c>
      <c r="C14" s="29" t="inlineStr">
        <is>
          <t>01_JavaScript_Core_Beginner_TS-013</t>
        </is>
      </c>
    </row>
    <row r="15" ht="409" customHeight="1">
      <c r="A15" s="29" t="inlineStr">
        <is>
          <t>Error handling basics
Which statements let your code react to failures instead of crashing?
function parse(text) {
  try {
    return JSON.parse(text);
  } catch (err) {
    console.error("Bad JSON:", err.message);
    return null;
  } finally {
    console.log("done");
  }
}
console.log(parse("{oops"));</t>
        </is>
      </c>
      <c r="B15" s="29" t="inlineStr">
        <is>
          <t>MEANING (SHORT):
try runs code that may fail, catch handles a thrown error, finally runs either way, and throw raises an error.
CODE:
function parse(text) {
  try {
    return JSON.parse(text);
  } catch (err) {
    console.error("Bad JSON:", err.message);
    return null;
  } finally {
    console.log("done");
  }
}
console.log(parse("{oops"));
OUTPUT:
Bad JSON: &lt;a SyntaxError message that varies by Node version&gt;
done
null
EXPLANATION:
Errors have a name, a message and a stack. Throwing an Error object records where it happened. catch receives whatever was thrown. finally is used for cleanup such as closing a file. Catching too broadly hides bugs, so handle only what you can fix and rethrow the rest. Promises need their own handling.
SIMPLE EXPLANATION (HINGLISH):
Wrap risky code in try, handle problems in catch, and clean up in finally.
REAL-LIFE ANALOGY:
Try is the safety net under the trapeze, and catch is the person who catches the fall.
SYNTAX PATTERN:
try { } catch (err) { } finally { } | throw new Error("message")
ANATOMY:
try = risky code | catch = handler | finally = always runs | throw = raise error
EXAMPLE 1:
throw new Error("Missing id");
EXAMPLE 2:
if (!(err instanceof TypeError)) throw err;
EXAMPLE 3:
class ApiError extends Error { }
VARIATION:
new Error("failed", { cause: original })   // keep the original reason
USED WITH:
JSON.parse, fetch, async code
RELATED CONCEPTS:
JSON, promises, async and await, logging
ALTERNATIVES:
Result objects | Validation before use
WHERE IT IS USED:
Parsing | API calls | Input handling
MINI CONVERSATION:
A: The script crashes on bad input. | B: Wrap the parse call in try and catch, and return a clear message.
COMMON MISTAKE:
✗ catch blocks should swallow every error silently → ✓ Hidden errors make bugs hard to find, so log or rethrow what you cannot handle
COMMONLY CONFUSED WITH:
catch vs finally: catch handles an error, finally runs regardless.
AVOID / DON'T:
Do not leave a catch block empty.
WRONG CODE:
try { risky(); } catch (e) { }
RIGHT CODE:
try { risky(); } catch (e) { console.error(e); throw e; }
MEMORY TRICK:
Handle what you can, rethrow the rest.
REAL LIFE: PROJECT / WORK:
Adding try and catch around JSON parsing stopped a nightly job from crashing.
REAL LIFE: INTERVIEW / EXAM:
An interviewer may ask: When does finally run?
REAL LIFE: DAILY LIFE:
It is like a safety net under a trapeze.</t>
        </is>
      </c>
      <c r="C15" s="29" t="inlineStr">
        <is>
          <t>01_JavaScript_Core_Intermediate_TS-014</t>
        </is>
      </c>
    </row>
    <row r="16" ht="409" customHeight="1">
      <c r="A16" s="29" t="inlineStr">
        <is>
          <t>JSON
Which text format moves data between programs, and which two methods convert it?
const user = { name: "Asha", age: 28, tags: ["a", "b"] };
const text = JSON.stringify(user);
const back = JSON.parse(text);
console.log(text);
console.log(back.tags[1]);
console.log(JSON.stringify(user, null, 2).split("\n").length);</t>
        </is>
      </c>
      <c r="B16" s="29" t="inlineStr">
        <is>
          <t>MEANING (SHORT):
JSON is a text format for data, JSON.stringify turns a value into JSON text, and JSON.parse turns JSON text back into a value.
CODE:
const user = { name: "Asha", age: 28, tags: ["a", "b"] };
const text = JSON.stringify(user);
const back = JSON.parse(text);
console.log(text);
console.log(back.tags[1]);
console.log(JSON.stringify(user, null, 2).split("\n").length);
OUTPUT:
{"name":"Asha","age":28,"tags":["a","b"]}
b
8
EXPLANATION:
JSON keys and strings must use double quotes, and it has no comments or trailing commas. It supports objects, arrays, strings, numbers, booleans and null. Functions, undefined and symbols are dropped, and dates become strings. The third argument of stringify adds indentation. parse throws an error on invalid text.
SIMPLE EXPLANATION (HINGLISH):
Stringify to send or save, parse to read it back.
REAL-LIFE ANALOGY:
JSON is a shipping box for data, where stringify packs and parse unpacks.
SYNTAX PATTERN:
JSON.stringify(value, replacer, space) | JSON.parse(text)
ANATOMY:
stringify = value to text | parse = text to value | space = indent
EXAMPLE 1:
JSON.stringify({ ok: true })
EXAMPLE 2:
JSON.parse("[1, 2, 3]")
EXAMPLE 3:
JSON.stringify(new Date())
VARIATION:
JSON.parse(text, (k, v) =&gt; v)   // a reviver to transform values
USED WITH:
fetch, files, APIs
RELATED CONCEPTS:
objects, error handling, fetch, Node file system
ALTERNATIVES:
YAML | CSV
WHERE IT IS USED:
APIs | Config files | Storage
MINI CONVERSATION:
A: Why does parse fail on my file? | B: JSON needs double quotes and no trailing commas.
COMMON MISTAKE:
✗ JSON.stringify keeps functions and dates as they are → ✓ Functions are dropped and dates become strings
COMMONLY CONFUSED WITH:
JSON vs object: JSON is text, an object is a live value in memory.
AVOID / DON'T:
Do not parse untrusted text without a try block.
WRONG CODE:
JSON.parse("{'a': 1}")
RIGHT CODE:
JSON.parse('{"a": 1}')
MEMORY TRICK:
Double quotes only, no trailing commas.
REAL LIFE: PROJECT / WORK:
Logging payloads as JSON made API errors searchable in the log tool.
REAL LIFE: INTERVIEW / EXAM:
An interviewer may ask: What does JSON.stringify do with undefined values?
REAL LIFE: DAILY LIFE:
It is like packing and unpacking a box.</t>
        </is>
      </c>
      <c r="C16" s="29" t="inlineStr">
        <is>
          <t>01_JavaScript_Core_Beginner_TS-015</t>
        </is>
      </c>
    </row>
    <row r="17" ht="409" customHeight="1">
      <c r="A17" s="29" t="inlineStr">
        <is>
          <t>Optional chaining and nullish coalescing
Which two operators safely read nested values and supply defaults?
const user = { profile: { city: "Pune" }, score: 0 };
console.log(user.profile?.city);
console.log(user.address?.street);
console.log(user.score ?? 10);
console.log(user.score || 10);
console.log(user.getName?.());</t>
        </is>
      </c>
      <c r="B17" s="29" t="inlineStr">
        <is>
          <t>MEANING (SHORT):
Optional chaining stops and returns undefined if a value in the chain is null or undefined, and nullish coalescing gives a fallback only for null or undefined.
CODE:
const user = { profile: { city: "Pune" }, score: 0 };
console.log(user.profile?.city);
console.log(user.address?.street);
console.log(user.score ?? 10);
console.log(user.score || 10);
console.log(user.getName?.());
OUTPUT:
Pune
undefined
0
10
undefined
EXPLANATION:
Without optional chaining, reading a property of undefined throws an error. The question dot form also works for calls and array indexes. The nullish operator differs from the or operator, which treats zero and empty text as missing. Combining them gives safe reads with defaults.
SIMPLE EXPLANATION (HINGLISH):
Use ?. to read safely and ?? to set a default that respects zero.
REAL-LIFE ANALOGY:
Optional chaining is asking politely before opening each drawer.
SYNTAX PATTERN:
obj?.prop | obj?.[key] | fn?.() | value ?? fallback
ANATOMY:
?. = stop if missing | ?? = default for null or undefined
EXAMPLE 1:
const city = order?.customer?.address?.city ?? "unknown";
EXAMPLE 2:
items?.[0]
EXAMPLE 3:
callback?.(result)
VARIATION:
settings.retries ??= 3;   // assign only if null or undefined
USED WITH:
API data, configuration, destructuring
RELATED CONCEPTS:
truthiness, objects, error handling, TypeScript
ALTERNATIVES:
Long and chains | lodash get
WHERE IT IS USED:
API responses | Configuration | Optional callbacks
MINI CONVERSATION:
A: The page crashes when a user has no address. | B: Use optional chaining to read the street.
COMMON MISTAKE:
✗ The or operator and the nullish operator are the same → ✓ The or operator also replaces zero and empty text
COMMONLY CONFUSED WITH:
?? vs ||: ?? checks only null and undefined, || checks every falsy value.
AVOID / DON'T:
Do not chain optional access on values that must exist.
WRONG CODE:
const limit = config.limit || 10;   // wrong when limit is 0
RIGHT CODE:
const limit = config.limit ?? 10;
MEMORY TRICK:
Double question mark spares the zero.
REAL LIFE: PROJECT / WORK:
Optional chaining removed crashes from half-filled customer records.
REAL LIFE: INTERVIEW / EXAM:
An interviewer may ask: When would you use nullish coalescing instead of or?
REAL LIFE: DAILY LIFE:
It is like asking before opening each drawer.</t>
        </is>
      </c>
      <c r="C17" s="29" t="inlineStr">
        <is>
          <t>01_JavaScript_Core_Intermediate_TS-016</t>
        </is>
      </c>
    </row>
    <row r="18" ht="409" customHeight="1">
      <c r="A18" s="29" t="inlineStr">
        <is>
          <t>Map and Set
Which built-in collections store key-value pairs and unique values?
const seen = new Set([1, 2, 2, 3, 3]);
console.log([...seen], seen.size);
const lookup = new Map();
lookup.set("a", 1).set(42, "answer");
console.log(lookup.get(42), lookup.has("a"), lookup.size);</t>
        </is>
      </c>
      <c r="B18" s="29" t="inlineStr">
        <is>
          <t>MEANING (SHORT):
A Map stores key and value pairs where keys can be any type and order is kept, and a Set stores unique values.
CODE:
const seen = new Set([1, 2, 2, 3, 3]);
console.log([...seen], seen.size);
const lookup = new Map();
lookup.set("a", 1).set(42, "answer");
console.log(lookup.get(42), lookup.has("a"), lookup.size);
OUTPUT:
[ 1, 2, 3 ] 3
answer true 2
EXPLANATION:
Maps accept any key, including objects, and keep insertion order. Sets compare values with the same-value-zero rule, so each value appears once. Both have size and iterate in insertion order. Looking up in a Set or Map is fast even for large collections. WeakMap and WeakSet hold keys without blocking garbage collection.
SIMPLE EXPLANATION (HINGLISH):
Set removes duplicates, Map is a flexible dictionary.
REAL-LIFE ANALOGY:
A Map is a locker room with any label, and a Set is a guest list that never repeats a name.
SYNTAX PATTERN:
new Map() | new Set(iterable)
ANATOMY:
set/get/has/delete = Map methods | add/has/delete = Set methods | size = count
EXAMPLE 1:
const unique = [...new Set(emails)];
EXAMPLE 2:
const counts = new Map(); counts.set(word, (counts.get(word) ?? 0) + 1);
EXAMPLE 3:
for (const [k, v] of lookup) { }
VARIATION:
new Map(Object.entries(obj))   // build a Map from an object
USED WITH:
arrays, loops, caching
RELATED CONCEPTS:
objects, arrays, array methods, caching
ALTERNATIVES:
Plain objects | arrays with includes
WHERE IT IS USED:
Deduplication | Counting | Caches
MINI CONVERSATION:
A: How do I remove duplicate IDs from a list? | B: Pass it through a Set and spread it back.
COMMON MISTAKE:
✗ Plain objects are always the best dictionary → ✓ Maps allow any key type and keep a reliable size and order
COMMONLY CONFUSED WITH:
Map vs object: Map accepts any key and has size, objects use string keys.
AVOID / DON'T:
Do not use a Set for items that need ordering by value.
WRONG CODE:
const unique = list.filter(x =&gt; list.indexOf(x));
RIGHT CODE:
const unique = [...new Set(list)];
MEMORY TRICK:
Set keeps one, Map keeps pairs.
REAL LIFE: PROJECT / WORK:
Using a Set removed duplicate customer ids from a large import in seconds.
REAL LIFE: INTERVIEW / EXAM:
An interviewer may ask: How would you remove duplicates from an array?
REAL LIFE: DAILY LIFE:
It is like a guest list that never repeats a name.</t>
        </is>
      </c>
      <c r="C18" s="29" t="inlineStr">
        <is>
          <t>01_JavaScript_Core_Intermediate_TS-017</t>
        </is>
      </c>
    </row>
    <row r="19" ht="409" customHeight="1">
      <c r="A19" s="29" t="inlineStr">
        <is>
          <t>Callbacks
Which functions are passed to other code to be called later?
function loadUser(id, done) {
  setTimeout(() =&gt; done(null, { id, name: "Asha" }), 100);
}
loadUser(1, (err, user) =&gt; {
  if (err) return console.error(err);
  console.log("loaded", user.name);
});
console.log("waiting");</t>
        </is>
      </c>
      <c r="B19" s="29" t="inlineStr">
        <is>
          <t>MEANING (SHORT):
A callback is a function passed as an argument that the receiving code calls when its work is done or an event occurs.
CODE:
function loadUser(id, done) {
  setTimeout(() =&gt; done(null, { id, name: "Asha" }), 100);
}
loadUser(1, (err, user) =&gt; {
  if (err) return console.error(err);
  console.log("loaded", user.name);
});
console.log("waiting");
OUTPUT:
waiting
loaded Asha
EXPLANATION:
The last line prints first, because the timer runs later and the main code continues. Node style callbacks pass an error first and the result second. Nesting many callbacks leads to code that drifts to the right, called callback hell. Promises and async functions solve that problem.
SIMPLE EXPLANATION (HINGLISH):
Give a function to be called when work finishes, and expect it to run later.
REAL-LIFE ANALOGY:
A callback is leaving your phone number so the shop calls when your order is ready.
SYNTAX PATTERN:
doWork(arg, (err, result) =&gt; { ... })
ANATOMY:
callback = function passed in | err = first argument | result = second argument
EXAMPLE 1:
array.forEach(item =&gt; console.log(item));
EXAMPLE 2:
button.addEventListener("click", () =&gt; save());
EXAMPLE 3:
fs.readFile(path, "utf8", (err, text) =&gt; { });
VARIATION:
setInterval(() =&gt; tick(), 1000);   // repeat a callback
USED WITH:
timers, events, Node APIs
RELATED CONCEPTS:
promises, async and await, event loop, timers
ALTERNATIVES:
Promises | async and await
WHERE IT IS USED:
Events | Timers | Older Node APIs
MINI CONVERSATION:
A: Why does my code after the call run before the result? | B: The callback runs later, so use the result inside it.
COMMON MISTAKE:
✗ Callbacks always run asynchronously → ✓ Some, such as the ones in forEach, run immediately
COMMONLY CONFUSED WITH:
Callback vs promise: a callback is passed in, a promise is returned.
AVOID / DON'T:
Do not nest many levels of callbacks.
WRONG CODE:
let user; loadUser(1, u =&gt; { user = u; }); console.log(user.name);
RIGHT CODE:
loadUser(1, u =&gt; { console.log(u.name); });
MEMORY TRICK:
Use the result inside the callback.
REAL LIFE: PROJECT / WORK:
Replacing nested callbacks with promises made an import script readable.
REAL LIFE: INTERVIEW / EXAM:
An interviewer may ask: What is callback hell?
REAL LIFE: DAILY LIFE:
It is like leaving a phone number at a shop.</t>
        </is>
      </c>
      <c r="C19" s="29" t="inlineStr">
        <is>
          <t>02_Async_JavaScript_Beginner_TS-018</t>
        </is>
      </c>
    </row>
    <row r="20" ht="409" customHeight="1">
      <c r="A20" s="29" t="inlineStr">
        <is>
          <t>Promises
Which objects represent a value that will arrive later, or an error?
const wait = ms =&gt; new Promise(resolve =&gt; setTimeout(resolve, ms));
wait(100)
  .then(() =&gt; 42)
  .then(n =&gt; { console.log(n); return n * 2; })
  .then(n =&gt; console.log(n))
  .catch(err =&gt; console.error(err))
  .finally(() =&gt; console.log("done"));</t>
        </is>
      </c>
      <c r="B20" s="29" t="inlineStr">
        <is>
          <t>MEANING (SHORT):
A promise is an object that is pending until it becomes fulfilled with a value or rejected with an error, and then and catch react to the outcome.
CODE:
const wait = ms =&gt; new Promise(resolve =&gt; setTimeout(resolve, ms));
wait(100)
  .then(() =&gt; 42)
  .then(n =&gt; { console.log(n); return n * 2; })
  .then(n =&gt; console.log(n))
  .catch(err =&gt; console.error(err))
  .finally(() =&gt; console.log("done"));
OUTPUT:
42
84
done
EXPLANATION:
A promise has three states: pending, fulfilled and rejected. Each then returns a new promise, so chains pass values forward. A thrown error or rejection skips to the next catch. finally runs in both cases. Callbacks passed to then always run asynchronously, after current code finishes.
SIMPLE EXPLANATION (HINGLISH):
A promise is a placeholder for a future value, and then and catch handle the result.
REAL-LIFE ANALOGY:
A promise is a restaurant buzzer that lights up with food or an apology.
SYNTAX PATTERN:
new Promise((resolve, reject) =&gt; { ... }) | p.then(fn).catch(fn)
ANATOMY:
resolve = success | reject = failure | then = on success | catch = on failure
EXAMPLE 1:
Promise.resolve(5).then(x =&gt; x + 1);
EXAMPLE 2:
Promise.reject(new Error("bad")).catch(e =&gt; e.message);
EXAMPLE 3:
fetch(url).then(r =&gt; r.json());
VARIATION:
Promise.allSettled([p1, p2])   // wait for all, success or failure
USED WITH:
fetch, async and await, timers
RELATED CONCEPTS:
callbacks, async and await, Promise.all, error handling
ALTERNATIVES:
Callbacks | async and await
WHERE IT IS USED:
Network calls | File work | Libraries
MINI CONVERSATION:
A: My then handler gets undefined. | B: The previous step did not return a value.
COMMON MISTAKE:
✗ A then handler runs immediately when attached → ✓ It always runs later, after the current code finishes
COMMONLY CONFUSED WITH:
then vs catch: then handles success, catch handles errors.
AVOID / DON'T:
Do not forget to return inside then.
WRONG CODE:
p.then(x =&gt; { x * 2; }).then(y =&gt; console.log(y));
RIGHT CODE:
p.then(x =&gt; x * 2).then(y =&gt; console.log(y));
MEMORY TRICK:
Return inside then to pass it on.
REAL LIFE: PROJECT / WORK:
Converting callback code to promise chains cut an import script's nesting.
REAL LIFE: INTERVIEW / EXAM:
An interviewer may ask: What are the three states of a promise?
REAL LIFE: DAILY LIFE:
It is like a buzzer at a restaurant.</t>
        </is>
      </c>
      <c r="C20" s="29" t="inlineStr">
        <is>
          <t>02_Async_JavaScript_Intermediate_TS-019</t>
        </is>
      </c>
    </row>
    <row r="21" ht="409" customHeight="1">
      <c r="A21" s="29" t="inlineStr">
        <is>
          <t>async and await
Which syntax lets you write promise code that reads like normal steps?
async function getName(id) {
  try {
    const res = await fetch(`https://api.example.com/users/${id}`);
    const user = await res.json();
    return user.name;
  } catch (err) {
    console.error("failed", err.message);
    return null;
  }
}
getName(1).then(console.log);</t>
        </is>
      </c>
      <c r="B21" s="29" t="inlineStr">
        <is>
          <t>MEANING (SHORT):
An async function always returns a promise, and await pauses it until a promise settles and gives its value or throws its error.
CODE:
async function getName(id) {
  try {
    const res = await fetch(`https://api.example.com/users/${id}`);
    const user = await res.json();
    return user.name;
  } catch (err) {
    console.error("failed", err.message);
    return null;
  }
}
getName(1).then(console.log);
OUTPUT:
Prints the user name, or failed with a message and null
EXPLANATION:
await can be used only inside async functions and at the top level of modules. It pauses only that function, not the whole program. Awaiting steps one after another makes them run in sequence, which is slower than starting them together. Errors from await become exceptions for try and catch.
SIMPLE EXPLANATION (HINGLISH):
Mark the function async, await each promise, and handle errors with try and catch.
REAL-LIFE ANALOGY:
Await is pausing at a crossing until the light turns green while the town keeps moving.
SYNTAX PATTERN:
async function f() { const x = await promise; }
ANATOMY:
async = returns a promise | await = wait for a promise | try catch = error handling
EXAMPLE 1:
const data = await readFile("a.json", "utf8");
EXAMPLE 2:
const [a, b] = await Promise.all([getA(), getB()]);
EXAMPLE 3:
const run = async () =&gt; { await wait(100); };
VARIATION:
for await (const chunk of stream) { }   // async iteration
USED WITH:
fetch, Promise.all, try and catch
RELATED CONCEPTS:
promises, fetch, Promise.all, error handling
ALTERNATIVES:
Promise chains
WHERE IT IS USED:
API calls | Scripts | Servers
MINI CONVERSATION:
A: Why is await a syntax error here? | B: It is inside a normal function, so make the function async.
COMMON MISTAKE:
✗ await blocks the whole program → ✓ It pauses only the current async function
COMMONLY CONFUSED WITH:
async vs await: async marks the function, await pauses inside it.
AVOID / DON'T:
Do not await inside a loop when the calls are independent.
WRONG CODE:
function load() { const r = await fetch(url); }
RIGHT CODE:
async function load() { const r = await fetch(url); }
MEMORY TRICK:
Await needs async around it.
REAL LIFE: PROJECT / WORK:
Rewriting promise chains with async and await made a sync job easy to follow.
REAL LIFE: INTERVIEW / EXAM:
An interviewer may ask: What does an async function return?
REAL LIFE: DAILY LIFE:
It is like waiting at a crossing for the light.</t>
        </is>
      </c>
      <c r="C21" s="29" t="inlineStr">
        <is>
          <t>02_Async_JavaScript_Intermediate_TS-020</t>
        </is>
      </c>
    </row>
    <row r="22" ht="409" customHeight="1">
      <c r="A22" s="29" t="inlineStr">
        <is>
          <t>fetch
Which built-in function makes HTTP requests and returns a promise?
const res = await fetch("https://api.example.com/items", {
  method: "POST",
  headers: { "Content-Type": "application/json" },
  body: JSON.stringify({ name: "pen" })
});
if (!res.ok) throw new Error(`HTTP ${res.status}`);
const item = await res.json();
console.log(item.id);</t>
        </is>
      </c>
      <c r="B22" s="29" t="inlineStr">
        <is>
          <t>MEANING (SHORT):
fetch sends an HTTP request and resolves with a response object whose body is read with methods such as json or text.
CODE:
const res = await fetch("https://api.example.com/items", {
  method: "POST",
  headers: { "Content-Type": "application/json" },
  body: JSON.stringify({ name: "pen" })
});
if (!res.ok) throw new Error(`HTTP ${res.status}`);
const item = await res.json();
console.log(item.id);
OUTPUT:
Prints the id of the created item, or throws HTTP with the status code
EXPLANATION:
fetch rejects only on network failure, so a 404 or 500 still resolves, and you must test res.ok. The body can be read once. Headers and method go in the options. AbortController can cancel a request, and timeouts are not built in. In browsers, cross-origin rules apply.
SIMPLE EXPLANATION (HINGLISH):
Call fetch, check ok, then read the body with json.
REAL-LIFE ANALOGY:
Fetch is sending a runner to a shop with a note and waiting for the parcel.
SYNTAX PATTERN:
await fetch(url, { method, headers, body })
ANATOMY:
res.ok = status in the 200s | res.status = code | res.json() = parse body
EXAMPLE 1:
const res = await fetch(url);
EXAMPLE 2:
await fetch(url, { signal: controller.signal });
EXAMPLE 3:
const text = await res.text();
VARIATION:
AbortSignal.timeout(5000)   // abort after five seconds
USED WITH:
async and await, JSON, error handling
RELATED CONCEPTS:
async and await, JSON, HTTP, error handling
ALTERNATIVES:
axios | node http
WHERE IT IS USED:
API calls | Frontend apps | Scripts
MINI CONVERSATION:
A: The code says success but the API returned 404. | B: fetch does not reject on 404, so check res.ok.
COMMON MISTAKE:
✗ fetch rejects when the server returns an error status → ✓ It rejects only on network failures
COMMONLY CONFUSED WITH:
res.json vs res.text: json parses the body, text returns it raw.
AVOID / DON'T:
Do not read the body twice.
WRONG CODE:
const data = await fetch(url).json();
RIGHT CODE:
const res = await fetch(url); const data = await res.json();
MEMORY TRICK:
Fetch fails only on the network, check ok.
REAL LIFE: PROJECT / WORK:
Adding a status check to fetch calls exposed hidden server errors in a script.
REAL LIFE: INTERVIEW / EXAM:
An interviewer may ask: Does fetch reject on a 500 response?
REAL LIFE: DAILY LIFE:
It is like sending a runner to a shop.</t>
        </is>
      </c>
      <c r="C22" s="29" t="inlineStr">
        <is>
          <t>02_Async_JavaScript_Intermediate_TS-021</t>
        </is>
      </c>
    </row>
    <row r="23" ht="409" customHeight="1">
      <c r="A23" s="29" t="inlineStr">
        <is>
          <t>try and catch with async code
How do you handle errors that happen inside awaited calls and promise chains?
async function run() {
  try {
    await Promise.reject(new Error("boom"));
  } catch (err) {
    console.log("caught", err.message);
  }
}
run();
Promise.reject(new Error("later")).catch(e =&gt; console.log("chain", e.message));</t>
        </is>
      </c>
      <c r="B23" s="29" t="inlineStr">
        <is>
          <t>MEANING (SHORT):
Inside async functions, try and catch handle awaited rejections, and with promise chains the catch method handles them.
CODE:
async function run() {
  try {
    await Promise.reject(new Error("boom"));
  } catch (err) {
    console.log("caught", err.message);
  }
}
run();
Promise.reject(new Error("later")).catch(e =&gt; console.log("chain", e.message));
OUTPUT:
caught boom
chain later
EXPLANATION:
A rejected promise with no handler triggers an unhandled rejection warning, and in modern Node it can crash the process. try and catch around a call without await will not catch its rejection. A returned promise needs return await inside try for the catch to apply. Wrap the top of event handlers and jobs with a safety catch that logs.
SIMPLE EXPLANATION (HINGLISH):
Await inside try, or add a catch to the chain, and never leave a rejection unhandled.
REAL-LIFE ANALOGY:
Errors in async code are letters sent by post, so you must watch the right mailbox.
SYNTAX PATTERN:
try { await p; } catch (e) { } | p.catch(e =&gt; { })
ANATOMY:
await in try = catches rejection | .catch = chain handler | unhandled = no handler found
EXAMPLE 1:
await task().catch(err =&gt; log(err));
EXAMPLE 2:
process.on("unhandledRejection", err =&gt; log(err));
EXAMPLE 3:
return await fetchData();
VARIATION:
Promise.allSettled(tasks)   // never rejects, reports each result
USED WITH:
async and await, promises, logging
RELATED CONCEPTS:
promises, async and await, error handling, Node
ALTERNATIVES:
Result objects
WHERE IT IS USED:
Servers | Jobs | Frontend calls
MINI CONVERSATION:
A: The error is not caught even though I used try. | B: You did not await the call, so the rejection escapes.
COMMON MISTAKE:
✗ try and catch catch every kind of async error → ✓ They catch only awaited rejections inside the same function
COMMONLY CONFUSED WITH:
Unhandled rejection vs thrown error: one has no handler anywhere, the other is a normal exception.
AVOID / DON'T:
Do not call async functions without handling their rejections.
WRONG CODE:
try { fetchData(); } catch (e) { console.log(e); }
RIGHT CODE:
try { await fetchData(); } catch (e) { console.log(e); }
MEMORY TRICK:
If you skip await, you skip catch.
REAL LIFE: PROJECT / WORK:
Adding a global rejection logger revealed silent failures in a nightly job.
REAL LIFE: INTERVIEW / EXAM:
An interviewer may ask: What is an unhandled promise rejection?
REAL LIFE: DAILY LIFE:
It is like watching the right mailbox for a letter.</t>
        </is>
      </c>
      <c r="C23" s="29" t="inlineStr">
        <is>
          <t>02_Async_JavaScript_Intermediate_TS-022</t>
        </is>
      </c>
    </row>
    <row r="24" ht="409" customHeight="1">
      <c r="A24" s="29" t="inlineStr">
        <is>
          <t>The event loop
Which mechanism lets single-threaded JavaScript handle waiting work without blocking?
console.log("1 start");
setTimeout(() =&gt; console.log("4 timeout"), 0);
Promise.resolve().then(() =&gt; console.log("3 promise"));
console.log("2 end");</t>
        </is>
      </c>
      <c r="B24" s="29" t="inlineStr">
        <is>
          <t>MEANING (SHORT):
The event loop moves callbacks from queues onto the call stack when it is empty, running microtasks such as promise callbacks before timer callbacks.
CODE:
console.log("1 start");
setTimeout(() =&gt; console.log("4 timeout"), 0);
Promise.resolve().then(() =&gt; console.log("3 promise"));
console.log("2 end");
OUTPUT:
1 start
2 end
3 promise
4 timeout
EXPLANATION:
Synchronous code runs first until the stack is empty. Then all microtasks run, such as promise reactions and queueMicrotask. Only after that does the loop take the next macrotask, such as a timer or an input event. A zero delay timer therefore runs after promise callbacks. Heavy computation blocks the loop, so move it to workers.
SIMPLE EXPLANATION (HINGLISH):
Sync code first, then promise callbacks, then timers and events.
REAL-LIFE ANALOGY:
The event loop is a single waiter who takes new orders only when the current table is served.
SYNTAX PATTERN:
stack empties → microtasks → next macrotask
EXAMPLE 1:
setTimeout(fn, 0) running after the current code.
EXAMPLE 2:
queueMicrotask(() =&gt; log("micro"));
EXAMPLE 3:
A long for loop that freezes a page.
VARIATION:
setImmediate(() =&gt; log("immediate"));   // Node specific timing
USED WITH:
promises, timers, Node
RELATED CONCEPTS:
callbacks, promises, timers, async and await
ALTERNATIVES:
Worker threads for heavy work
WHERE IT IS USED:
Interviews | Performance work | Debugging
MINI CONVERSATION:
A: Why does a zero timeout run last? | B: Promise callbacks go first, then timers.
COMMON MISTAKE:
✗ setTimeout with zero runs immediately → ✓ It waits for the current code and all microtasks to finish
COMMONLY CONFUSED WITH:
Microtask vs macrotask: microtasks run before the next timer or event.
AVOID / DON'T:
Do not block the loop with long synchronous work.
WRONG CODE:
setTimeout(() =&gt; log("timer"), 0); Promise.resolve().then(() =&gt; log("promise"));   // expecting timer first
RIGHT CODE:
Promise.resolve().then(() =&gt; log("promise"));   // always runs before a zero-delay timer
MEMORY TRICK:
Promises always jump ahead of timers.
REAL LIFE: PROJECT / WORK:
Moving heavy parsing to a worker stopped a server from freezing.
REAL LIFE: INTERVIEW / EXAM:
An interviewer may ask: In what order do promise callbacks and timers run?
REAL LIFE: DAILY LIFE:
It is like a single waiter serving one table at a time.</t>
        </is>
      </c>
      <c r="C24" s="29" t="inlineStr">
        <is>
          <t>02_Async_JavaScript_Advanced_TS-023</t>
        </is>
      </c>
    </row>
    <row r="25" ht="409" customHeight="1">
      <c r="A25" s="29" t="inlineStr">
        <is>
          <t>Promise.all
Which method runs several promises together and waits for all of them?
const wait = (ms, v) =&gt; new Promise(r =&gt; setTimeout(() =&gt; r(v), ms));
async function run() {
  const t0 = Date.now();
  const [a, b] = await Promise.all([wait(200, "A"), wait(200, "B")]);
  console.log(a, b, Date.now() - t0 &lt; 350);
}
run();</t>
        </is>
      </c>
      <c r="B25" s="29" t="inlineStr">
        <is>
          <t>MEANING (SHORT):
Promise.all takes an array of promises and returns one promise that resolves with an array of results, or rejects as soon as any one rejects.
CODE:
const wait = (ms, v) =&gt; new Promise(r =&gt; setTimeout(() =&gt; r(v), ms));
async function run() {
  const t0 = Date.now();
  const [a, b] = await Promise.all([wait(200, "A"), wait(200, "B")]);
  console.log(a, b, Date.now() - t0 &lt; 350);
}
run();
OUTPUT:
A B true
EXPLANATION:
The tasks start immediately and run together, so the total time is about the slowest one, not the sum. The result array keeps the same order as the input. If one rejects, all rejects, but the others still continue in the background. Promise.allSettled returns the status of each, and Promise.race returns the first to settle.
SIMPLE EXPLANATION (HINGLISH):
Start independent tasks together and await them as a group.
REAL-LIFE ANALOGY:
Promise.all is sending several runners to different shops and waiting until every one returns.
SYNTAX PATTERN:
await Promise.all([p1, p2, p3])
ANATOMY:
input = array of promises | output = array of results in order | rejects on first failure
EXAMPLE 1:
const [users, posts] = await Promise.all([getUsers(), getPosts()]);
EXAMPLE 2:
await Promise.allSettled(tasks);
EXAMPLE 3:
await Promise.race([task, timeout]);
VARIATION:
Promise.any([a, b])   // first success wins
USED WITH:
async and await, fetch, batching
RELATED CONCEPTS:
async and await, promises, fetch, rate limits
ALTERNATIVES:
Sequential awaits | p-limit for concurrency control
WHERE IT IS USED:
Parallel API calls | Startup tasks | Batch work
MINI CONVERSATION:
A: Three API calls take nine seconds in total. | B: They are awaited one by one, so run them with Promise.all.
COMMON MISTAKE:
✗ Promise.all stops the other tasks when one fails → ✓ It rejects at once, but the others keep running
COMMONLY CONFUSED WITH:
all vs allSettled: all fails fast, allSettled always waits for everything.
AVOID / DON'T:
Do not start thousands of calls at once.
WRONG CODE:
for (const id of ids) { results.push(await getUser(id)); }
RIGHT CODE:
const results = await Promise.all(ids.map(id =&gt; getUser(id)));
MEMORY TRICK:
All together, results in order.
REAL LIFE: PROJECT / WORK:
Lazy loading made the first page load noticeably faster.
REAL LIFE: INTERVIEW / EXAM:
An interviewer may ask: What is the difference between all and allSettled?
REAL LIFE: DAILY LIFE:
It is like sending runners to several shops.</t>
        </is>
      </c>
      <c r="C25" s="29" t="inlineStr">
        <is>
          <t>02_Async_JavaScript_Intermediate_TS-024</t>
        </is>
      </c>
    </row>
    <row r="26" ht="409" customHeight="1">
      <c r="A26" s="29" t="inlineStr">
        <is>
          <t>Timers
Which functions run code after a delay or repeatedly?
const id = setTimeout(() =&gt; console.log("once"), 100);
let n = 0;
const tick = setInterval(() =&gt; {
  n += 1;
  console.log("tick", n);
  if (n === 3) clearInterval(tick);
}, 40);
// clearTimeout(id) would cancel the first one</t>
        </is>
      </c>
      <c r="B26" s="29" t="inlineStr">
        <is>
          <t>MEANING (SHORT):
setTimeout runs a function once after a delay in milliseconds, setInterval runs it repeatedly, and clearTimeout and clearInterval cancel them.
CODE:
const id = setTimeout(() =&gt; console.log("once"), 100);
let n = 0;
const tick = setInterval(() =&gt; {
  n += 1;
  console.log("tick", n);
  if (n === 3) clearInterval(tick);
}, 40);
// clearTimeout(id) would cancel the first one
OUTPUT:
tick 1
tick 2
once
tick 3
EXPLANATION:
Delays are minimum values, not exact, because the loop may be busy. A forgotten interval keeps running and can keep a Node process alive. For waiting inside async code, wrap setTimeout in a promise. In browsers, timers in background tabs may be slowed down.
SIMPLE EXPLANATION (HINGLISH):
setTimeout runs once, setInterval repeats, and clear functions stop them.
REAL-LIFE ANALOGY:
A timer is an alarm clock that rings your function.
SYNTAX PATTERN:
setTimeout(fn, ms) | setInterval(fn, ms) | clearTimeout(id)
ANATOMY:
fn = callback | ms = delay | id = handle for cancelling
EXAMPLE 1:
const sleep = ms =&gt; new Promise(r =&gt; setTimeout(r, ms));
EXAMPLE 2:
const t = setInterval(poll, 5000);
EXAMPLE 3:
clearTimeout(timerId);
VARIATION:
setTimeout(fn, 0)   // run after the current code
USED WITH:
promises, polling, debouncing
RELATED CONCEPTS:
callbacks, event loop, promises, polling
ALTERNATIVES:
requestAnimationFrame | cron jobs
WHERE IT IS USED:
Delays | Polling | Debouncing
MINI CONVERSATION:
A: My process never exits. | B: An interval is still running, so clear it.
COMMON MISTAKE:
✗ A timer fires at exactly the delay given → ✓ The delay is a minimum, and the callback waits for free time
COMMONLY CONFUSED WITH:
setTimeout vs setInterval: one runs once, the other repeats.
AVOID / DON'T:
Do not leave intervals running without a way to stop them.
WRONG CODE:
setTimeout(run(), 1000);
RIGHT CODE:
setTimeout(run, 1000);
MEMORY TRICK:
Pass the function, do not call it.
REAL LIFE: PROJECT / WORK:
Clearing a forgotten interval fixed a script that never finished.
REAL LIFE: INTERVIEW / EXAM:
An interviewer may ask: Why is a timer delay not exact?
REAL LIFE: DAILY LIFE:
It is like an alarm clock for a function.</t>
        </is>
      </c>
      <c r="C26" s="29" t="inlineStr">
        <is>
          <t>02_Async_JavaScript_Beginner_TS-025</t>
        </is>
      </c>
    </row>
    <row r="27" ht="409" customHeight="1">
      <c r="A27" s="29" t="inlineStr">
        <is>
          <t>Node.js
Which runtime lets you run JavaScript outside the browser?
// hello.js
const os = require("os");
console.log("Hello from Node", process.version.startsWith("v"));
console.log(typeof os.cpus().length);</t>
        </is>
      </c>
      <c r="B27" s="29" t="inlineStr">
        <is>
          <t>MEANING (SHORT):
Node.js is a runtime built on the V8 engine that runs JavaScript on servers and computers, with built-in modules for files, networks and more.
CODE:
// hello.js
const os = require("os");
console.log("Hello from Node", process.version.startsWith("v"));
console.log(typeof os.cpus().length);
OUTPUT:
Hello from Node true
number
EXPLANATION:
Node runs a file with the node command. It provides modules such as fs, path, http and os, and a global process object for arguments and the environment. It uses a single thread with an event loop and non-blocking input and output. Package managers add third-party libraries. There is no window or document, since there is no browser.
SIMPLE EXPLANATION (HINGLISH):
Run node file.js to execute JavaScript on your machine.
REAL-LIFE ANALOGY:
Node is a portable engine that lets JavaScript work in any workshop.
SYNTAX PATTERN:
node file.js | node --version
ANATOMY:
node = the runtime | process = global info | modules = fs, path, http
EXAMPLE 1:
node -e "console.log(1 + 1)"
EXAMPLE 2:
console.log(process.argv);
EXAMPLE 3:
node --watch server.js
VARIATION:
node --env-file=.env app.js   // load a .env file in recent versions
USED WITH:
npm, package.json, ES modules
RELATED CONCEPTS:
npm and package.json, ES modules vs CommonJS, file system, HTTP server
ALTERNATIVES:
Deno | Bun
WHERE IT IS USED:
Servers | Scripts | Tooling
MINI CONVERSATION:
A: Does my script run in the browser or Node? | B: In Node, so there is no window object.
COMMON MISTAKE:
✗ Node.js is a programming language → ✓ It is a runtime that runs JavaScript outside the browser
COMMONLY CONFUSED WITH:
Node vs browser: Node has fs and process, the browser has window and document.
AVOID / DON'T:
Do not use browser-only globals in Node scripts.
WRONG CODE:
console.log(window.location);
RIGHT CODE:
console.log(process.argv);
MEMORY TRICK:
Node has process, browsers have window.
REAL LIFE: PROJECT / WORK:
Writing a data cleaning script in Node let the team reuse JavaScript skills.
REAL LIFE: INTERVIEW / EXAM:
An interviewer may ask: Is Node single threaded?
REAL LIFE: DAILY LIFE:
It is like a portable engine for any workshop.</t>
        </is>
      </c>
      <c r="C27" s="29" t="inlineStr">
        <is>
          <t>03_Node_and_Tooling_Beginner_TS-026</t>
        </is>
      </c>
    </row>
    <row r="28" ht="409" customHeight="1">
      <c r="A28" s="29" t="inlineStr">
        <is>
          <t>npm and package.json
Which tool and file manage the libraries a JavaScript project uses?
npm init -y
npm install express
npm install --save-dev typescript
npm ls --depth=0
cat package.json</t>
        </is>
      </c>
      <c r="B28" s="29" t="inlineStr">
        <is>
          <t>MEANING (SHORT):
npm installs and manages packages, and package.json records the project name, scripts and dependencies with version ranges.
CODE:
npm init -y
npm install express
npm install --save-dev typescript
npm ls --depth=0
cat package.json
OUTPUT:
A package.json is created, express is added under dependencies, typescript under devDependencies, and the dependency list is shown.
EXPLANATION:
dependencies are needed at run time, and devDependencies only for development. A lockfile pins exact versions and should be committed. Version ranges such as ^4.18.0 allow compatible updates. node_modules should not be committed. npm ci installs exactly from the lockfile, which suits CI. npm audit reports known vulnerabilities.
SIMPLE EXPLANATION (HINGLISH):
package.json lists what you need, npm installs it, and the lockfile fixes versions.
REAL-LIFE ANALOGY:
package.json is a shopping list, and node_modules is the bag of groceries.
SYNTAX PATTERN:
npm install &lt;package&gt; | npm install -D &lt;package&gt;
ANATOMY:
dependencies = runtime | devDependencies = tools | lockfile = exact versions | node_modules = installed code
EXAMPLE 1:
npm install lodash
EXAMPLE 2:
npm ci
EXAMPLE 3:
npm audit
VARIATION:
npm install express@4   // choose a major version
USED WITH:
Node, scripts, CI
RELATED CONCEPTS:
Node.js, scripts, ES modules, CI
ALTERNATIVES:
yarn | pnpm
WHERE IT IS USED:
Every project | CI | Deployments
MINI CONVERSATION:
A: It works on my laptop but not in CI. | B: Commit the lockfile and use npm ci.
COMMON MISTAKE:
✗ node_modules should be committed to Git → ✓ It is generated from package.json and the lockfile, so keep it out of Git
COMMONLY CONFUSED WITH:
npm install vs npm ci: install may update the lockfile, ci installs exactly from it.
AVOID / DON'T:
Never commit the node_modules folder to Git.
WRONG CODE:
npm install typescript   // for a build tool
RIGHT CODE:
npm install --save-dev typescript
MEMORY TRICK:
Lockfile in Git, node_modules out.
REAL LIFE: PROJECT / WORK:
Switching CI to npm ci made builds identical to developer machines.
REAL LIFE: INTERVIEW / EXAM:
An interviewer may ask: What is the difference between dependencies and devDependencies?
REAL LIFE: DAILY LIFE:
It is like a shopping list and a bag of groceries.</t>
        </is>
      </c>
      <c r="C28" s="29" t="inlineStr">
        <is>
          <t>03_Node_and_Tooling_Beginner_TS-027</t>
        </is>
      </c>
    </row>
    <row r="29" ht="409" customHeight="1">
      <c r="A29" s="29" t="inlineStr">
        <is>
          <t>npm scripts
How do you name and run common project tasks such as test and build?
{
  "scripts": {
    "dev": "node --watch server.js",
    "build": "tsc",
    "test": "node --test",
    "lint": "eslint ."
  }
}
npm run dev
npm test</t>
        </is>
      </c>
      <c r="B29" s="29" t="inlineStr">
        <is>
          <t>MEANING (SHORT):
The scripts field in package.json maps names to shell commands, which you run with npm run name.
CODE:
{
  "scripts": {
    "dev": "node --watch server.js",
    "build": "tsc",
    "test": "node --test",
    "lint": "eslint ."
  }
}
npm run dev
npm test
OUTPUT:
npm run dev starts the server in watch mode, and npm test runs the tests.
EXPLANATION:
test and start can be run without the word run. Scripts can call locally installed tools directly, since node_modules/.bin is on the path. Scripts named with pre and post prefixes run before and after another. Extra arguments go after two dashes. Keep scripts short and put complex logic in files.
SIMPLE EXPLANATION (HINGLISH):
Add commands under scripts and run them with npm run name.
REAL-LIFE ANALOGY:
Scripts are speed-dial buttons for your longest commands.
SYNTAX PATTERN:
"scripts": { "name": "command" } | npm run name
ANATOMY:
name = what you type | command = what runs | -- = pass extra arguments
EXAMPLE 1:
npm run build -- --watch
EXAMPLE 2:
"prebuild": "rm -rf dist"
EXAMPLE 3:
npm start
VARIATION:
npm run --workspaces test   // run in every workspace
USED WITH:
CI, TypeScript, linting
RELATED CONCEPTS:
npm and package.json, CI, TypeScript, environment variables
ALTERNATIVES:
Makefile | task runners
WHERE IT IS USED:
Every project | CI | Onboarding
MINI CONVERSATION:
A: How do I run the tests? | B: Run npm test, which is in the scripts section.
COMMON MISTAKE:
✗ Scripts can only run Node files → ✓ They can run any shell command, including installed tools
COMMONLY CONFUSED WITH:
npm start vs npm run dev: start is a special name, dev needs run.
AVOID / DON'T:
Do not hide complex logic inside one long script line.
WRONG CODE:
npm dev
RIGHT CODE:
npm run dev
MEMORY TRICK:
Only test and start skip the word run.
REAL LIFE: PROJECT / WORK:
Adding standard scripts let new developers run the project with three commands.
REAL LIFE: INTERVIEW / EXAM:
An interviewer may ask: How do you add arguments to an npm script?
REAL LIFE: DAILY LIFE:
It is like speed-dial buttons for long commands.</t>
        </is>
      </c>
      <c r="C29" s="29" t="inlineStr">
        <is>
          <t>03_Node_and_Tooling_Beginner_TS-028</t>
        </is>
      </c>
    </row>
    <row r="30" ht="409" customHeight="1">
      <c r="A30" s="29" t="inlineStr">
        <is>
          <t>Environment variables in Node
How does a Node program read settings and secrets from its environment?
// PORT=4000 node app.js
const port = Number(process.env.PORT ?? 3000);
if (!process.env.API_KEY) {
  throw new Error("API_KEY is required. Set it in your environment.");
}
console.log(`listening on ${port}`);</t>
        </is>
      </c>
      <c r="B30" s="29" t="inlineStr">
        <is>
          <t>MEANING (SHORT):
process.env holds environment variables as strings, which can be set in the shell, in a .env file or by the platform.
CODE:
// PORT=4000 node app.js
const port = Number(process.env.PORT ?? 3000);
if (!process.env.API_KEY) {
  throw new Error("API_KEY is required. Set it in your environment.");
}
console.log(`listening on ${port}`);
OUTPUT:
Throws the missing key error, or prints listening on 4000 when both are set
EXPLANATION:
All values are strings, so convert numbers explicitly. Recent Node versions can load a .env file with a flag, and libraries such as dotenv did this before. The .env file must stay out of Git. Browsers do not have process.env, and build tools expose only variables with a special prefix. Never log secrets.
SIMPLE EXPLANATION (HINGLISH):
Read process.env, convert types, and fail early when something is missing.
REAL-LIFE ANALOGY:
Environment variables are notes pinned to the room the program runs in.
SYNTAX PATTERN:
process.env.NAME
ANATOMY:
process.env = all variables | values are strings | .env = local file
EXAMPLE 1:
const isProd = process.env.NODE_ENV === "production";
EXAMPLE 2:
node --env-file=.env app.js
EXAMPLE 3:
const url = process.env.DATABASE_URL;
VARIATION:
PORT=5000 npm start   // set for one command
USED WITH:
dotenv, Docker, CI secrets
RELATED CONCEPTS:
Node.js, npm scripts, secrets in CI, Docker
ALTERNATIVES:
Config files | secret managers
WHERE IT IS USED:
Servers | Scripts | Deployments
MINI CONVERSATION:
A: Why does my port comparison fail? | B: The value is a string, so convert it with Number.
COMMON MISTAKE:
✗ process.env values keep their types → ✓ Every value is a string
COMMONLY CONFUSED WITH:
process.env vs config file: env is set outside the code, a file lives with it.
AVOID / DON'T:
Do not commit .env files.
WRONG CODE:
const port = process.env.PORT + 1;
RIGHT CODE:
const port = Number(process.env.PORT) + 1;
MEMORY TRICK:
Env values are always strings first.
REAL LIFE: PROJECT / WORK:
Failing fast on a missing key saved hours when a deploy lacked its secret.
REAL LIFE: INTERVIEW / EXAM:
An interviewer may ask: How do you manage secrets in a Node app?
REAL LIFE: DAILY LIFE:
It is like a note pinned to the room.</t>
        </is>
      </c>
      <c r="C30" s="29" t="inlineStr">
        <is>
          <t>03_Node_and_Tooling_Intermediate_TS-029</t>
        </is>
      </c>
    </row>
    <row r="31" ht="409" customHeight="1">
      <c r="A31" s="29" t="inlineStr">
        <is>
          <t>File system module
Which module reads and writes files in Node?
import { readFile, writeFile, readdir } from "node:fs/promises";
const text = await readFile("data.json", "utf8");
const data = JSON.parse(text);
await writeFile("out.json", JSON.stringify(data, null, 2));
console.log(await readdir("."));</t>
        </is>
      </c>
      <c r="B31" s="29" t="inlineStr">
        <is>
          <t>MEANING (SHORT):
The fs module provides functions to read, write, list and delete files and folders, and the promise-based version works with async and await.
CODE:
import { readFile, writeFile, readdir } from "node:fs/promises";
const text = await readFile("data.json", "utf8");
const data = JSON.parse(text);
await writeFile("out.json", JSON.stringify(data, null, 2));
console.log(await readdir("."));
OUTPUT:
The file is read, parsed and written back, and the folder contents are listed.
EXPLANATION:
Reading as text needs an encoding such as utf8, otherwise you get a buffer. Synchronous versions block the event loop, so avoid them in servers. Large files should be streamed instead of loaded whole. Relative paths depend on where the process starts, so build absolute paths with the path module. Handle the missing file error.
SIMPLE EXPLANATION (HINGLISH):
Use fs/promises with await, give an encoding, and build paths with the path module.
REAL-LIFE ANALOGY:
The fs module is the librarian who fetches and files documents on request.
SYNTAX PATTERN:
await readFile(path, "utf8") | await writeFile(path, data)
ANATOMY:
readFile = read | writeFile = write | readdir = list | encoding = utf8 for text
EXAMPLE 1:
await mkdir("out", { recursive: true });
EXAMPLE 2:
import path from "node:path"; path.join(import.meta.dirname, "x.txt");   // Node 20.11+; older: dirname(fileURLToPath(import.meta.url))
EXAMPLE 3:
createReadStream("big.csv").pipe(process.stdout);
VARIATION:
readFileSync("a.txt", "utf8")   // blocking, fine in small scripts
USED WITH:
JSON, path, streams
RELATED CONCEPTS:
Node.js, JSON, async and await, ES modules
ALTERNATIVES:
Streams for large files
WHERE IT IS USED:
Scripts | Data processing | Config loading
MINI CONVERSATION:
A: Reading prints a buffer, not text. | B: Pass utf8 as the encoding.
COMMON MISTAKE:
✗ Synchronous file functions are fine anywhere → ✓ They block the event loop and hurt servers
COMMONLY CONFUSED WITH:
fs vs fs/promises: one uses callbacks, the other returns promises.
AVOID / DON'T:
Do not read huge files fully into memory.
WRONG CODE:
const text = await readFile("a.txt");
RIGHT CODE:
const text = await readFile("a.txt", "utf8");
MEMORY TRICK:
Text needs an encoding, or you get bytes.
REAL LIFE: PROJECT / WORK:
Streaming a large export file avoided running out of memory in a nightly job.
REAL LIFE: INTERVIEW / EXAM:
An interviewer may ask: Why avoid readFileSync in a server?
REAL LIFE: DAILY LIFE:
It is like a librarian fetching documents.</t>
        </is>
      </c>
      <c r="C31" s="29" t="inlineStr">
        <is>
          <t>03_Node_and_Tooling_Intermediate_TS-030</t>
        </is>
      </c>
    </row>
    <row r="32" ht="409" customHeight="1">
      <c r="A32" s="29" t="inlineStr">
        <is>
          <t>ES modules vs CommonJS
Which two module systems exist in Node, and how do you tell them apart?
// CommonJS
const fs = require("fs");
module.exports = { run };
// ES module
import fs from "node:fs";
export function run() {}
// package.json: { "type": "module" }</t>
        </is>
      </c>
      <c r="B32" s="29" t="inlineStr">
        <is>
          <t>MEANING (SHORT):
CommonJS uses require and module.exports, while ES modules use import and export, and Node decides which applies from the file extension and package.json.
CODE:
// CommonJS
const fs = require("fs");
module.exports = { run };
// ES module
import fs from "node:fs";
export function run() {}
// package.json: { "type": "module" }
OUTPUT:
Both styles work, but each file must use the one it is configured for.
EXPLANATION:
A package.json with type module makes .js files ES modules, while .cjs is always CommonJS and .mjs is always ES module. ES modules need file extensions in relative imports and do not have __dirname by default. Older Node versions let CommonJS load ES modules only with dynamic import(); recent versions (22.12+, 20.19+) also allow require() of an ES module that has no top-level await. Mixing them causes errors such as cannot use import statement outside a module.
SIMPLE EXPLANATION (HINGLISH):
Pick one style per project, set type in package.json, and use extensions to override.
REAL-LIFE ANALOGY:
CommonJS is the old plug type, and ES modules are the new standard socket.
SYNTAX PATTERN:
require("x") | import x from "x"
ANATOMY:
require = CommonJS | import = ES module | type = package.json setting | .cjs/.mjs = forced types
EXAMPLE 1:
"type": "module"
EXAMPLE 2:
const mod = await import("./file.js");
EXAMPLE 3:
import { fileURLToPath } from "node:url";
VARIATION:
import.meta.url   // the ES module replacement for __filename
USED WITH:
package.json, TypeScript, bundlers
RELATED CONCEPTS:
ES modules, npm and package.json, TypeScript, Node.js
ALTERNATIVES:
Bundlers that convert styles
WHERE IT IS USED:
Node projects | Libraries | Migration work
MINI CONVERSATION:
A: It says cannot use import statement outside a module. | B: Set type module in package.json or rename to .mjs.
COMMON MISTAKE:
✗ The two module systems can be mixed freely in one file → ✓ A file is one or the other, and mixing needs dynamic import
COMMONLY CONFUSED WITH:
require vs import: require is sync and old, import is static and standard.
AVOID / DON'T:
Do not use require in an ES module file.
WRONG CODE:
const x = require("./x.js");   // inside an ES module
RIGHT CODE:
import x from "./x.js";
MEMORY TRICK:
Type module means import and export.
REAL LIFE: PROJECT / WORK:
Migrating a service to ES modules removed a long list of build workarounds.
REAL LIFE: INTERVIEW / EXAM:
An interviewer may ask: What does type module do in package.json?
REAL LIFE: DAILY LIFE:
It is like an old plug and a new socket.</t>
        </is>
      </c>
      <c r="C32" s="29" t="inlineStr">
        <is>
          <t>03_Node_and_Tooling_Intermediate_TS-031</t>
        </is>
      </c>
    </row>
    <row r="33" ht="409" customHeight="1">
      <c r="A33" s="29" t="inlineStr">
        <is>
          <t>A simple HTTP server
How do you create a small web server with Node?
import { createServer } from "node:http";
const server = createServer((req, res) =&gt; {
  if (req.url === "/health") {
    res.writeHead(200, { "Content-Type": "application/json" });
    return res.end(JSON.stringify({ ok: true }));
  }
  res.writeHead(404);
  res.end("not found");
});
server.listen(3000, () =&gt; console.log("http://localhost:3000"));</t>
        </is>
      </c>
      <c r="B33" s="29" t="inlineStr">
        <is>
          <t>MEANING (SHORT):
The http module creates a server that runs a function for every request, and the function writes a status, headers and a body to the response.
CODE:
import { createServer } from "node:http";
const server = createServer((req, res) =&gt; {
  if (req.url === "/health") {
    res.writeHead(200, { "Content-Type": "application/json" });
    return res.end(JSON.stringify({ ok: true }));
  }
  res.writeHead(404);
  res.end("not found");
});
server.listen(3000, () =&gt; console.log("http://localhost:3000"));
OUTPUT:
Visiting /health returns {"ok":true}, and any other path returns not found.
EXPLANATION:
The handler receives a request with the method, url and headers, and a response to which you write. You must always end the response, or the client hangs. Bodies arrive as streams and need to be collected. Frameworks add routing, parsing and middleware on top of this base. Listen on the port from the environment.
SIMPLE EXPLANATION (HINGLISH):
Create a server with a handler, answer each request, and end the response.
REAL-LIFE ANALOGY:
A server is a shop counter that answers each customer who walks in.
SYNTAX PATTERN:
createServer((req, res) =&gt; { ... }).listen(port)
ANATOMY:
req = request | res = response | writeHead = status and headers | end = finish
EXAMPLE 1:
res.writeHead(200, { "Content-Type": "text/plain" });
EXAMPLE 2:
if (req.method === "POST") { }
EXAMPLE 3:
server.listen(Number(process.env.PORT ?? 3000));
VARIATION:
import express from "express"; app.get("/health", (req, res) =&gt; res.json({ ok: true }));   // the framework version
USED WITH:
JSON, environment variables, Express
RELATED CONCEPTS:
Node.js, environment variables, JSON, HTTP
ALTERNATIVES:
Express | Fastify | Hono
WHERE IT IS USED:
APIs | Webhooks | Health checks
MINI CONVERSATION:
A: The browser keeps loading forever. | B: The handler never calls res.end, so the response never finishes.
COMMON MISTAKE:
✗ A response finishes automatically when the handler returns → ✓ You must call end, or the client keeps waiting
COMMONLY CONFUSED WITH:
req vs res: req is what the client sent, res is what you send back.
AVOID / DON'T:
Do not forget to end every response.
WRONG CODE:
createServer((req, res) =&gt; { res.write("hi"); });
RIGHT CODE:
createServer((req, res) =&gt; { res.end("hi"); });
MEMORY TRICK:
Always end the response you start.
REAL LIFE: PROJECT / WORK:
Writing a tiny health check server helped test a container before the real app.
REAL LIFE: INTERVIEW / EXAM:
An interviewer may ask: What happens if you never call res.end?
REAL LIFE: DAILY LIFE:
It is like a shop counter answering customers.</t>
        </is>
      </c>
      <c r="C33" s="29" t="inlineStr">
        <is>
          <t>03_Node_and_Tooling_Intermediate_TS-032</t>
        </is>
      </c>
    </row>
    <row r="34" ht="409" customHeight="1">
      <c r="A34" s="29" t="inlineStr">
        <is>
          <t>Why TypeScript
Which language adds types to JavaScript so mistakes are caught before the code runs?
function total(price: number, qty: number): number {
  return price * qty;
}
console.log(total(10, 3));
// total("10", 3) is a compile error</t>
        </is>
      </c>
      <c r="B34" s="29" t="inlineStr">
        <is>
          <t>MEANING (SHORT):
TypeScript is a superset of JavaScript that adds static types, which the compiler checks and then removes to produce plain JavaScript.
CODE:
function total(price: number, qty: number): number {
  return price * qty;
}
console.log(total(10, 3));
// total("10", 3) is a compile error
OUTPUT:
30
EXPLANATION:
Types exist only at compile time and are erased, so the running code is ordinary JavaScript. The compiler tsc reports errors and can emit JavaScript. Types also power editor features such as autocomplete and safe renaming. TypeScript does not check data that arrives at run time, such as API responses, so those still need validation.
SIMPLE EXPLANATION (HINGLISH):
Write types, let the compiler check them, and ship plain JavaScript.
REAL-LIFE ANALOGY:
TypeScript is a spell checker for code, underlining mistakes before you send.
SYNTAX PATTERN:
function f(x: number): string { }
ANATOMY:
: type = annotation | tsc = compiler | .ts = TypeScript file
EXAMPLE 1:
let count: number = 0;
EXAMPLE 2:
const names: string[] = [];
EXAMPLE 3:
function greet(name: string): string { return name; }
VARIATION:
npx tsc --noEmit   // check types only
USED WITH:
editors, Node, React, linters
RELATED CONCEPTS:
basic types, tsconfig, strict mode, any vs unknown
ALTERNATIVES:
JSDoc type comments | Flow
WHERE IT IS USED:
Large codebases | Libraries | Teams
MINI CONVERSATION:
A: Why did the editor underline my call? | B: The argument has the wrong type, and TypeScript caught it before running.
COMMON MISTAKE:
✗ TypeScript checks types while the program runs → ✓ Types are removed at compile time, so run-time data needs its own validation
COMMONLY CONFUSED WITH:
Compile-time vs run-time: types are checked before running, not during it.
AVOID / DON'T:
Do not assume API data matches your types.
WRONG CODE:
total("10", 3);
RIGHT CODE:
total(10, 3);
MEMORY TRICK:
Types check before running, not during.
REAL LIFE: PROJECT / WORK:
Adding TypeScript caught several wrong argument orders in a shared utility library.
REAL LIFE: INTERVIEW / EXAM:
An interviewer may ask: Do TypeScript types exist at run time?
REAL LIFE: DAILY LIFE:
It is like a spell checker for code.</t>
        </is>
      </c>
      <c r="C34" s="29" t="inlineStr">
        <is>
          <t>04_TypeScript_Beginner_TS-033</t>
        </is>
      </c>
    </row>
    <row r="35" ht="409" customHeight="1">
      <c r="A35" s="29" t="inlineStr">
        <is>
          <t>Basic types
Which built-in types describe numbers, text, lists and other common values?
const name: string = "Asha";
const age: number = 28;
const active: boolean = true;
const tags: string[] = ["a", "b"];
const pair: [string, number] = ["x", 1];
function log(msg: string): void { console.log(msg); }
const inferred = 5;</t>
        </is>
      </c>
      <c r="B35" s="29" t="inlineStr">
        <is>
          <t>MEANING (SHORT):
Common types include string, number, boolean, arrays written as T[], tuples, object types, null, undefined, void and never.
CODE:
const name: string = "Asha";
const age: number = 28;
const active: boolean = true;
const tags: string[] = ["a", "b"];
const pair: [string, number] = ["x", 1];
function log(msg: string): void { console.log(msg); }
const inferred = 5;
OUTPUT:
No output. inferred has the literal type 5 (a let variable would be number).
EXPLANATION:
Type inference means you usually do not annotate local variables. A tuple fixes length and the type at each position. void marks functions that return nothing, and never marks values that cannot happen. There is one number type for integers and decimals. Capitalised wrappers such as String should not be used.
SIMPLE EXPLANATION (HINGLISH):
Use lowercase primitive types, let inference work, and annotate function boundaries.
REAL-LIFE ANALOGY:
Basic types are labelled shelves where each kind of value belongs.
SYNTAX PATTERN:
let x: type = value; | type[] | [type1, type2]
ANATOMY:
string, number, boolean = primitives | T[] = array | [A, B] = tuple | void = no return
EXAMPLE 1:
let id: number | undefined;
EXAMPLE 2:
const scores: Array&lt;number&gt; = [1, 2];
EXAMPLE 3:
let point: [number, number] = [0, 0];
VARIATION:
let big: bigint = 10n;   // very large integers
USED WITH:
functions, interfaces, generics
RELATED CONCEPTS:
why TypeScript, interfaces vs types, unions, type inference
ALTERNATIVES:
Inference
WHERE IT IS USED:
Every TypeScript file | Function signatures | Data models
MINI CONVERSATION:
A: Should I annotate every variable? | B: No, annotate function parameters and returns and let inference do the rest.
COMMON MISTAKE:
✗ Use String and Number with capital letters for types → ✓ Use lowercase string and number, as the capitalised ones are wrappers
COMMONLY CONFUSED WITH:
Tuple vs array: a tuple has fixed positions and types, an array has any length of one type.
AVOID / DON'T:
Do not annotate obvious local variables.
WRONG CODE:
let name: String = "Asha";
RIGHT CODE:
let name: string = "Asha";
MEMORY TRICK:
Lowercase types are the real types.
REAL LIFE: PROJECT / WORK:
Defining tuple types for coordinates prevented swapped latitude and longitude.
REAL LIFE: INTERVIEW / EXAM:
An interviewer may ask: What is a tuple?
REAL LIFE: DAILY LIFE:
It is like labelled shelves for values.</t>
        </is>
      </c>
      <c r="C35" s="29" t="inlineStr">
        <is>
          <t>04_TypeScript_Beginner_TS-034</t>
        </is>
      </c>
    </row>
    <row r="36" ht="409" customHeight="1">
      <c r="A36" s="29" t="inlineStr">
        <is>
          <t>Interfaces vs type aliases
Which two ways describe the shape of an object, and when does each fit?
interface User { id: number; name: string; email?: string }
interface Admin extends User { level: number }
type Id = number | string;
type Point = { x: number; y: number };
const a: Admin = { id: 1, name: "Asha", level: 2 };</t>
        </is>
      </c>
      <c r="B36" s="29" t="inlineStr">
        <is>
          <t>MEANING (SHORT):
An interface describes an object shape and can be extended or merged, while a type alias names any type including unions, tuples and primitives.
CODE:
interface User { id: number; name: string; email?: string }
interface Admin extends User { level: number }
type Id = number | string;
type Point = { x: number; y: number };
const a: Admin = { id: 1, name: "Asha", level: 2 };
OUTPUT:
No output, and the object is checked against the Admin shape
EXPLANATION:
Both describe objects and work in most cases. Interfaces extend with extends and can be declared twice to merge, which libraries use. Type aliases use intersections with ampersand and are needed for unions and mapped types. Pick one convention for a project and stay consistent.
SIMPLE EXPLANATION (HINGLISH):
Use interfaces for object shapes and type aliases for unions and combinations.
REAL-LIFE ANALOGY:
An interface is a building blueprint, and a type alias is a name sticker for any shape.
SYNTAX PATTERN:
interface Name { key: type } | type Name = type
ANATOMY:
interface = object shape | extends = inherit | type = alias | &amp; = combine
EXAMPLE 1:
type Status = "open" | "closed";
EXAMPLE 2:
type Admin = User &amp; { level: number };
EXAMPLE 3:
interface Props { title: string }
VARIATION:
interface Window { myApp: string }   // declaration merging
USED WITH:
functions, React props, APIs
RELATED CONCEPTS:
basic types, unions and literals, utility types, generics
ALTERNATIVES:
Classes | Zod schemas
WHERE IT IS USED:
Data models | Props | API shapes
MINI CONVERSATION:
A: Should this be an interface or a type? | B: For a plain object shape either works, but a union needs a type.
COMMON MISTAKE:
✗ Interfaces and types are completely interchangeable → ✓ Only types can name unions, and only interfaces can merge by redeclaration
COMMONLY CONFUSED WITH:
Interface vs type: interfaces extend and merge, types combine and name unions.
AVOID / DON'T:
Do not mix both styles randomly in one project.
WRONG CODE:
interface Id = number | string;
RIGHT CODE:
type Id = number | string;
MEMORY TRICK:
Unions need a type alias.
REAL LIFE: PROJECT / WORK:
Defining a User interface shared by the API and the UI removed several mismatches.
REAL LIFE: INTERVIEW / EXAM:
An interviewer may ask: What is the difference between an interface and a type?
REAL LIFE: DAILY LIFE:
It is like a blueprint and a name sticker.</t>
        </is>
      </c>
      <c r="C36" s="29" t="inlineStr">
        <is>
          <t>04_TypeScript_Beginner_TS-035</t>
        </is>
      </c>
    </row>
    <row r="37" ht="409" customHeight="1">
      <c r="A37" s="29" t="inlineStr">
        <is>
          <t>Unions and literal types
Which types say a value can be one of several options or exactly one fixed value?
type Status = "idle" | "loading" | "done";
type Id = number | string;
let s: Status = "idle";
s = "loading";
// s = "stopped" is an error
function show(id: Id) { return typeof id === "number" ? id.toFixed(0) : id.toUpperCase(); }</t>
        </is>
      </c>
      <c r="B37" s="29" t="inlineStr">
        <is>
          <t>MEANING (SHORT):
A union type uses a vertical bar to allow several types, and a literal type restricts a value to one exact string, number or boolean.
CODE:
type Status = "idle" | "loading" | "done";
type Id = number | string;
let s: Status = "idle";
s = "loading";
// s = "stopped" is an error
function show(id: Id) { return typeof id === "number" ? id.toFixed(0) : id.toUpperCase(); }
OUTPUT:
No output, and an invalid status is rejected at compile time
EXPLANATION:
A union value can use only members common to all options until you narrow it. Literal unions behave like enums but compile to plain strings. A discriminated union adds a shared literal field, such as kind, so the compiler can tell the members apart in a switch. Combine with exhaustive checks using never.
SIMPLE EXPLANATION (HINGLISH):
List the allowed options, and narrow before using type-specific features.
REAL-LIFE ANALOGY:
A union is a menu where you pick one item, and a literal type is a menu with a single dish.
SYNTAX PATTERN:
type T = A | B | "literal"
ANATOMY:
| = or | "x" = exact value | discriminant = shared literal field
EXAMPLE 1:
type Mode = "light" | "dark";
EXAMPLE 2:
type Result = { ok: true; data: string } | { ok: false; error: string };
EXAMPLE 3:
let level: 1 | 2 | 3 = 2;
VARIATION:
const modes = ["light", "dark"] as const;   // literal tuple
USED WITH:
narrowing, switch, React state
RELATED CONCEPTS:
basic types, narrowing, enums, as const
ALTERNATIVES:
Enums
WHERE IT IS USED:
State machines | Props | API results
MINI CONVERSATION:
A: How do I stop invalid status strings? | B: Use a union of literal types.
COMMON MISTAKE:
✗ A union lets you use any property of any member → ✓ You can use only what all members share until you narrow
COMMONLY CONFUSED WITH:
Union vs intersection: union means one of, intersection means all of.
AVOID / DON'T:
Do not use plain string for a small fixed set of values.
WRONG CODE:
let status: string = "stoped";
RIGHT CODE:
let status: Status = "done";
MEMORY TRICK:
Bar means one of these options.
REAL LIFE: PROJECT / WORK:
Replacing string statuses with a literal union caught a misspelled state in review.
REAL LIFE: INTERVIEW / EXAM:
An interviewer may ask: What is a discriminated union?
REAL LIFE: DAILY LIFE:
It is like a menu with a few allowed dishes.</t>
        </is>
      </c>
      <c r="C37" s="29" t="inlineStr">
        <is>
          <t>04_TypeScript_Intermediate_TS-036</t>
        </is>
      </c>
    </row>
    <row r="38" ht="409" customHeight="1">
      <c r="A38" s="29" t="inlineStr">
        <is>
          <t>Generics
Which feature lets a function or type work with many types while keeping them linked?
function first&lt;T&gt;(items: T[]): T | undefined {
  return items[0];
}
const n = first([1, 2, 3]);
const s = first(["a", "b"]);
interface Box&lt;T&gt; { value: T }
const box: Box&lt;string&gt; = { value: "hi" };</t>
        </is>
      </c>
      <c r="B38" s="29" t="inlineStr">
        <is>
          <t>MEANING (SHORT):
A generic type parameter is a placeholder, written in angle brackets, that is filled in when the function or type is used.
CODE:
function first&lt;T&gt;(items: T[]): T | undefined {
  return items[0];
}
const n = first([1, 2, 3]);
const s = first(["a", "b"]);
interface Box&lt;T&gt; { value: T }
const box: Box&lt;string&gt; = { value: "hi" };
OUTPUT:
n is number or undefined, s is string or undefined, and box holds a string
EXPLANATION:
The compiler infers T from the arguments, so you rarely write it. Constraints with extends limit what T may be, such as T extends { id: number }. Defaults can be provided. Generics power arrays, promises and utility types. Avoid generics that are used only once, since a simple type is clearer.
SIMPLE EXPLANATION (HINGLISH):
A placeholder type that is filled in at use, so input and output types stay connected.
REAL-LIFE ANALOGY:
A generic is a box with a label slot saying what sort of item is inside.
SYNTAX PATTERN:
function f&lt;T&gt;(x: T): T | interface Box&lt;T&gt; { }
ANATOMY:
&lt;T&gt; = type parameter | extends = constraint | default = T = string
EXAMPLE 1:
function getId&lt;T extends { id: number }&gt;(x: T) { return x.id; }
EXAMPLE 2:
const p: Promise&lt;number&gt; = Promise.resolve(1);
EXAMPLE 3:
function pair&lt;A, B&gt;(a: A, b: B): [A, B] { return [a, b]; }
VARIATION:
type Response&lt;T = unknown&gt; = { data: T };   // a default type
USED WITH:
arrays, promises, utility types
RELATED CONCEPTS:
utility types, Promise&lt;T&gt;, interfaces vs types, constraints
ALTERNATIVES:
Function overloads | any
WHERE IT IS USED:
Libraries | Utilities | API clients
MINI CONVERSATION:
A: My helper loses the item type. | B: Make it generic so the type flows through.
COMMON MISTAKE:
✗ Generics are only for library authors → ✓ They help in everyday helpers and API wrappers too
COMMONLY CONFUSED WITH:
Generic vs any: generic keeps the type link, any discards it.
AVOID / DON'T:
Do not use any when a generic fits.
WRONG CODE:
function first(items: any[]): any { return items[0]; }
RIGHT CODE:
function first&lt;T&gt;(items: T[]): T | undefined { return items[0]; }
MEMORY TRICK:
T remembers the type that went in.
REAL LIFE: PROJECT / WORK:
Making an API helper generic gave typed results for every endpoint.
REAL LIFE: INTERVIEW / EXAM:
An interviewer may ask: What problem do generics solve?
REAL LIFE: DAILY LIFE:
It is like a box with a label slot.</t>
        </is>
      </c>
      <c r="C38" s="29" t="inlineStr">
        <is>
          <t>04_TypeScript_Intermediate_TS-037</t>
        </is>
      </c>
    </row>
    <row r="39" ht="409" customHeight="1">
      <c r="A39" s="29" t="inlineStr">
        <is>
          <t>Narrowing
How does TypeScript work out a more specific type inside a condition?
function format(v: string | number | null) {
  if (v === null) return "empty";
  if (typeof v === "string") return v.trim();
  return v.toFixed(1);
}
console.log(format(" hi "), format(2.456), format(null));</t>
        </is>
      </c>
      <c r="B39" s="29" t="inlineStr">
        <is>
          <t>MEANING (SHORT):
Narrowing is the compiler refining a broad type to a narrower one inside a branch, based on checks such as typeof, instanceof, in, truthiness and equality.
CODE:
function format(v: string | number | null) {
  if (v === null) return "empty";
  if (typeof v === "string") return v.trim();
  return v.toFixed(1);
}
console.log(format(" hi "), format(2.456), format(null));
OUTPUT:
hi 2.5 empty
EXPLANATION:
After the null check, the type no longer includes null, and after the string check only number remains. Narrowing also works with in for object keys, instanceof for classes, and switch on a discriminant. Assignments can narrow, but callbacks can reset narrowing. Custom type guards extend the idea.
SIMPLE EXPLANATION (HINGLISH):
Check the type, and inside that branch the compiler knows the narrower type.
REAL-LIFE ANALOGY:
Narrowing is a detective eliminating suspects until one remains.
SYNTAX PATTERN:
if (typeof x === "string") { } | if ("key" in obj) { } | x instanceof Class
ANATOMY:
typeof = primitives | in = property check | instanceof = classes | === = equality
EXAMPLE 1:
if (Array.isArray(v)) { v.length; }
EXAMPLE 2:
if ("error" in result) { result.error; }
EXAMPLE 3:
if (err instanceof Error) { err.message; }
VARIATION:
switch (shape.kind) { case "circle": ... }   // narrowing by discriminant
USED WITH:
unions, type guards, errors
RELATED CONCEPTS:
unions and literals, type guards, any vs unknown, errors in TypeScript
ALTERNATIVES:
Type assertions
WHERE IT IS USED:
Unions | Error handling | Parsing
MINI CONVERSATION:
A: I cannot call toFixed on this value. | B: It may be a string, so narrow with typeof first.
COMMON MISTAKE:
✗ A type assertion is the same as narrowing → ✓ Narrowing is proven by checks, while an assertion only tells the compiler to trust you
COMMONLY CONFUSED WITH:
Narrowing vs assertion: one is verified, the other is trusted.
AVOID / DON'T:
Do not assert when a check would prove the type.
WRONG CODE:
(v as number).toFixed(1);
RIGHT CODE:
if (typeof v === "number") v.toFixed(1);
MEMORY TRICK:
Check first, then use the narrow type.
REAL LIFE: PROJECT / WORK:
Narrowing an API result union removed several unsafe type assertions.
REAL LIFE: INTERVIEW / EXAM:
An interviewer may ask: How does TypeScript narrow a union?
REAL LIFE: DAILY LIFE:
It is like a detective eliminating suspects.</t>
        </is>
      </c>
      <c r="C39" s="29" t="inlineStr">
        <is>
          <t>04_TypeScript_Intermediate_TS-038</t>
        </is>
      </c>
    </row>
    <row r="40" ht="409" customHeight="1">
      <c r="A40" s="29" t="inlineStr">
        <is>
          <t>any vs unknown
Which two types hold anything, and why is one far safer?
let a: any = "text";
// a.doesNotExist();   // no compile error, but would crash at run time
let u: unknown = JSON.parse('{"id": 1}');
if (typeof u === "object" &amp;&amp; u !== null &amp;&amp; "id" in u) {
  console.log((u as { id: number }).id);
}</t>
        </is>
      </c>
      <c r="B40" s="29" t="inlineStr">
        <is>
          <t>MEANING (SHORT):
any turns off type checking for a value, while unknown accepts any value but requires narrowing before you can use it.
CODE:
let a: any = "text";
// a.doesNotExist();   // no compile error, but would crash at run time
let u: unknown = JSON.parse('{"id": 1}');
if (typeof u === "object" &amp;&amp; u !== null &amp;&amp; "id" in u) {
  console.log((u as { id: number }).id);
}
OUTPUT:
1
EXPLANATION:
any spreads, because values derived from it are also any, which hides errors widely. unknown forces you to prove the type before use, so it is safe for parsed data, caught errors and third-party input. Validation libraries such as Zod turn unknown into a typed value. Enabling noImplicitAny flags accidental any.
SIMPLE EXPLANATION (HINGLISH):
Use unknown instead of any, and narrow or validate before using the value.
REAL-LIFE ANALOGY:
any is a door with no lock, and unknown is a locked box that needs proof.
SYNTAX PATTERN:
let x: unknown; if (typeof x === "string") { }
ANATOMY:
any = unchecked | unknown = must narrow | noImplicitAny = flag
EXAMPLE 1:
catch (err: unknown) { }
EXAMPLE 2:
function parse(text: string): unknown { return JSON.parse(text); }
EXAMPLE 3:
const data = schema.parse(raw);
VARIATION:
// @ts-expect-error   // a documented, intentional exception
USED WITH:
validation, JSON, errors
RELATED CONCEPTS:
narrowing, type guards, JSON, strict mode
ALTERNATIVES:
Zod validation | generics
WHERE IT IS USED:
API data | Error handling | Parsing
MINI CONVERSATION:
A: The API data type is any. | B: Make it unknown and validate it before use.
COMMON MISTAKE:
✗ any is harmless because it is flexible → ✓ It silently removes checking for everything it touches
COMMONLY CONFUSED WITH:
any vs unknown: any allows everything, unknown requires proof.
AVOID / DON'T:
Do not let any spread through the code.
WRONG CODE:
const data: any = await res.json();
data.user.name.first;
RIGHT CODE:
const data: unknown = await res.json();
const user = userSchema.parse(data);
MEMORY TRICK:
Unknown asks for proof, any asks for nothing.
REAL LIFE: PROJECT / WORK:
Replacing any with unknown plus validation caught a missing field in an API response.
REAL LIFE: INTERVIEW / EXAM:
An interviewer may ask: Why is unknown safer than any?
REAL LIFE: DAILY LIFE:
It is like a box that needs a key.</t>
        </is>
      </c>
      <c r="C40" s="29" t="inlineStr">
        <is>
          <t>04_TypeScript_Intermediate_TS-039</t>
        </is>
      </c>
    </row>
    <row r="41" ht="409" customHeight="1">
      <c r="A41" s="29" t="inlineStr">
        <is>
          <t>Optional and readonly properties
Which modifiers mark a property as possibly missing or as unchangeable?
interface Config {
  readonly name: string;
  port?: number;
}
const c: Config = { name: "api" };
// c.name = "x" is an error
const port = c.port ?? 3000;
const nums: readonly number[] = [1, 2];</t>
        </is>
      </c>
      <c r="B41" s="29" t="inlineStr">
        <is>
          <t>MEANING (SHORT):
A question mark makes a property optional, so it may be undefined, and readonly prevents reassignment after creation.
CODE:
interface Config {
  readonly name: string;
  port?: number;
}
const c: Config = { name: "api" };
// c.name = "x" is an error
const port = c.port ?? 3000;
const nums: readonly number[] = [1, 2];
OUTPUT:
No output, and writing to name is rejected at compile time
EXPLANATION:
Optional properties have the type of their value or undefined, so check them before use. readonly is checked only at compile time and does not stop run-time changes. readonly arrays remove methods that mutate. The utility types Partial and Readonly apply these modifiers to every property.
SIMPLE EXPLANATION (HINGLISH):
A question mark means maybe missing, and readonly means do not reassign.
REAL-LIFE ANALOGY:
A question mark is a maybe box, and readonly is a sealed box.
SYNTAX PATTERN:
key?: type | readonly key: type
ANATOMY:
? = optional | readonly = no reassignment | ?? = default for missing values
EXAMPLE 1:
interface Options { retries?: number }
EXAMPLE 2:
const ids: ReadonlyArray&lt;number&gt; = [1];
EXAMPLE 3:
type Frozen = Readonly&lt;User&gt;;
VARIATION:
Object.freeze(obj)   // also enforces at run time
USED WITH:
interfaces, utility types, configuration
RELATED CONCEPTS:
interfaces vs types, utility types, strict mode, Object.freeze
ALTERNATIVES:
Object.freeze | immutable libraries
WHERE IT IS USED:
Configuration | Props | Immutable data
MINI CONVERSATION:
A: How do I stop code changing this config? | B: Mark the properties readonly.
COMMON MISTAKE:
✗ readonly makes the object immutable at run time → ✓ It is checked only by the compiler
COMMONLY CONFUSED WITH:
Optional vs undefined: optional means the key may be absent, undefined is a value.
AVOID / DON'T:
Do not rely on readonly for run-time protection.
WRONG CODE:
interface User { email: string }   // not always present
RIGHT CODE:
interface User { email?: string }
MEMORY TRICK:
Question means maybe, readonly means locked.
REAL LIFE: PROJECT / WORK:
Marking config fields readonly stopped accidental changes in a shared module.
REAL LIFE: INTERVIEW / EXAM:
An interviewer may ask: Does readonly exist at run time?
REAL LIFE: DAILY LIFE:
It is like a sealed box.</t>
        </is>
      </c>
      <c r="C41" s="29" t="inlineStr">
        <is>
          <t>04_TypeScript_Beginner_TS-040</t>
        </is>
      </c>
    </row>
    <row r="42" ht="409" customHeight="1">
      <c r="A42" s="29" t="inlineStr">
        <is>
          <t>Enums
Which feature gives names to a fixed set of related constants, and what are the alternatives?
enum Role { Admin = "ADMIN", User = "USER" }
const r: Role = Role.Admin;
type Level = "low" | "high";
const lvl: Level = "low";
console.log(r, lvl);</t>
        </is>
      </c>
      <c r="B42" s="29" t="inlineStr">
        <is>
          <t>MEANING (SHORT):
An enum defines a set of named constants, numeric or string, that exists at run time as an object.
CODE:
enum Role { Admin = "ADMIN", User = "USER" }
const r: Role = Role.Admin;
type Level = "low" | "high";
const lvl: Level = "low";
console.log(r, lvl);
OUTPUT:
ADMIN low
EXPLANATION:
String enums produce readable values and are safer than numeric enums, which accept any number in older versions. Enums create extra code at run time, while literal unions vanish after compilation. const enums inline values but have tooling limits. The as const object pattern gives enum-like behaviour with plain JavaScript.
SIMPLE EXPLANATION (HINGLISH):
Use a literal union for most cases, and a string enum when you need a run-time object.
REAL-LIFE ANALOGY:
An enum is a labelled switch panel with a name for every position.
SYNTAX PATTERN:
enum Name { A = "a", B = "b" }
ANATOMY:
enum = named set | = "value" = string member | Name.A = access
EXAMPLE 1:
enum Dir { Up, Down }
EXAMPLE 2:
const Colors = { red: "red", blue: "blue" } as const;
EXAMPLE 3:
type Color = typeof Colors[keyof typeof Colors];
VARIATION:
const enum Mode { Fast = "fast" }   // inlined at compile time
USED WITH:
unions, as const, switch
RELATED CONCEPTS:
unions and literals, as const, interfaces vs types, narrowing
ALTERNATIVES:
Literal unions | as const objects
WHERE IT IS USED:
Roles | Statuses | Configuration keys
MINI CONVERSATION:
A: Do I need an enum here? | B: A literal union is lighter, unless you need the values at run time.
COMMON MISTAKE:
✗ Enums are erased like other types → ✓ They create real objects in the compiled JavaScript
COMMONLY CONFUSED WITH:
Enum vs union: an enum exists at run time, a union exists only at compile time.
AVOID / DON'T:
Do not use numeric enums for values that cross system boundaries.
WRONG CODE:
enum Status { Open, Closed }   // numbers hide meaning in logs
RIGHT CODE:
type Status = "open" | "closed";
MEMORY TRICK:
Unions vanish, enums stay behind.
REAL LIFE: PROJECT / WORK:
Switching enums to literal unions shrank a frontend bundle slightly.
REAL LIFE: INTERVIEW / EXAM:
An interviewer may ask: What is the difference between an enum and a union of literals?
REAL LIFE: DAILY LIFE:
It is like a labelled switch panel.</t>
        </is>
      </c>
      <c r="C42" s="29" t="inlineStr">
        <is>
          <t>04_TypeScript_Intermediate_TS-041</t>
        </is>
      </c>
    </row>
    <row r="43" ht="409" customHeight="1">
      <c r="A43" s="29" t="inlineStr">
        <is>
          <t>tsconfig.json
Which file tells the TypeScript compiler how to check and emit your code?
{
  "compilerOptions": {
    "target": "ES2022",
    "module": "NodeNext",
    "strict": true,
    "outDir": "dist",
    "rootDir": "src",
    "skipLibCheck": true
  },
  "include": ["src"]
}</t>
        </is>
      </c>
      <c r="B43" s="29" t="inlineStr">
        <is>
          <t>MEANING (SHORT):
tsconfig.json sets compiler options such as target, module, strict and outDir, and lists the files to include.
CODE:
{
  "compilerOptions": {
    "target": "ES2022",
    "module": "NodeNext",
    "strict": true,
    "outDir": "dist",
    "rootDir": "src",
    "skipLibCheck": true
  },
  "include": ["src"]
}
OUTPUT:
tsc reads this file and compiles files in src into dist with strict checking.
EXPLANATION:
target sets the JavaScript version emitted, module sets the module system, and strict turns on a group of safety checks. outDir and rootDir control where output goes. include and exclude choose files. Frontend tools often use noEmit because a bundler produces the output. extends lets projects share a base configuration.
SIMPLE EXPLANATION (HINGLISH):
Put compiler settings in tsconfig.json and run tsc with no extra flags.
REAL-LIFE ANALOGY:
tsconfig is the settings panel of the compiler.
SYNTAX PATTERN:
{ "compilerOptions": { ... }, "include": [ ... ] }
ANATOMY:
target = output version | module = module style | strict = safety group | outDir = output folder
EXAMPLE 1:
"extends": "./tsconfig.base.json"
EXAMPLE 2:
"noEmit": true
EXAMPLE 3:
"paths": { "@/*": ["src/*"] }
VARIATION:
npx tsc --init   // create a starter file
USED WITH:
strict mode, bundlers, Node
RELATED CONCEPTS:
strict mode, ES modules vs CommonJS, why TypeScript, declaration files
ALTERNATIVES:
Bundler configuration
WHERE IT IS USED:
Every TypeScript project | Monorepos | CI checks
MINI CONVERSATION:
A: Imports fail with the wrong module settings. | B: Check module and moduleResolution in tsconfig.
COMMON MISTAKE:
✗ tsconfig changes how TypeScript runs in the editor only → ✓ It also controls the compiler output and checks in builds
COMMONLY CONFUSED WITH:
target vs module: target is the JavaScript version, module is the module system.
AVOID / DON'T:
Do not leave strict off in new projects.
WRONG CODE:
"strict": "true"
RIGHT CODE:
"strict": true
MEMORY TRICK:
Strict true, no quotes needed.
REAL LIFE: PROJECT / WORK:
Enabling strict in tsconfig found dozens of hidden null bugs in a service.
REAL LIFE: INTERVIEW / EXAM:
An interviewer may ask: What does strict do in tsconfig?
REAL LIFE: DAILY LIFE:
It is like a settings panel.</t>
        </is>
      </c>
      <c r="C43" s="29" t="inlineStr">
        <is>
          <t>04_TypeScript_Intermediate_TS-042</t>
        </is>
      </c>
    </row>
    <row r="44" ht="409" customHeight="1">
      <c r="A44" s="29" t="inlineStr">
        <is>
          <t>Utility types
Which built-in generic types transform existing types, such as Partial, Pick, Omit and Record?
interface User { id: number; name: string; email: string }
type Update = Partial&lt;User&gt;;
type Preview = Pick&lt;User, "id" | "name"&gt;;
type NoEmail = Omit&lt;User, "email"&gt;;
type Roles = Record&lt;string, "admin" | "user"&gt;;
const patch: Update = { name: "Asha" };</t>
        </is>
      </c>
      <c r="B44" s="29" t="inlineStr">
        <is>
          <t>MEANING (SHORT):
Utility types build new types from existing ones, for example Partial makes all fields optional, Pick keeps chosen fields, Omit removes fields and Record maps keys to a value type.
CODE:
interface User { id: number; name: string; email: string }
type Update = Partial&lt;User&gt;;
type Preview = Pick&lt;User, "id" | "name"&gt;;
type NoEmail = Omit&lt;User, "email"&gt;;
type Roles = Record&lt;string, "admin" | "user"&gt;;
const patch: Update = { name: "Asha" };
OUTPUT:
No output, and patch is valid because every field is optional
EXPLANATION:
Partial suits update payloads, Pick suits views of a type, Omit suits removing sensitive fields, and Record suits dictionaries. Required reverses Partial, and Readonly freezes properties. ReturnType and Awaited extract types from functions and promises. They are built from mapped types.
SIMPLE EXPLANATION (HINGLISH):
Derive new types from existing ones with Partial, Pick, Omit and Record.
REAL-LIFE ANALOGY:
Utility types are cookie cutters that reshape one dough into many shapes.
SYNTAX PATTERN:
Partial&lt;T&gt; | Pick&lt;T, K&gt; | Omit&lt;T, K&gt; | Record&lt;K, V&gt;
ANATOMY:
Partial = optional all | Pick = keep chosen | Omit = remove chosen | Record = key to value map
EXAMPLE 1:
type Fn = ReturnType&lt;typeof getUser&gt;;
EXAMPLE 2:
type Data = Awaited&lt;ReturnType&lt;typeof load&gt;&gt;;
EXAMPLE 3:
type Needed = Required&lt;Config&gt;;
VARIATION:
Readonly&lt;User&gt;   // freeze every property
USED WITH:
generics, mapped types, APIs
RELATED CONCEPTS:
generics, interfaces vs types, mapped types, optional and readonly
ALTERNATIVES:
Writing types by hand
WHERE IT IS USED:
Update payloads | Public views | Dictionaries
MINI CONVERSATION:
A: I copied the User type for the update call. | B: Use Partial of User so they cannot drift apart.
COMMON MISTAKE:
✗ Omit removes properties at run time → ✓ It only changes the type, and the data must still be removed in code
COMMONLY CONFUSED WITH:
Pick vs Omit: Pick lists what to keep, Omit lists what to remove.
AVOID / DON'T:
Do not duplicate fields across several types.
WRONG CODE:
type Update = { id?: number; name?: string; email?: string };
RIGHT CODE:
type Update = Partial&lt;User&gt;;
MEMORY TRICK:
Pick keeps, Omit drops, Partial loosens.
REAL LIFE: PROJECT / WORK:
Deriving the update type with Partial kept the API and form in step.
REAL LIFE: INTERVIEW / EXAM:
An interviewer may ask: What is the difference between Pick and Omit?
REAL LIFE: DAILY LIFE:
It is like cookie cutters for types.</t>
        </is>
      </c>
      <c r="C44" s="29" t="inlineStr">
        <is>
          <t>04_TypeScript_Intermediate_TS-043</t>
        </is>
      </c>
    </row>
    <row r="45" ht="409" customHeight="1">
      <c r="A45" s="29" t="inlineStr">
        <is>
          <t>Promise&lt;T&gt; and async typing
How do you type values that arrive later from async functions?
interface User { id: number; name: string }
async function getUser(id: number): Promise&lt;User&gt; {
  const res = await fetch(`/api/users/${id}`);
  return (await res.json()) as User;
}
const user = await getUser(1);
type Loaded = Awaited&lt;ReturnType&lt;typeof getUser&gt;&gt;;</t>
        </is>
      </c>
      <c r="B45" s="29" t="inlineStr">
        <is>
          <t>MEANING (SHORT):
Promise&lt;T&gt; is the type of a promise that resolves to a value of type T, and an async function that returns T has the type Promise&lt;T&gt;.
CODE:
interface User { id: number; name: string }
async function getUser(id: number): Promise&lt;User&gt; {
  const res = await fetch(`/api/users/${id}`);
  return (await res.json()) as User;
}
const user = await getUser(1);
type Loaded = Awaited&lt;ReturnType&lt;typeof getUser&gt;&gt;;
OUTPUT:
user has type User, and Loaded is also User
EXPLANATION:
Inside an async function you return a plain value, and the compiler wraps it. await removes the Promise layer. Promise.all keeps the tuple of results typed. Awaited extracts the inner type. The json method returns any, so assert or validate it.
SIMPLE EXPLANATION (HINGLISH):
Async functions return Promise of their value, and await gives the inner value.
REAL-LIFE ANALOGY:
Promise of T is a receipt that says what item will be delivered.
SYNTAX PATTERN:
async function f(): Promise&lt;T&gt; | Awaited&lt;T&gt;
ANATOMY:
Promise&lt;T&gt; = future T | await = unwrap | Awaited = utility to unwrap
EXAMPLE 1:
const p: Promise&lt;string&gt; = Promise.resolve("x");
EXAMPLE 2:
const [users, total] = await Promise.all([listUsers(), countUsers()]);
EXAMPLE 3:
function load(): Promise&lt;void&gt; { return Promise.resolve(); }
VARIATION:
async function f() { return 1; }   // inferred as Promise&lt;number&gt;
USED WITH:
fetch, validation, generics
RELATED CONCEPTS:
promises, async and await, generics, type assertions
ALTERNATIVES:
Callbacks with types
WHERE IT IS USED:
API calls | Services | Hooks
MINI CONVERSATION:
A: What type does my async function return? | B: A Promise of whatever you return.
COMMON MISTAKE:
✗ An async function returning a number has the type number → ✓ It has the type Promise of number
COMMONLY CONFUSED WITH:
Promise&lt;T&gt; vs T: one is the future value, the other is the value after await.
AVOID / DON'T:
Do not trust the json result without a check.
WRONG CODE:
async function getId(): number { return 1; }
RIGHT CODE:
async function getId(): Promise&lt;number&gt; { return 1; }
MEMORY TRICK:
Async always wraps the return in Promise.
REAL LIFE: PROJECT / WORK:
Typing async helpers as Promise of known shapes caught a misused result.
REAL LIFE: INTERVIEW / EXAM:
An interviewer may ask: What type does an async function return?
REAL LIFE: DAILY LIFE:
It is like a receipt for a future item.</t>
        </is>
      </c>
      <c r="C45" s="29" t="inlineStr">
        <is>
          <t>04_TypeScript_Intermediate_TS-044</t>
        </is>
      </c>
    </row>
    <row r="46" ht="409" customHeight="1">
      <c r="A46" s="29" t="inlineStr">
        <is>
          <t>Type assertions
Which syntax tells the compiler to treat a value as a chosen type, and what is the danger?
const el = document.getElementById("name") as HTMLInputElement;
console.log(el.value);
const data = JSON.parse("{}") as { id: number };
const safe = document.getElementById("x");
if (safe instanceof HTMLInputElement) console.log(safe.value);</t>
        </is>
      </c>
      <c r="B46" s="29" t="inlineStr">
        <is>
          <t>MEANING (SHORT):
A type assertion with as tells the compiler to treat an expression as a given type without any run-time check.
CODE:
const el = document.getElementById("name") as HTMLInputElement;
console.log(el.value);
const data = JSON.parse("{}") as { id: number };
const safe = document.getElementById("x");
if (safe instanceof HTMLInputElement) console.log(safe.value);
OUTPUT:
Reads the input value, and the last lines read it safely after a check
EXPLANATION:
Assertions change only the compiler's view, so a wrong claim fails at run time. The non-null operator, an exclamation mark, asserts a value is not null. Assertions to unrelated types need a double cast, which is a warning sign. Narrowing and schema validation are safer ways to learn the real type.
SIMPLE EXPLANATION (HINGLISH):
as overrides the compiler, so use it only when you truly know and cannot check.
REAL-LIFE ANALOGY:
An assertion is signing a statement that says trust me.
SYNTAX PATTERN:
value as Type | value!
ANATOMY:
as = assertion | ! = non-null assertion | instanceof = a safe check
EXAMPLE 1:
const n = input as unknown as number;
EXAMPLE 2:
const len = name!.length;
EXAMPLE 3:
&lt;HTMLElement&gt;node
VARIATION:
satisfies HTMLElement   // check a value without changing its type
USED WITH:
DOM, JSON, narrowing
RELATED CONCEPTS:
narrowing, any vs unknown, type guards, DOM
ALTERNATIVES:
Narrowing | Zod validation | satisfies
WHERE IT IS USED:
DOM access | Parsed data | Migration code
MINI CONVERSATION:
A: It compiles but crashes with undefined. | B: A type assertion hid the missing value, so validate it.
COMMON MISTAKE:
✗ An assertion converts the value to the new type → ✓ It only changes what the compiler believes
COMMONLY CONFUSED WITH:
as vs satisfies: as overrides the type, satisfies only checks it.
AVOID / DON'T:
Do not assert API data without validation.
WRONG CODE:
const user = data as User;   // data is unchecked
RIGHT CODE:
const user = userSchema.parse(data);
MEMORY TRICK:
An assertion claims, but a check proves.
REAL LIFE: PROJECT / WORK:
Replacing assertions on API data with validation exposed a missing field.
REAL LIFE: INTERVIEW / EXAM:
An interviewer may ask: What is the risk of the as keyword?
REAL LIFE: DAILY LIFE:
It is like signing a trust-me statement.</t>
        </is>
      </c>
      <c r="C46" s="29" t="inlineStr">
        <is>
          <t>04_TypeScript_Intermediate_TS-045</t>
        </is>
      </c>
    </row>
    <row r="47" ht="409" customHeight="1">
      <c r="A47" s="29" t="inlineStr">
        <is>
          <t>Declaration files
Which files describe the types of JavaScript libraries that have none?
// npm install --save-dev @types/express
import express from "express";
const app = express();
app.get("/", (req, res) =&gt; res.send("ok"));
// custom.d.ts
declare module "legacy-lib" {
  export function run(input: string): number;
}</t>
        </is>
      </c>
      <c r="B47" s="29" t="inlineStr">
        <is>
          <t>MEANING (SHORT):
A declaration file ending in .d.ts contains only type information for existing JavaScript code, and many libraries ship one or have a types package.
CODE:
// npm install --save-dev @types/express
import express from "express";
const app = express();
app.get("/", (req, res) =&gt; res.send("ok"));
// custom.d.ts
declare module "legacy-lib" {
  export function run(input: string): number;
}
OUTPUT:
The editor now knows the types for express, and the legacy library has a hand-written description.
EXPLANATION:
Packages published with their own types need nothing extra. Others have @types packages. When none exists, write a small declare module block. skipLibCheck avoids checking declaration files. Global additions go in a .d.ts that is included by tsconfig. Generated declarations are produced with the declaration option.
SIMPLE EXPLANATION (HINGLISH):
Install @types packages or write a .d.ts to describe untyped code.
REAL-LIFE ANALOGY:
A declaration file is a manual describing a machine written in another language.
SYNTAX PATTERN:
declare module "name" { export function f(): void; }
ANATOMY:
.d.ts = types only | @types = community typings | declare module = describe a package
EXAMPLE 1:
npm install -D @types/node
EXAMPLE 2:
declare const VERSION: string;
EXAMPLE 3:
"declaration": true
VARIATION:
// @ts-ignore   // silence a single error, use sparingly
USED WITH:
tsconfig, npm, libraries
RELATED CONCEPTS:
tsconfig.json, npm and package.json, why TypeScript, ES modules
ALTERNATIVES:
JSDoc types | rewriting in TypeScript
WHERE IT IS USED:
Legacy libraries | Global variables | Published packages
MINI CONVERSATION:
A: TypeScript says it cannot find types for this package. | B: Install the types package or add a declare module.
COMMON MISTAKE:
✗ .d.ts files contain runnable code → ✓ They contain only type declarations
COMMONLY CONFUSED WITH:
.d.ts vs .ts: one only describes types, the other contains code.
AVOID / DON'T:
Do not use any module declarations that hide real types.
WRONG CODE:
declare module "legacy-lib";   // everything is any
RIGHT CODE:
declare module "legacy-lib" { export function run(input: string): number; }
MEMORY TRICK:
Missing types? Look for an at types package.
REAL LIFE: PROJECT / WORK:
Writing a small declaration gave typing to an internal legacy library.
REAL LIFE: INTERVIEW / EXAM:
An interviewer may ask: What is DefinitelyTyped?
REAL LIFE: DAILY LIFE:
It is like a manual for a foreign machine.</t>
        </is>
      </c>
      <c r="C47" s="29" t="inlineStr">
        <is>
          <t>04_TypeScript_Intermediate_TS-046</t>
        </is>
      </c>
    </row>
    <row r="48" ht="409" customHeight="1">
      <c r="A48" s="29" t="inlineStr">
        <is>
          <t>Type guards
Which functions tell the compiler that a value has a specific type after a check?
interface Cat { meow(): void }
interface Dog { bark(): void }
function isCat(p: Cat | Dog): p is Cat {
  return "meow" in p;
}
function speak(p: Cat | Dog) {
  if (isCat(p)) p.meow(); else p.bark();
}</t>
        </is>
      </c>
      <c r="B48" s="29" t="inlineStr">
        <is>
          <t>MEANING (SHORT):
A type guard is a function whose return type is written as value is Type, so a true result narrows the value to that type.
CODE:
interface Cat { meow(): void }
interface Dog { bark(): void }
function isCat(p: Cat | Dog): p is Cat {
  return "meow" in p;
}
function speak(p: Cat | Dog) {
  if (isCat(p)) p.meow(); else p.bark();
}
OUTPUT:
No output, and each branch uses the right method
EXPLANATION:
The compiler trusts the guard, so a wrong guard breaks safety. Guards suit validation of unknown data. Assertion functions use asserts value is Type to narrow after the call without an if. Discriminated unions often avoid the need for custom guards.
SIMPLE EXPLANATION (HINGLISH):
Write a function that checks and declares the type, then use it in conditions.
REAL-LIFE ANALOGY:
A type guard is a bouncer who checks an ID and announces who is entering.
SYNTAX PATTERN:
function isX(v: unknown): v is X { ... }
ANATOMY:
v is X = type predicate | return true = narrowed | asserts v is X = assertion function
EXAMPLE 1:
function isString(v: unknown): v is string { return typeof v === "string"; }
EXAMPLE 2:
function assertDefined&lt;T&gt;(v: T | undefined): asserts v is T { }
EXAMPLE 3:
const cats = pets.filter(isCat);
VARIATION:
items.filter((x): x is string =&gt; typeof x === "string")   // inline guard in filter
USED WITH:
unions, unknown, validation
RELATED CONCEPTS:
narrowing, unions and literals, any vs unknown, type assertions
ALTERNATIVES:
Discriminated unions | Zod
WHERE IT IS USED:
Validation | Filters | Event handling
MINI CONVERSATION:
A: Filter still gives me a union array. | B: Pass a type guard to filter so the result is narrowed.
COMMON MISTAKE:
✗ The compiler verifies that a guard is correct → ✓ It trusts the predicate, so mistakes break safety
COMMONLY CONFUSED WITH:
Guard vs assertion: a guard returns a boolean, an assertion function throws.
AVOID / DON'T:
Do not write guards that return true without checking.
WRONG CODE:
function isCat(p: any): p is Cat { return true; }
RIGHT CODE:
function isCat(p: Cat | Dog): p is Cat { return "meow" in p; }
MEMORY TRICK:
The guard announces, so make it honest.
REAL LIFE: PROJECT / WORK:
A custom guard filtered an API array down to valid records with full typing.
REAL LIFE: INTERVIEW / EXAM:
An interviewer may ask: What does the is keyword do in a return type?
REAL LIFE: DAILY LIFE:
It is like a bouncer announcing who enters.</t>
        </is>
      </c>
      <c r="C48" s="29" t="inlineStr">
        <is>
          <t>04_TypeScript_Advanced_TS-047</t>
        </is>
      </c>
    </row>
    <row r="49" ht="409" customHeight="1">
      <c r="A49" s="29" t="inlineStr">
        <is>
          <t>Strict mode
Which group of compiler options turns on the safest set of checks?
// tsconfig.json: { "compilerOptions": { "strict": true } }
function len(s: string | null) {
  return s.length;   // error with strictNullChecks
}
function ok(s: string | null) {
  return s?.length ?? 0;
}</t>
        </is>
      </c>
      <c r="B49" s="29" t="inlineStr">
        <is>
          <t>MEANING (SHORT):
The strict option enables checks such as strictNullChecks, noImplicitAny, strictFunctionTypes and strictPropertyInitialization.
CODE:
// tsconfig.json: { "compilerOptions": { "strict": true } }
function len(s: string | null) {
  return s.length;   // error with strictNullChecks
}
function ok(s: string | null) {
  return s?.length ?? 0;
}
OUTPUT:
The first function is rejected at compile time, and the second is accepted.
EXPLANATION:
strictNullChecks makes null and undefined separate types, so you must handle them. noImplicitAny rejects parameters with no type. Extra flags such as noUncheckedIndexedAccess go beyond strict. Migrating an old project can be done file by file or flag by flag.
SIMPLE EXPLANATION (HINGLISH):
Turn on strict, and handle null and any explicitly.
REAL-LIFE ANALOGY:
Strict mode is the inspector who never lets a missing value slide.
SYNTAX PATTERN:
"strict": true
ANATOMY:
strictNullChecks = null is separate | noImplicitAny = types required | strict = group switch
EXAMPLE 1:
"noUncheckedIndexedAccess": true
EXAMPLE 2:
"strictNullChecks": true
EXAMPLE 3:
"exactOptionalPropertyTypes": true
VARIATION:
"strict": true, "strictNullChecks": false   // turn one rule off while migrating
USED WITH:
tsconfig, narrowing, optional chaining
RELATED CONCEPTS:
tsconfig.json, narrowing, any vs unknown, optional and readonly
ALTERNATIVES:
Gradual migration by flag
WHERE IT IS USED:
New projects | Migrations | Teams
MINI CONVERSATION:
A: The compiler complains that the value may be null. | B: That is strict null checking, so handle the null case.
COMMON MISTAKE:
✗ Strict mode makes code slower → ✓ It affects only compile-time checks, not run time
COMMONLY CONFUSED WITH:
strict vs noImplicitAny: strict is the group, noImplicitAny is one member.
AVOID / DON'T:
Do not disable strict to silence errors.
WRONG CODE:
"strict": false
RIGHT CODE:
"strict": true
MEMORY TRICK:
Strict shows nulls before users do.
REAL LIFE: PROJECT / WORK:
Enabling strict null checks found a crash path in a customer integration.
REAL LIFE: INTERVIEW / EXAM:
An interviewer may ask: What does strictNullChecks do?
REAL LIFE: DAILY LIFE:
It is like an inspector who lets nothing slide.</t>
        </is>
      </c>
      <c r="C49" s="29" t="inlineStr">
        <is>
          <t>04_TypeScript_Intermediate_TS-048</t>
        </is>
      </c>
    </row>
    <row r="50" ht="409" customHeight="1">
      <c r="A50" s="29" t="inlineStr">
        <is>
          <t>Mapped types
Which syntax builds a new type by transforming every key of another type?
type Flags&lt;T&gt; = { [K in keyof T]: boolean };
type MyPartial&lt;T&gt; = { [K in keyof T]?: T[K] };
type Getters&lt;T&gt; = { [K in keyof T as `get${Capitalize&lt;string &amp; K&gt;}`]: () =&gt; T[K] };
interface User { id: number; name: string }
type UserFlags = Flags&lt;User&gt;;
type UserGetters = Getters&lt;User&gt;;</t>
        </is>
      </c>
      <c r="B50" s="29" t="inlineStr">
        <is>
          <t>MEANING (SHORT):
A mapped type iterates over the keys of a type, with a key in keyof T clause, and produces a new property for each one.
CODE:
type Flags&lt;T&gt; = { [K in keyof T]: boolean };
type MyPartial&lt;T&gt; = { [K in keyof T]?: T[K] };
type Getters&lt;T&gt; = { [K in keyof T as `get${Capitalize&lt;string &amp; K&gt;}`]: () =&gt; T[K] };
interface User { id: number; name: string }
type UserFlags = Flags&lt;User&gt;;
type UserGetters = Getters&lt;User&gt;;
OUTPUT:
UserFlags has id and name as booleans, and UserGetters has getId and getName functions.
EXPLANATION:
The in keyof clause loops over keys, and T[K] reads each property type. Modifiers can be added or removed with plus and minus signs. The as clause renames keys with template literal types. Built-in utilities such as Partial and Readonly are mapped types. Use them for derived shapes, not everyday code.
SIMPLE EXPLANATION (HINGLISH):
Loop over every key of a type and produce a new shape from it.
REAL-LIFE ANALOGY:
A mapped type is an assembly line that visits every key and applies the same edit.
SYNTAX PATTERN:
{ [K in keyof T]: NewType }
ANATOMY:
K in keyof T = loop over keys | T[K] = property type | as = rename key | ? and readonly = modifiers
EXAMPLE 1:
type Mutable&lt;T&gt; = { -readonly [K in keyof T]: T[K] };
EXAMPLE 2:
type Nullable&lt;T&gt; = { [K in keyof T]: T[K] | null };
EXAMPLE 3:
type Keys = keyof User;
VARIATION:
{ [K in "a" | "b"]: number }   // loop over a literal union
USED WITH:
generics, utility types, template literal types
RELATED CONCEPTS:
utility types, generics, interfaces vs types, as const
ALTERNATIVES:
Built-in utility types
WHERE IT IS USED:
Libraries | Form helpers | API clients
MINI CONVERSATION:
A: I need a type with the same keys but all booleans. | B: Use a mapped type over the keys of the original.
COMMON MISTAKE:
✗ Mapped types create objects at run time → ✓ They exist only at compile time
COMMONLY CONFUSED WITH:
keyof vs in keyof: keyof gives the key union, in keyof loops over it.
AVOID / DON'T:
Do not build complex mapped types where a utility type works.
WRONG CODE:
type Flags&lt;T&gt; = { K: boolean };
RIGHT CODE:
type Flags&lt;T&gt; = { [K in keyof T]: boolean };
MEMORY TRICK:
K in keyof T loops every key.
REAL LIFE: PROJECT / WORK:
Building a mapped type gave typed field flags for a large form.
REAL LIFE: INTERVIEW / EXAM:
An interviewer may ask: How is Partial implemented?
REAL LIFE: DAILY LIFE:
It is like an assembly line that edits every key.</t>
        </is>
      </c>
      <c r="C50" s="29" t="inlineStr">
        <is>
          <t>04_TypeScript_Advanced_TS-049</t>
        </is>
      </c>
    </row>
    <row r="51" ht="409" customHeight="1">
      <c r="A51" s="29" t="inlineStr">
        <is>
          <t>as const
Which assertion freezes a literal value and gives it the narrowest possible type?
const modes = ["light", "dark"] as const;
type Mode = typeof modes[number];
const config = { retries: 3, env: "prod" } as const;
type Env = typeof config.env;
const wide = ["a", "b"];
console.log(modes, config.retries);</t>
        </is>
      </c>
      <c r="B51" s="29" t="inlineStr">
        <is>
          <t>MEANING (SHORT):
as const makes a literal deeply readonly and infers its narrowest literal types instead of widened ones.
CODE:
const modes = ["light", "dark"] as const;
type Mode = typeof modes[number];
const config = { retries: 3, env: "prod" } as const;
type Env = typeof config.env;
const wide = ["a", "b"];
console.log(modes, config.retries);
OUTPUT:
[ 'light', 'dark' ] 3
EXPLANATION:
Without as const the array would be string[], and the object would hold number and string. With it, the array is a readonly tuple of exact strings, so Mode becomes light or dark. It affects only the type, and nothing is frozen at run time. It removes the need for a separate union definition and keeps data and types in one place.
SIMPLE EXPLANATION (HINGLISH):
Add as const to keep exact values, then derive types from the data.
REAL-LIFE ANALOGY:
As const is shrink wrap that fixes the exact contents.
SYNTAX PATTERN:
const x = value as const
ANATOMY:
as const = narrow and readonly | typeof x[number] = union of items | keyof typeof x = union of keys
EXAMPLE 1:
const roles = ["admin", "user"] as const;
EXAMPLE 2:
type Role = typeof roles[number];
EXAMPLE 3:
type Key = keyof typeof config;
VARIATION:
Object.freeze(config)   // add run-time protection
USED WITH:
unions, enums, configuration
RELATED CONCEPTS:
enums, unions and literals, mapped types, optional and readonly
ALTERNATIVES:
Enums | explicit union types
WHERE IT IS USED:
Config | Option lists | Route tables
MINI CONVERSATION:
A: I keep a list and a union with the same values. | B: Define the list as const and derive the union from it.
COMMON MISTAKE:
✗ as const freezes the object at run time → ✓ It changes only the compile-time type
COMMONLY CONFUSED WITH:
as const vs Object.freeze: one is compile-time, the other is run-time.
AVOID / DON'T:
Do not duplicate values in a list and in a union.
WRONG CODE:
const modes = ["light", "dark"];   // type is string[]
RIGHT CODE:
const modes = ["light", "dark"] as const;
MEMORY TRICK:
As const keeps the exact words.
REAL LIFE: PROJECT / WORK:
Deriving a union from a constant list removed a duplicated type in two files.
REAL LIFE: INTERVIEW / EXAM:
An interviewer may ask: What does as const do?
REAL LIFE: DAILY LIFE:
It is like shrink wrap around exact contents.</t>
        </is>
      </c>
      <c r="C51" s="29" t="inlineStr">
        <is>
          <t>04_TypeScript_Intermediate_TS-050</t>
        </is>
      </c>
    </row>
    <row r="52" ht="409" customHeight="1">
      <c r="A52" s="29" t="inlineStr">
        <is>
          <t>Errors in TypeScript
How do you type and handle errors safely when anything can be thrown?
class ApiError extends Error {
  constructor(message: string, public status: number) { super(message); this.name = "ApiError"; }
}
function messageOf(err: unknown): string {
  if (err instanceof ApiError) return `API ${err.status}: ${err.message}`;
  if (err instanceof Error) return err.message;
  return String(err);
}
try { throw new ApiError("nope", 404); } catch (e) { console.log(messageOf(e)); }</t>
        </is>
      </c>
      <c r="B52" s="29" t="inlineStr">
        <is>
          <t>MEANING (SHORT):
A caught value is unknown in strict setups, so you narrow it with instanceof Error, and you can define custom error classes for specific failures.
CODE:
class ApiError extends Error {
  constructor(message: string, public status: number) { super(message); this.name = "ApiError"; }
}
function messageOf(err: unknown): string {
  if (err instanceof ApiError) return `API ${err.status}: ${err.message}`;
  if (err instanceof Error) return err.message;
  return String(err);
}
try { throw new ApiError("nope", 404); } catch (e) { console.log(messageOf(e)); }
OUTPUT:
API 404: nope
EXPLANATION:
With useUnknownInCatchVariables, part of strict, catch variables are unknown. Custom errors carry extra data such as a status. Errors crossing module boundaries lose the class if serialised, so rebuild them. Result types, with ok and error fields, avoid exceptions for expected failures.
SIMPLE EXPLANATION (HINGLISH):
Treat caught values as unknown, narrow them, and use custom errors for detail.
REAL-LIFE ANALOGY:
A caught error is an unlabeled parcel, so check inside before opening.
SYNTAX PATTERN:
catch (e: unknown) { if (e instanceof Error) { } }
ANATOMY:
unknown = caught value | instanceof = narrow | extends Error = custom class
EXAMPLE 1:
if (e instanceof TypeError) { }
EXAMPLE 2:
throw new Error("failed", { cause: original });
EXAMPLE 3:
type Result&lt;T&gt; = { ok: true; value: T } | { ok: false; error: string };
VARIATION:
err instanceof Error ? err.message : String(err)   // a one-line safe message
USED WITH:
try and catch, narrowing, classes
RELATED CONCEPTS:
error handling basics, narrowing, any vs unknown, type guards
ALTERNATIVES:
Result types
WHERE IT IS USED:
APIs | Services | Libraries
MINI CONVERSATION:
A: TypeScript says the error is unknown. | B: Narrow it with instanceof Error before reading message.
COMMON MISTAKE:
✗ Every caught value is an Error → ✓ Anything can be thrown, so check before using Error properties
COMMONLY CONFUSED WITH:
Error vs custom error: a custom error carries extra fields such as status.
AVOID / DON'T:
Do not read message from an unchecked value.
WRONG CODE:
catch (e) { console.log(e.message); }   // e may not be an Error
RIGHT CODE:
catch (e) { console.log(e instanceof Error ? e.message : String(e)); }
MEMORY TRICK:
Check the parcel before you open it.
REAL LIFE: PROJECT / WORK:
A custom error class with a status code simplified retry logic in an API client.
REAL LIFE: INTERVIEW / EXAM:
An interviewer may ask: Why is the catch variable unknown?
REAL LIFE: DAILY LIFE:
It is like an unlabelled parcel.</t>
        </is>
      </c>
      <c r="C52" s="29" t="inlineStr">
        <is>
          <t>04_TypeScript_Advanced_TS-051</t>
        </is>
      </c>
    </row>
    <row r="53" ht="409" customHeight="1">
      <c r="A53" s="29" t="inlineStr">
        <is>
          <t>Validating data with Zod
Which approach checks run-time data against a schema and gives you a typed result?
import { z } from "zod";
const User = z.object({ id: z.number(), email: z.string().email(), age: z.number().int().optional() });
type User = z.infer&lt;typeof User&gt;;
const result = User.safeParse(JSON.parse('{"id": 1, "email": "a@example.com"}'));
if (result.success) console.log(result.data.email); else console.log(result.error.issues.length);</t>
        </is>
      </c>
      <c r="B53" s="29" t="inlineStr">
        <is>
          <t>MEANING (SHORT):
A schema library such as Zod describes the expected shape, parses unknown data, returns a typed value on success and throws or reports details on failure.
CODE:
import { z } from "zod";
const User = z.object({ id: z.number(), email: z.string().email(), age: z.number().int().optional() });
type User = z.infer&lt;typeof User&gt;;
const result = User.safeParse(JSON.parse('{"id": 1, "email": "a@example.com"}'));
if (result.success) console.log(result.data.email); else console.log(result.error.issues.length);
OUTPUT:
a@example.com
EXPLANATION:
parse throws on failure, while safeParse returns an object with success. z.infer derives the TypeScript type from the schema, so there is one source of truth. Schemas can coerce, transform and refine values. Use them for request bodies, environment variables and API responses. Error messages should tell the user what to fix.
SIMPLE EXPLANATION (HINGLISH):
Define the schema once, parse unknown data, and get both checks and types.
REAL-LIFE ANALOGY:
A schema is a customs officer who checks each parcel against the declaration.
SYNTAX PATTERN:
schema.safeParse(data) | z.infer&lt;typeof schema&gt;
ANATOMY:
z.object = shape | safeParse = result object | infer = derived type
EXAMPLE 1:
z.string().min(1)
EXAMPLE 2:
z.enum(["admin", "user"])
EXAMPLE 3:
const env = z.object({ PORT: z.coerce.number() }).parse(process.env);
VARIATION:
schema.parse(data)   // throws instead of returning a result
USED WITH:
fetch, request bodies, environment variables
RELATED CONCEPTS:
any vs unknown, type assertions, fetch, environment variables
ALTERNATIVES:
Valibot | Yup | io-ts
WHERE IT IS USED:
API boundaries | Forms | Configuration
MINI CONVERSATION:
A: The API sometimes returns a missing field. | B: Validate the response with a schema at the boundary.
COMMON MISTAKE:
✗ TypeScript types protect against bad API data at run time → ✓ Only run-time validation can do that
COMMONLY CONFUSED WITH:
parse vs safeParse: parse throws, safeParse returns a result.
AVOID / DON'T:
Do not trust external data without validation.
WRONG CODE:
const user = (await res.json()) as User;
RIGHT CODE:
const user = User.parse(await res.json());
MEMORY TRICK:
Validate at the border, trust inside.
REAL LIFE: PROJECT / WORK:
Validating webhook bodies with a schema rejected malformed events safely.
REAL LIFE: INTERVIEW / EXAM:
An interviewer may ask: How do you validate API responses in TypeScript?
REAL LIFE: DAILY LIFE:
It is like a customs officer checking a parcel.</t>
        </is>
      </c>
      <c r="C53" s="29" t="inlineStr">
        <is>
          <t>04_TypeScript_Advanced_TS-052</t>
        </is>
      </c>
    </row>
    <row r="54" ht="409" customHeight="1">
      <c r="A54" s="29" t="inlineStr">
        <is>
          <t>Components
Which building blocks make up a React interface, and how are they written?
function Greeting({ name }: { name: string }) {
  return &lt;p&gt;Hello {name}&lt;/p&gt;;
}
export default function App() {
  return (
    &lt;main&gt;
      &lt;Greeting name="Asha" /&gt;
      &lt;Greeting name="Ravi" /&gt;
    &lt;/main&gt;
  );
}</t>
        </is>
      </c>
      <c r="B54" s="29" t="inlineStr">
        <is>
          <t>MEANING (SHORT):
A component is a function that returns a description of part of the interface, and components can contain other components.
CODE:
function Greeting({ name }: { name: string }) {
  return &lt;p&gt;Hello {name}&lt;/p&gt;;
}
export default function App() {
  return (
    &lt;main&gt;
      &lt;Greeting name="Asha" /&gt;
      &lt;Greeting name="Ravi" /&gt;
    &lt;/main&gt;
  );
}
OUTPUT:
Two greeting paragraphs, Hello Asha and Hello Ravi, appear inside main.
EXPLANATION:
A component returns JSX, which React turns into page elements. Names must start with a capital letter, or React treats them as plain HTML tags. A component should be pure, which means the same input gives the same output. Small components are easier to test and reuse. Components can live in their own files and be imported.
SIMPLE EXPLANATION (HINGLISH):
Write small functions that return JSX, and combine them into a page.
REAL-LIFE ANALOGY:
Components are building blocks that snap together to make a page.
SYNTAX PATTERN:
function Name(props) { return &lt;jsx /&gt;; }
ANATOMY:
function = component | props = inputs | return = the interface
EXAMPLE 1:
&lt;Button label="Save" /&gt;
EXAMPLE 2:
&lt;Card&gt;&lt;Title /&gt;&lt;/Card&gt;
EXAMPLE 3:
export function Header() { return &lt;h1&gt;Edusarthi&lt;/h1&gt;; }
VARIATION:
const Tag = ({ text }: { text: string }) =&gt; &lt;span&gt;{text}&lt;/span&gt;;   // arrow style
USED WITH:
JSX, props, state
RELATED CONCEPTS:
JSX, props, state, lists and keys
ALTERNATIVES:
Class components in older code
WHERE IT IS USED:
Every React app | Design systems | Pages
MINI CONVERSATION:
A: My custom tag renders as plain HTML. | B: Start the component name with a capital letter.
COMMON MISTAKE:
✗ A component can have any name → ✓ It must start with a capital letter so React can tell it from an HTML tag
COMMONLY CONFUSED WITH:
Component vs element: a component is a function, an element is what it returns.
AVOID / DON'T:
Do not define components inside other components.
WRONG CODE:
function greeting() { return &lt;p&gt;Hi&lt;/p&gt;; }
RIGHT CODE:
function Greeting() { return &lt;p&gt;Hi&lt;/p&gt;; }
MEMORY TRICK:
A capital letter means a component here.
REAL LIFE: PROJECT / WORK:
Splitting a long page into small components made each piece easy to test.
REAL LIFE: INTERVIEW / EXAM:
An interviewer may ask: What is a React component?
REAL LIFE: DAILY LIFE:
It is like a block that snaps into a bigger build.</t>
        </is>
      </c>
      <c r="C54" s="29" t="inlineStr">
        <is>
          <t>05_React_Basics_Beginner_TS-053</t>
        </is>
      </c>
    </row>
    <row r="55" ht="409" customHeight="1">
      <c r="A55" s="29" t="inlineStr">
        <is>
          <t>JSX
Which syntax lets you write interface markup inside JavaScript?
const user = { name: "Asha", unread: 3 };
const view = (
  &lt;section className="card"&gt;
    &lt;h2&gt;{user.name.toUpperCase()}&lt;/h2&gt;
    &lt;p&gt;{user.unread} new message{user.unread === 1 ? "" : "s"}&lt;/p&gt;
    &lt;img src="/a.png" alt="Profile" /&gt;
  &lt;/section&gt;
);</t>
        </is>
      </c>
      <c r="B55" s="29" t="inlineStr">
        <is>
          <t>MEANING (SHORT):
JSX is a syntax extension that looks like HTML, is compiled into JavaScript calls, and allows expressions inside curly braces.
CODE:
const user = { name: "Asha", unread: 3 };
const view = (
  &lt;section className="card"&gt;
    &lt;h2&gt;{user.name.toUpperCase()}&lt;/h2&gt;
    &lt;p&gt;{user.unread} new message{user.unread === 1 ? "" : "s"}&lt;/p&gt;
    &lt;img src="/a.png" alt="Profile" /&gt;
  &lt;/section&gt;
);
OUTPUT:
A section with the name in capitals and the text 3 new messages is described.
EXPLANATION:
JSX must return one root element, or a fragment written as empty angle brackets. Attributes use camelCase, such as className and onClick. Self-closing tags need a slash. Only expressions work inside braces, not statements such as if. Text in JSX is escaped, which helps against injection.
SIMPLE EXPLANATION (HINGLISH):
Write markup, use braces for JavaScript, and return one root.
REAL-LIFE ANALOGY:
JSX is HTML wearing a JavaScript costume.
SYNTAX PATTERN:
&lt;tag attr={value}&gt;{expression}&lt;/tag&gt;
ANATOMY:
{ } = JavaScript inside markup | className = class | fragment = a wrapper with no element
EXAMPLE 1:
&lt;button onClick={() =&gt; save()}&gt;Save&lt;/button&gt;
EXAMPLE 2:
&lt;&gt;{title}{subtitle}&lt;/&gt;
EXAMPLE 3:
&lt;input disabled={!ready} /&gt;
VARIATION:
&lt;label htmlFor="email"&gt;Email&lt;/label&gt;   // for becomes htmlFor
USED WITH:
components, props, events
RELATED CONCEPTS:
components, props, conditional rendering, lists and keys
ALTERNATIVES:
Template strings | other view libraries
WHERE IT IS USED:
Every React component | UI code | Pages
MINI CONVERSATION:
A: Why does class not work on my element? | B: In JSX the attribute is className.
COMMON MISTAKE:
✗ JSX is a string of HTML → ✓ It is compiled into JavaScript function calls
COMMONLY CONFUSED WITH:
JSX vs HTML: JSX uses className, camelCase and requires closed tags.
AVOID / DON'T:
Do not put statements inside curly braces.
WRONG CODE:
&lt;div class="box"&gt;Hi&lt;/div&gt;
RIGHT CODE:
&lt;div className="box"&gt;Hi&lt;/div&gt;
MEMORY TRICK:
JSX uses className, not class.
REAL LIFE: PROJECT / WORK:
Replacing string-built markup with JSX removed an injection risk.
REAL LIFE: INTERVIEW / EXAM:
An interviewer may ask: Is JSX HTML?
REAL LIFE: DAILY LIFE:
It is like HTML in a JavaScript costume.</t>
        </is>
      </c>
      <c r="C55" s="29" t="inlineStr">
        <is>
          <t>05_React_Basics_Beginner_TS-054</t>
        </is>
      </c>
    </row>
    <row r="56" ht="409" customHeight="1">
      <c r="A56" s="29" t="inlineStr">
        <is>
          <t>Props
Which inputs pass data from a parent component to a child?
interface CardProps { title: string; count?: number; onOpen: () =&gt; void; children?: React.ReactNode }
function Card({ title, count = 0, onOpen, children }: CardProps) {
  return (
    &lt;div&gt;
      &lt;h3&gt;{title} ({count})&lt;/h3&gt;
      {children}
      &lt;button onClick={onOpen}&gt;Open&lt;/button&gt;
    &lt;/div&gt;
  );
}
&lt;Card title="Inbox" count={4} onOpen={() =&gt; alert("open")}&gt;Latest mail&lt;/Card&gt;</t>
        </is>
      </c>
      <c r="B56" s="29" t="inlineStr">
        <is>
          <t>MEANING (SHORT):
Props are the read-only inputs of a component, passed as attributes in JSX and received as an object.
CODE:
interface CardProps { title: string; count?: number; onOpen: () =&gt; void; children?: React.ReactNode }
function Card({ title, count = 0, onOpen, children }: CardProps) {
  return (
    &lt;div&gt;
      &lt;h3&gt;{title} ({count})&lt;/h3&gt;
      {children}
      &lt;button onClick={onOpen}&gt;Open&lt;/button&gt;
    &lt;/div&gt;
  );
}
&lt;Card title="Inbox" count={4} onOpen={() =&gt; alert("open")}&gt;Latest mail&lt;/Card&gt;
OUTPUT:
A card shows Inbox (4), the text Latest mail and an Open button.
EXPLANATION:
Data flows down from parents to children only. A child must never change its props, and instead calls a function prop to ask the parent to change state. The special children prop holds whatever is placed between the tags. Defaults can be set in destructuring. TypeScript interfaces make props self-documenting.
SIMPLE EXPLANATION (HINGLISH):
Pass data down with props, and pass functions down to send events up.
REAL-LIFE ANALOGY:
Props are the instructions a parent hands to a child before work starts.
SYNTAX PATTERN:
&lt;Child name={value} onClick={fn} /&gt; | function Child({ name }) { }
ANATOMY:
props = inputs | children = nested content | callback prop = event upward
EXAMPLE 1:
&lt;Avatar src={user.photo} size={40} /&gt;
EXAMPLE 2:
&lt;List items={items} /&gt;
EXAMPLE 3:
&lt;Modal onClose={() =&gt; setOpen(false)} /&gt;
VARIATION:
&lt;Card {...cardProps} /&gt;   // spread an object as props
USED WITH:
state, events, TypeScript
RELATED CONCEPTS:
components, state, JSX, lists and keys
ALTERNATIVES:
Context for deeply shared data
WHERE IT IS USED:
Every component | Design systems | Forms
MINI CONVERSATION:
A: Can the child change the title it received? | B: No, props are read-only, so call a function prop.
COMMON MISTAKE:
✗ A child can modify its props → ✓ Props are read-only, and changes belong to the parent
COMMONLY CONFUSED WITH:
Props vs state: props come from the parent, state belongs to the component.
AVOID / DON'T:
Never change the props you receive.
WRONG CODE:
function Card(props) { props.title = "x"; }
RIGHT CODE:
function Card({ title, onRename }) { return &lt;button onClick={() =&gt; onRename("x")}&gt;{title}&lt;/button&gt;; }
MEMORY TRICK:
Data flows down, events flow up.
REAL LIFE: PROJECT / WORK:
Passing a callback prop let a form child report saves to its parent page.
REAL LIFE: INTERVIEW / EXAM:
An interviewer may ask: How does a child tell a parent something happened?
REAL LIFE: DAILY LIFE:
It is like a note of instructions to a helper.</t>
        </is>
      </c>
      <c r="C56" s="29" t="inlineStr">
        <is>
          <t>05_React_Basics_Beginner_TS-055</t>
        </is>
      </c>
    </row>
    <row r="57" ht="409" customHeight="1">
      <c r="A57" s="29" t="inlineStr">
        <is>
          <t>State
Which hook lets a component remember a value that changes and redraw when it does?
import { useState } from "react";
export function Counter() {
  const [count, setCount] = useState(0);
  return (
    &lt;button onClick={() =&gt; setCount(c =&gt; c + 1)}&gt;
      Clicked {count} times
    &lt;/button&gt;
  );
}</t>
        </is>
      </c>
      <c r="B57" s="29" t="inlineStr">
        <is>
          <t>MEANING (SHORT):
useState returns the current value and a setter function, and calling the setter stores a new value and re-renders the component.
CODE:
import { useState } from "react";
export function Counter() {
  const [count, setCount] = useState(0);
  return (
    &lt;button onClick={() =&gt; setCount(c =&gt; c + 1)}&gt;
      Clicked {count} times
    &lt;/button&gt;
  );
}
OUTPUT:
The button text starts at Clicked 0 times and increases with every click.
EXPLANATION:
State is private to each component instance. Updating state schedules a re-render, and the new value is seen on the next render. When the new value depends on the old one, pass a function to the setter. Objects and arrays must be replaced with new copies, not mutated. Related values may be grouped in one object or a reducer.
SIMPLE EXPLANATION (HINGLISH):
Use useState for values that change, and update them only through the setter.
REAL-LIFE ANALOGY:
State is a component's notebook, and the setter is the pen that makes it re-read the page.
SYNTAX PATTERN:
const [value, setValue] = useState(initial)
ANATOMY:
value = current | setValue = updater | initial = first value
EXAMPLE 1:
const [name, setName] = useState("");
EXAMPLE 2:
setItems(prev =&gt; [...prev, newItem]);
EXAMPLE 3:
setUser({ ...user, age: 29 });
VARIATION:
useReducer(reducer, initial)   // for more complex state
USED WITH:
events, props, effects
RELATED CONCEPTS:
props, useEffect, components, JSX
ALTERNATIVES:
useReducer | external stores
WHERE IT IS USED:
Forms | Toggles | Counters
MINI CONVERSATION:
A: The list does not update when I push an item. | B: You mutated the array, so set a new copy.
COMMON MISTAKE:
✗ Setting state changes the variable immediately → ✓ The new value appears on the next render
COMMONLY CONFUSED WITH:
State vs variable: a normal variable resets on every render, state is kept.
AVOID / DON'T:
Do not mutate state objects or arrays.
WRONG CODE:
items.push(x); setItems(items);
RIGHT CODE:
setItems([...items, x]);
MEMORY TRICK:
New copy in, never mutate.
REAL LIFE: PROJECT / WORK:
Replacing array mutations with copies fixed a list that refused to update.
REAL LIFE: INTERVIEW / EXAM:
An interviewer may ask: Why must state updates be immutable?
REAL LIFE: DAILY LIFE:
It is like a notebook that triggers a re-read.</t>
        </is>
      </c>
      <c r="C57" s="29" t="inlineStr">
        <is>
          <t>05_React_Basics_Beginner_TS-056</t>
        </is>
      </c>
    </row>
    <row r="58" ht="409" customHeight="1">
      <c r="A58" s="29" t="inlineStr">
        <is>
          <t>useEffect
Which hook runs code after rendering, such as fetching data or subscribing to events?
useEffect(() =&gt; {
  const id = setInterval(() =&gt; setSeconds(s =&gt; s + 1), 1000);
  return () =&gt; clearInterval(id);
}, []);
useEffect(() =&gt; {
  document.title = `Unread ${count}`;
}, [count]);</t>
        </is>
      </c>
      <c r="B58" s="29" t="inlineStr">
        <is>
          <t>MEANING (SHORT):
useEffect runs a function after render, re-runs it when listed dependencies change, and can return a cleanup function that runs before the next effect or on unmount.
CODE:
useEffect(() =&gt; {
  const id = setInterval(() =&gt; setSeconds(s =&gt; s + 1), 1000);
  return () =&gt; clearInterval(id);
}, []);
useEffect(() =&gt; {
  document.title = `Unread ${count}`;
}, [count]);
OUTPUT:
A timer ticks once per second and stops on unmount, and the page title follows count.
EXPLANATION:
An empty array runs the effect once after the first render. Without an array it runs after every render. Cleanup prevents leaks, such as leftover timers and listeners. In development, strict mode runs effects twice on purpose to expose missing cleanup. Do not use effects to compute values that can be calculated during render.
SIMPLE EXPLANATION (HINGLISH):
Use effects for side work, list dependencies, and clean up after yourself.
REAL-LIFE ANALOGY:
An effect is a side errand that runs after the main job is done.
SYNTAX PATTERN:
useEffect(() =&gt; { ...; return cleanup; }, [dependencies])
ANATOMY:
function = the effect | return = cleanup | array = when to re-run
EXAMPLE 1:
useEffect(() =&gt; { load(); }, [id]);
EXAMPLE 2:
useEffect(() =&gt; { window.addEventListener("resize", f); return () =&gt; window.removeEventListener("resize", f); }, []);
EXAMPLE 3:
useEffect(() =&gt; { log("every render"); });
VARIATION:
useLayoutEffect(fn, deps)   // runs before the browser paints
USED WITH:
state, fetch, timers
RELATED CONCEPTS:
state, fetching data, components, timers
ALTERNATIVES:
Event handlers | data libraries
WHERE IT IS USED:
Subscriptions | Timers | Data loading
MINI CONVERSATION:
A: My effect runs on every render. | B: You left out the dependency array.
COMMON MISTAKE:
✗ An empty dependency array means the effect never reads fresh values → ✓ It runs once, so values used inside may become stale
COMMONLY CONFUSED WITH:
Effect vs event handler: handlers respond to user actions, effects sync with outside systems.
AVOID / DON'T:
Do not leave out cleanup for timers and listeners.
WRONG CODE:
useEffect(() =&gt; { fetchData(id); }, []);   // misses id
RIGHT CODE:
useEffect(() =&gt; { fetchData(id); }, [id]);
MEMORY TRICK:
Every used value belongs in the array.
REAL LIFE: PROJECT / WORK:
Adding cleanup to an effect stopped a memory leak from leftover listeners.
REAL LIFE: INTERVIEW / EXAM:
An interviewer may ask: When does useEffect run?
REAL LIFE: DAILY LIFE:
It is like a side errand after the main job.</t>
        </is>
      </c>
      <c r="C58" s="29" t="inlineStr">
        <is>
          <t>05_React_Basics_Intermediate_TS-057</t>
        </is>
      </c>
    </row>
    <row r="59" ht="409" customHeight="1">
      <c r="A59" s="29" t="inlineStr">
        <is>
          <t>Lists and keys
How do you render many items from an array, and why does each need a key?
const users = [{ id: 7, name: "Asha" }, { id: 9, name: "Ravi" }];
return (
  &lt;ul&gt;
    {users.map(u =&gt; (
      &lt;li key={u.id}&gt;{u.name}&lt;/li&gt;
    ))}
  &lt;/ul&gt;
);</t>
        </is>
      </c>
      <c r="B59" s="29" t="inlineStr">
        <is>
          <t>MEANING (SHORT):
You render a list by mapping an array to elements, and each element needs a unique, stable key prop so React can track it between renders.
CODE:
const users = [{ id: 7, name: "Asha" }, { id: 9, name: "Ravi" }];
return (
  &lt;ul&gt;
    {users.map(u =&gt; (
      &lt;li key={u.id}&gt;{u.name}&lt;/li&gt;
    ))}
  &lt;/ul&gt;
);
OUTPUT:
A bullet list with Asha and Ravi, each tracked by its id.
EXPLANATION:
Keys need to be unique among siblings, and they should stay with the same item. Index keys cause bugs when items are reordered or removed, because state can attach to the wrong row. The key is not passed to the component as a prop. When items have no id, create one when the data is created.
SIMPLE EXPLANATION (HINGLISH):
Map the array to elements and give each a unique id as key.
REAL-LIFE ANALOGY:
A key is a name tag on each item so React recognises it after the list changes.
SYNTAX PATTERN:
{items.map(item =&gt; &lt;Item key={item.id} {...item} /&gt;)}
ANATOMY:
map = one element per item | key = stable identity | id = best key source
EXAMPLE 1:
{rows.map(r =&gt; &lt;Row key={r.id} row={r} /&gt;)}
EXAMPLE 2:
{tags.map(t =&gt; &lt;span key={t}&gt;{t}&lt;/span&gt;)}
EXAMPLE 3:
{items.length === 0 ? &lt;p&gt;Empty&lt;/p&gt; : &lt;List items={items} /&gt;}
VARIATION:
&lt;Fragment key={id}&gt;...&lt;/Fragment&gt;   // keys on fragments
USED WITH:
components, state, conditional rendering
RELATED CONCEPTS:
components, state, conditional rendering, array methods
ALTERNATIVES:
Virtualised lists for huge data
WHERE IT IS USED:
Tables | Menus | Feeds
MINI CONVERSATION:
A: Typing in one row changes another row after sorting. | B: You used the index as the key, so use a stable id.
COMMON MISTAKE:
✗ The array index is always a fine key → ✓ It breaks when the list is reordered or filtered
COMMONLY CONFUSED WITH:
key vs id prop: key is for React only, id is data you pass yourself.
AVOID / DON'T:
Do not use random values as keys.
WRONG CODE:
{items.map((x, i) =&gt; &lt;Row key={i} item={x} /&gt;)}
RIGHT CODE:
{items.map(x =&gt; &lt;Row key={x.id} item={x} /&gt;)}
MEMORY TRICK:
Stable ids make safe keys.
REAL LIFE: PROJECT / WORK:
Switching from index keys to ids fixed inputs that kept the wrong text after sorting.
REAL LIFE: INTERVIEW / EXAM:
An interviewer may ask: Why does React need keys?
REAL LIFE: DAILY LIFE:
It is like a name tag on each item.</t>
        </is>
      </c>
      <c r="C59" s="29" t="inlineStr">
        <is>
          <t>05_React_Basics_Beginner_TS-058</t>
        </is>
      </c>
    </row>
    <row r="60" ht="409" customHeight="1">
      <c r="A60" s="29" t="inlineStr">
        <is>
          <t>Conditional rendering
How do you show different content depending on state or props?
function Inbox({ loading, error, messages }: { loading: boolean; error?: string; messages: string[] }) {
  if (loading) return &lt;p&gt;Loading...&lt;/p&gt;;
  if (error) return &lt;p role="alert"&gt;{error} Try again.&lt;/p&gt;;
  return messages.length ? &lt;ul&gt;{messages.map(m =&gt; &lt;li key={m}&gt;{m}&lt;/li&gt;)}&lt;/ul&gt; : &lt;p&gt;No messages yet.&lt;/p&gt;;
}</t>
        </is>
      </c>
      <c r="B60" s="29" t="inlineStr">
        <is>
          <t>MEANING (SHORT):
Conditional rendering uses if statements, the ternary operator or the and operator to decide which JSX to return.
CODE:
function Inbox({ loading, error, messages }: { loading: boolean; error?: string; messages: string[] }) {
  if (loading) return &lt;p&gt;Loading...&lt;/p&gt;;
  if (error) return &lt;p role="alert"&gt;{error} Try again.&lt;/p&gt;;
  return messages.length ? &lt;ul&gt;{messages.map(m =&gt; &lt;li key={m}&gt;{m}&lt;/li&gt;)}&lt;/ul&gt; : &lt;p&gt;No messages yet.&lt;/p&gt;;
}
OUTPUT:
One of four views appears: loading, an error with advice, a list or an empty note.
EXPLANATION:
Early returns keep components readable. The ternary suits choosing between two views, and the and operator suits showing or hiding one. Beware that zero in count &amp;&amp; view renders the zero. Hide elements with null, which renders nothing. Every error message should tell the user what to do next.
SIMPLE EXPLANATION (HINGLISH):
Use early returns for states, ternaries for either-or, and and for show-or-hide.
REAL-LIFE ANALOGY:
Conditional rendering is a stage manager who decides which scene appears.
SYNTAX PATTERN:
if (cond) return &lt;A /&gt;; | cond ? &lt;A /&gt; : &lt;B /&gt; | cond &amp;&amp; &lt;A /&gt;
ANATOMY:
early return = states | ternary = two options | &amp;&amp; = show or nothing
EXAMPLE 1:
{isAdmin &amp;&amp; &lt;AdminPanel /&gt;}
EXAMPLE 2:
{user ? &lt;Welcome /&gt; : &lt;Login /&gt;}
EXAMPLE 3:
if (!data) return null;
VARIATION:
{count &gt; 0 &amp;&amp; &lt;Badge n={count} /&gt;}   // avoids rendering a bare zero
USED WITH:
state, props, fetching data
RELATED CONCEPTS:
JSX, state, lists and keys, fetching data
ALTERNATIVES:
Separate components per state
WHERE IT IS USED:
Loading states | Permissions | Empty views
MINI CONVERSATION:
A: A zero shows on the screen. | B: count and the view renders zero, so compare with greater than zero.
COMMON MISTAKE:
✗ cond &amp;&amp; view always renders nothing when false → ✓ If cond is zero, the zero is rendered
COMMONLY CONFUSED WITH:
null vs undefined return: a component may return null, but returning undefined was an error in older versions.
AVOID / DON'T:
Do not leave loading and error states unhandled.
WRONG CODE:
{count &amp;&amp; &lt;Badge n={count} /&gt;}
RIGHT CODE:
{count &gt; 0 &amp;&amp; &lt;Badge n={count} /&gt;}
MEMORY TRICK:
Compare numbers before using and.
REAL LIFE: PROJECT / WORK:
Adding clear loading and error views stopped users seeing a blank screen.
REAL LIFE: INTERVIEW / EXAM:
An interviewer may ask: How do you render different content in React?
REAL LIFE: DAILY LIFE:
It is like a stage manager choosing the scene.</t>
        </is>
      </c>
      <c r="C60" s="29" t="inlineStr">
        <is>
          <t>05_React_Basics_Beginner_TS-059</t>
        </is>
      </c>
    </row>
    <row r="61" ht="409" customHeight="1">
      <c r="A61" s="29" t="inlineStr">
        <is>
          <t>Fetching data in React
How do you load data from an API into a component and handle each state?
function Users() {
  const [users, setUsers] = useState&lt;User[]&gt;([]);
  const [state, setState] = useState&lt;"loading" | "error" | "done"&gt;("loading");
  useEffect(() =&gt; {
    const ctrl = new AbortController();
    fetch("/api/users", { signal: ctrl.signal })
      .then(r =&gt; { if (!r.ok) throw new Error(String(r.status)); return r.json(); })
      .then(data =&gt; { setUsers(data); setState("done"); })
      .catch(e =&gt; { if (e.name !== "AbortError") setState("error"); });
    return () =&gt; ctrl.abort();
  }, []);
  if (state === "loading") return &lt;p&gt;Loading...&lt;/p&gt;;
  if (state === "error") return &lt;p role="alert"&gt;Could not load users. Check your connection and retry.&lt;/p&gt;;
  return &lt;ul&gt;{users.map(u =&gt; &lt;li key={u.id}&gt;{u.name}&lt;/li&gt;)}&lt;/ul&gt;;
}</t>
        </is>
      </c>
      <c r="B61" s="29" t="inlineStr">
        <is>
          <t>MEANING (SHORT):
A component keeps data, loading and error state, loads data in an effect, and cancels the request if the component changes or unmounts.
CODE:
function Users() {
  const [users, setUsers] = useState&lt;User[]&gt;([]);
  const [state, setState] = useState&lt;"loading" | "error" | "done"&gt;("loading");
  useEffect(() =&gt; {
    const ctrl = new AbortController();
    fetch("/api/users", { signal: ctrl.signal })
      .then(r =&gt; { if (!r.ok) throw new Error(String(r.status)); return r.json(); })
      .then(data =&gt; { setUsers(data); setState("done"); })
      .catch(e =&gt; { if (e.name !== "AbortError") setState("error"); });
    return () =&gt; ctrl.abort();
  }, []);
  if (state === "loading") return &lt;p&gt;Loading...&lt;/p&gt;;
  if (state === "error") return &lt;p role="alert"&gt;Could not load users. Check your connection and retry.&lt;/p&gt;;
  return &lt;ul&gt;{users.map(u =&gt; &lt;li key={u.id}&gt;{u.name}&lt;/li&gt;)}&lt;/ul&gt;;
}
OUTPUT:
The screen shows loading, then either the user list or a helpful error message.
EXPLANATION:
The effect starts the request, and the cleanup aborts it if the component unmounts, which avoids updating state on a gone component and stops races between old and new requests. Check response.ok, since fetch does not reject on error statuses. Libraries such as TanStack Query add caching, retries and deduplication. Server components in newer frameworks can load data without effects.
SIMPLE EXPLANATION (HINGLISH):
Track loading, error and data, fetch in an effect, and abort on cleanup.
REAL-LIFE ANALOGY:
Fetching is sending an order and showing a waiting sign until it arrives.
SYNTAX PATTERN:
useEffect(() =&gt; { fetch(...).then(...); return () =&gt; ctrl.abort(); }, [deps])
ANATOMY:
state = data, loading, error | AbortController = cancel | cleanup = abort on unmount
EXAMPLE 1:
const { data, isLoading } = useQuery({ queryKey: ["users"], queryFn: loadUsers });
EXAMPLE 2:
setState("loading") before a new request
EXAMPLE 3:
if (!res.ok) throw new Error(`HTTP ${res.status}`);
VARIATION:
const data = await fetch(url).then(r =&gt; r.json());   // in a server component
USED WITH:
state, useEffect, conditional rendering
RELATED CONCEPTS:
useEffect, state, fetch, conditional rendering
ALTERNATIVES:
TanStack Query | SWR | server components
WHERE IT IS USED:
Dashboards | Lists | Detail pages
MINI CONVERSATION:
A: Old results flash after I change the filter. | B: Abort the previous request in the effect cleanup.
COMMON MISTAKE:
✗ Data fetching always belongs in useEffect → ✓ Data libraries and server components often handle it better
COMMONLY CONFUSED WITH:
Loading vs empty: loading means waiting, empty means a finished request with no items.
AVOID / DON'T:
Do not ignore errors or leave the user on a blank screen.
WRONG CODE:
useEffect(async () =&gt; { await load(); }, []);
RIGHT CODE:
useEffect(() =&gt; { load(); }, []);
MEMORY TRICK:
Loading, error, data, always show all three.
REAL LIFE: PROJECT / WORK:
Adding abort and error states fixed a flickering list during fast filter changes.
REAL LIFE: INTERVIEW / EXAM:
An interviewer may ask: How do you avoid race conditions when fetching in an effect?
REAL LIFE: DAILY LIFE:
It is like an order with a waiting sign.</t>
        </is>
      </c>
      <c r="C61" s="29" t="inlineStr">
        <is>
          <t>05_React_Basics_Intermediate_TS-060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148.5" customHeight="1">
      <c r="A2" s="29" t="inlineStr">
        <is>
          <t>MCQ: Which keyword should you use for a value that never changes?
A) let B) var C) function D) const
FILL: A variable declared inside braces with let is limited to that ____
HINDI TO TASK: Declare a fixed value called maxUsers with the value 100.
PRACTICE QUESTION: Can you change a property of an object stored in a const?</t>
        </is>
      </c>
      <c r="B2" s="29" t="inlineStr">
        <is>
          <t>MCQ answer: D  const prevents reassignment and signals intent.
Fill answer: block
Task answer:
const maxUsers = 100;
Practice answer:
Yes, only reassigning the binding itself is blocked.</t>
        </is>
      </c>
      <c r="C2" s="29" t="inlineStr">
        <is>
          <t>01_JavaScript_Core_Beginner_TS-001_quiz</t>
        </is>
      </c>
    </row>
    <row r="3" ht="135" customHeight="1">
      <c r="A3" s="29" t="inlineStr">
        <is>
          <t>MCQ: Which check correctly detects an array?
A) typeof equals array B) Array.isArray C) instanceof number D) isList
FILL: A value that has not been assigned is ____
HINDI TO TASK: Check whether the variable data is an array.
PRACTICE QUESTION: Are two objects with the same content equal with the strict equality operator?</t>
        </is>
      </c>
      <c r="B3" s="29" t="inlineStr">
        <is>
          <t>MCQ answer: B  typeof reports arrays as object.
Fill answer: undefined
Task answer:
Array.isArray(data)
Practice answer:
No, objects are compared by reference.</t>
        </is>
      </c>
      <c r="C3" s="29" t="inlineStr">
        <is>
          <t>01_JavaScript_Core_Beginner_TS-002_quiz</t>
        </is>
      </c>
    </row>
    <row r="4" ht="135" customHeight="1">
      <c r="A4" s="29" t="inlineStr">
        <is>
          <t>MCQ: What does an arrow function with braces and no return give back?
A) An error always B) null C) undefined D) The last expression
FILL: A value used when an argument is missing is a ____ parameter
HINDI TO TASK: Write an arrow function that doubles a number.
PRACTICE QUESTION: Is an arrow function stored in a const hoisted like a declaration?</t>
        </is>
      </c>
      <c r="B4" s="29" t="inlineStr">
        <is>
          <t>MCQ answer: C  Without return the function gives back undefined.
Fill answer: default
Task answer:
const double = n =&gt; n * 2;
Practice answer:
No, it exists only after its line runs.</t>
        </is>
      </c>
      <c r="C4" s="29" t="inlineStr">
        <is>
          <t>01_JavaScript_Core_Beginner_TS-003_quiz</t>
        </is>
      </c>
    </row>
    <row r="5" ht="162" customHeight="1">
      <c r="A5" s="29" t="inlineStr">
        <is>
          <t>MCQ: Where does JavaScript look first for a variable?
A) The current scope B) The browser C) The next file D) The global scope only
FILL: An inner variable hiding an outer one with the same name is called ____
HINDI TO TASK: Return a value computed inside a function so it can be used outside.
PRACTICE QUESTION: What happens when you read a variable that was declared inside another function?</t>
        </is>
      </c>
      <c r="B5" s="29" t="inlineStr">
        <is>
          <t>MCQ answer: A  Lookup starts locally and moves outward.
Fill answer: shadowing
Task answer:
function calc() { const r = 2 * 3; return r; }
Practice answer:
It throws a reference error.</t>
        </is>
      </c>
      <c r="C5" s="29" t="inlineStr">
        <is>
          <t>01_JavaScript_Core_Intermediate_TS-004_quiz</t>
        </is>
      </c>
    </row>
    <row r="6" ht="162" customHeight="1">
      <c r="A6" s="29" t="inlineStr">
        <is>
          <t>MCQ: What does a closure keep?
A) A copy of the whole program B) Access to variables of its creation scope C) The network D) The browser window
FILL: A function returned from another function keeps its outer variables through a ____
HINDI TO TASK: Write a function that returns another function adding a fixed number.
PRACTICE QUESTION: Why does the loop with var print the same number three times?</t>
        </is>
      </c>
      <c r="B6" s="29" t="inlineStr">
        <is>
          <t>MCQ answer: B  It retains the scope where it was defined.
Fill answer: closure
Task answer:
const makeAdder = n =&gt; x =&gt; x + n;
Practice answer:
All callbacks share one variable.</t>
        </is>
      </c>
      <c r="C6" s="29" t="inlineStr">
        <is>
          <t>01_JavaScript_Core_Intermediate_TS-005_quiz</t>
        </is>
      </c>
    </row>
    <row r="7" ht="135" customHeight="1">
      <c r="A7" s="29" t="inlineStr">
        <is>
          <t>MCQ: What decides the value of this in a normal function?
A) How the function is called B) The file name C) Where it is written D) The variable name
FILL: A method that fixes this permanently is called ____
HINDI TO TASK: Make user.hello run with the correct this when used later.
PRACTICE QUESTION: Do arrow functions have their own this?</t>
        </is>
      </c>
      <c r="B7" s="29" t="inlineStr">
        <is>
          <t>MCQ answer: A  The call site sets this.
Fill answer: bind
Task answer:
const f = user.hello.bind(user);
Practice answer:
No, they use the outer this.</t>
        </is>
      </c>
      <c r="C7" s="29" t="inlineStr">
        <is>
          <t>01_JavaScript_Core_Advanced_TS-006_quiz</t>
        </is>
      </c>
    </row>
    <row r="8" ht="108" customHeight="1">
      <c r="A8" s="29" t="inlineStr">
        <is>
          <t>MCQ: Which method returns a single combined value?
A) map B) push C) reduce D) filter
FILL: The method that keeps only items passing a test is ____
HINDI TO TASK: Get the names from an array of user objects.
PRACTICE QUESTION: Does filter change the original array?</t>
        </is>
      </c>
      <c r="B8" s="29" t="inlineStr">
        <is>
          <t>MCQ answer: C  reduce accumulates items into one result.
Fill answer: filter
Task answer:
users.map(u =&gt; u.name)
Practice answer:
No, it returns a new array.</t>
        </is>
      </c>
      <c r="C8" s="29" t="inlineStr">
        <is>
          <t>01_JavaScript_Core_Beginner_TS-007_quiz</t>
        </is>
      </c>
    </row>
    <row r="9" ht="135" customHeight="1">
      <c r="A9" s="29" t="inlineStr">
        <is>
          <t>MCQ: Which creates a shallow copy of an object?
A) The equals sign B) The delete keyword C) Object.keys D) The spread syntax
FILL: A copy that duplicates nested objects as well is a ____ copy
HINDI TO TASK: Add a field called email to the user object.
PRACTICE QUESTION: What does assigning an object to another variable copy?</t>
        </is>
      </c>
      <c r="B9" s="29" t="inlineStr">
        <is>
          <t>MCQ answer: D  Spread copies top-level properties into a new object.
Fill answer: deep
Task answer:
user.email = "a@example.com";
Practice answer:
Only the reference.</t>
        </is>
      </c>
      <c r="C9" s="29" t="inlineStr">
        <is>
          <t>01_JavaScript_Core_Beginner_TS-008_quiz</t>
        </is>
      </c>
    </row>
    <row r="10" ht="108" customHeight="1">
      <c r="A10" s="29" t="inlineStr">
        <is>
          <t>MCQ: Which part gives a default value in destructuring?
A) A colon B) A dot C) A semicolon D) An equals sign
FILL: The three-dot syntax that gathers the remaining items is ____
HINDI TO TASK: Copy the user object but set age to 30.
PRACTICE QUESTION: Does spread copy nested objects deeply?</t>
        </is>
      </c>
      <c r="B10" s="29" t="inlineStr">
        <is>
          <t>MCQ answer: D  The equals sign supplies a fallback when the value is undefined.
Fill answer: rest
Task answer:
const next = { ...user, age: 30 };
Practice answer:
No, only the first level.</t>
        </is>
      </c>
      <c r="C10" s="29" t="inlineStr">
        <is>
          <t>01_JavaScript_Core_Intermediate_TS-009_quiz</t>
        </is>
      </c>
    </row>
    <row r="11" ht="121.5" customHeight="1">
      <c r="A11" s="29" t="inlineStr">
        <is>
          <t>MCQ: How do you import a named export?
A) With parentheses B) With braces around the name C) With quotes only D) Without any name
FILL: A module can have only one ____ export
HINDI TO TASK: Export a function called add from a file.
PRACTICE QUESTION: Are top-level variables in a module global?</t>
        </is>
      </c>
      <c r="B11" s="29" t="inlineStr">
        <is>
          <t>MCQ answer: B  Named exports use the braces form.
Fill answer: default
Task answer:
export function add(a, b) { return a + b; }
Practice answer:
No, each module has its own scope.</t>
        </is>
      </c>
      <c r="C11" s="29" t="inlineStr">
        <is>
          <t>01_JavaScript_Core_Intermediate_TS-010_quiz</t>
        </is>
      </c>
    </row>
    <row r="12" ht="121.5" customHeight="1">
      <c r="A12" s="29" t="inlineStr">
        <is>
          <t>MCQ: Which characters create a template literal?
A) Backticks B) Single quotes C) Slashes D) Double quotes
FILL: Expressions in a template go inside dollar and ____
HINDI TO TASK: Write a greeting using the variable name in a template string.
PRACTICE QUESTION: Can a template string span multiple lines?</t>
        </is>
      </c>
      <c r="B12" s="29" t="inlineStr">
        <is>
          <t>MCQ answer: A  Only backticks support placeholders.
Fill answer: braces
Task answer:
const g = `Hello ${name}`;
Practice answer:
Yes, line breaks inside backticks are kept.</t>
        </is>
      </c>
      <c r="C12" s="29" t="inlineStr">
        <is>
          <t>01_JavaScript_Core_Beginner_TS-011_quiz</t>
        </is>
      </c>
    </row>
    <row r="13" ht="121.5" customHeight="1">
      <c r="A13" s="29" t="inlineStr">
        <is>
          <t>MCQ: What does the strict operator check?
A) Value only B) Neither C) Value and type D) Type only
FILL: A value that is not equal even to itself is ____
HINDI TO TASK: Compare a and b with the strict operator.
PRACTICE QUESTION: Are two different objects with identical content strictly equal?</t>
        </is>
      </c>
      <c r="B13" s="29" t="inlineStr">
        <is>
          <t>MCQ answer: C  No conversion happens with strict equality.
Fill answer: NaN
Task answer:
a === b
Practice answer:
No, they have different references.</t>
        </is>
      </c>
      <c r="C13" s="29" t="inlineStr">
        <is>
          <t>01_JavaScript_Core_Intermediate_TS-012_quiz</t>
        </is>
      </c>
    </row>
    <row r="14" ht="108" customHeight="1">
      <c r="A14" s="29" t="inlineStr">
        <is>
          <t>MCQ: Which value is truthy?
A) An empty array B) null C) Zero D) An empty string
FILL: A value that behaves as false in a condition is called ____
HINDI TO TASK: Check that a list has at least one item.
PRACTICE QUESTION: Is the string "false" truthy?</t>
        </is>
      </c>
      <c r="B14" s="29" t="inlineStr">
        <is>
          <t>MCQ answer: A  Arrays are objects and are always truthy.
Fill answer: falsy
Task answer:
if (list.length &gt; 0) { }
Practice answer:
Yes, any non-empty string is truthy.</t>
        </is>
      </c>
      <c r="C14" s="29" t="inlineStr">
        <is>
          <t>01_JavaScript_Core_Beginner_TS-013_quiz</t>
        </is>
      </c>
    </row>
    <row r="15" ht="108" customHeight="1">
      <c r="A15" s="29" t="inlineStr">
        <is>
          <t>MCQ: Which block always runs after try?
A) catch B) return C) finally D) throw
FILL: Errors are raised with the keyword ____
HINDI TO TASK: Throw an error with the message Missing id.
PRACTICE QUESTION: Why throw an Error object instead of a string?</t>
        </is>
      </c>
      <c r="B15" s="29" t="inlineStr">
        <is>
          <t>MCQ answer: C  finally runs whether or not an error occurred.
Fill answer: throw
Task answer:
throw new Error("Missing id");
Practice answer:
It carries a stack trace.</t>
        </is>
      </c>
      <c r="C15" s="29" t="inlineStr">
        <is>
          <t>01_JavaScript_Core_Intermediate_TS-014_quiz</t>
        </is>
      </c>
    </row>
    <row r="16" ht="121.5" customHeight="1">
      <c r="A16" s="29" t="inlineStr">
        <is>
          <t>MCQ: Which quotes does JSON require for keys?
A) No quotes B) Double quotes C) Single quotes D) Backticks
FILL: Turning a value into JSON text is called ____
HINDI TO TASK: Convert the object user to a JSON string.
PRACTICE QUESTION: What happens to a function inside an object when stringified?</t>
        </is>
      </c>
      <c r="B16" s="29" t="inlineStr">
        <is>
          <t>MCQ answer: B  The format allows only double-quoted strings.
Fill answer: stringify
Task answer:
JSON.stringify(user)
Practice answer:
It is dropped.</t>
        </is>
      </c>
      <c r="C16" s="29" t="inlineStr">
        <is>
          <t>01_JavaScript_Core_Beginner_TS-015_quiz</t>
        </is>
      </c>
    </row>
    <row r="17" ht="121.5" customHeight="1">
      <c r="A17" s="29" t="inlineStr">
        <is>
          <t>MCQ: When does optional chaining return undefined?
A) Always B) Only for arrays C) Never D) When a link in the chain is null or undefined
FILL: A fallback only for null or undefined uses the operator ____
HINDI TO TASK: Read the city safely from user.address.
PRACTICE QUESTION: What does 0 ?? 5 return?</t>
        </is>
      </c>
      <c r="B17" s="29" t="inlineStr">
        <is>
          <t>MCQ answer: D  It stops safely at a missing value.
Fill answer: ??
Task answer:
user.address?.city
Practice answer:
0</t>
        </is>
      </c>
      <c r="C17" s="29" t="inlineStr">
        <is>
          <t>01_JavaScript_Core_Intermediate_TS-016_quiz</t>
        </is>
      </c>
    </row>
    <row r="18" ht="121.5" customHeight="1">
      <c r="A18" s="29" t="inlineStr">
        <is>
          <t>MCQ: Which collection keeps only unique values?
A) Set B) Map C) Array D) Object
FILL: A collection of key and value pairs with any key type is a ____
HINDI TO TASK: Remove duplicates from the array ids.
PRACTICE QUESTION: Which has a size property, an object or a Map?</t>
        </is>
      </c>
      <c r="B18" s="29" t="inlineStr">
        <is>
          <t>MCQ answer: A  A Set ignores values that are already present.
Fill answer: Map
Task answer:
const unique = [...new Set(ids)];
Practice answer:
A Map has size, and objects do not.</t>
        </is>
      </c>
      <c r="C18" s="29" t="inlineStr">
        <is>
          <t>01_JavaScript_Core_Intermediate_TS-017_quiz</t>
        </is>
      </c>
    </row>
    <row r="19" ht="121.5" customHeight="1">
      <c r="A19" s="29" t="inlineStr">
        <is>
          <t>MCQ: When does a timer callback run?
A) Before the code B) Later, after the current code finishes C) Immediately D) Never
FILL: In Node style callbacks the first argument is the ____
HINDI TO TASK: Run a function after one second.
PRACTICE QUESTION: Why does the line after the call print first?</t>
        </is>
      </c>
      <c r="B19" s="29" t="inlineStr">
        <is>
          <t>MCQ answer: B  Callbacks wait for the event loop.
Fill answer: error
Task answer:
setTimeout(() =&gt; run(), 1000);
Practice answer:
The callback is scheduled to run later.</t>
        </is>
      </c>
      <c r="C19" s="29" t="inlineStr">
        <is>
          <t>02_Async_JavaScript_Beginner_TS-018_quiz</t>
        </is>
      </c>
    </row>
    <row r="20" ht="121.5" customHeight="1">
      <c r="A20" s="29" t="inlineStr">
        <is>
          <t>MCQ: What are the promise states?
A) Start, middle and end B) Open and closed C) Hot and cold D) Pending, fulfilled and rejected
FILL: A promise that failed is said to be ____
HINDI TO TASK: Create a promise that resolves with 5.
PRACTICE QUESTION: What does finally do?</t>
        </is>
      </c>
      <c r="B20" s="29" t="inlineStr">
        <is>
          <t>MCQ answer: D  Those are the three defined states.
Fill answer: rejected
Task answer:
Promise.resolve(5)
Practice answer:
It runs whether the promise succeeded or failed.</t>
        </is>
      </c>
      <c r="C20" s="29" t="inlineStr">
        <is>
          <t>02_Async_JavaScript_Intermediate_TS-019_quiz</t>
        </is>
      </c>
    </row>
    <row r="21" ht="108" customHeight="1">
      <c r="A21" s="29" t="inlineStr">
        <is>
          <t>MCQ: What does an async function always return?
A) A number B) A string C) A promise D) undefined
FILL: await can be used inside an ____ function
HINDI TO TASK: Wait for fetch to finish and store the response.
PRACTICE QUESTION: Does await freeze the whole program?</t>
        </is>
      </c>
      <c r="B21" s="29" t="inlineStr">
        <is>
          <t>MCQ answer: C  Return values are wrapped in a promise.
Fill answer: async
Task answer:
const res = await fetch(url);
Practice answer:
No, only that function pauses.</t>
        </is>
      </c>
      <c r="C21" s="29" t="inlineStr">
        <is>
          <t>02_Async_JavaScript_Intermediate_TS-020_quiz</t>
        </is>
      </c>
    </row>
    <row r="22" ht="108" customHeight="1">
      <c r="A22" s="29" t="inlineStr">
        <is>
          <t>MCQ: When does fetch reject its promise?
A) On a 404 B) On a 500 C) On network failure D) Never
FILL: The property that is true for statuses in the 200s is ____
HINDI TO TASK: Send a GET request and read the JSON body.
PRACTICE QUESTION: Can a response body be read twice?</t>
        </is>
      </c>
      <c r="B22" s="29" t="inlineStr">
        <is>
          <t>MCQ answer: C  HTTP error statuses still resolve normally.
Fill answer: ok
Task answer:
const res = await fetch(url); const data = await res.json();
Practice answer:
No, it can be read only once.</t>
        </is>
      </c>
      <c r="C22" s="29" t="inlineStr">
        <is>
          <t>02_Async_JavaScript_Intermediate_TS-021_quiz</t>
        </is>
      </c>
    </row>
    <row r="23" ht="135" customHeight="1">
      <c r="A23" s="29" t="inlineStr">
        <is>
          <t>MCQ: Why does try not catch a call without await?
A) The rejection happens later, outside the try B) The function is sync C) try is broken D) fetch is faulty
FILL: A rejection with no handler is called ____
HINDI TO TASK: Catch an error from await loadData().
PRACTICE QUESTION: Does try and catch catch a rejection of a call without await?</t>
        </is>
      </c>
      <c r="B23" s="29" t="inlineStr">
        <is>
          <t>MCQ answer: A  The promise rejects after the try block finishes.
Fill answer: unhandled
Task answer:
try { await loadData(); } catch (e) { console.error(e); }
Practice answer:
No, only awaited rejections are caught.</t>
        </is>
      </c>
      <c r="C23" s="29" t="inlineStr">
        <is>
          <t>02_Async_JavaScript_Intermediate_TS-022_quiz</t>
        </is>
      </c>
    </row>
    <row r="24" ht="121.5" customHeight="1">
      <c r="A24" s="29" t="inlineStr">
        <is>
          <t>MCQ: Which runs first after sync code?
A) User clicks B) Promise callbacks C) Network replies D) Timers
FILL: A promise callback is a ____
HINDI TO TASK: Predict the order of a timeout and a promise callback.
PRACTICE QUESTION: Why can a long loop freeze a page?</t>
        </is>
      </c>
      <c r="B24" s="29" t="inlineStr">
        <is>
          <t>MCQ answer: B  Microtasks run before the next macrotask.
Fill answer: microtask
Task answer:
The promise callback runs first, then the timeout.
Practice answer:
The loop blocks the call stack, so nothing else can run.</t>
        </is>
      </c>
      <c r="C24" s="29" t="inlineStr">
        <is>
          <t>02_Async_JavaScript_Advanced_TS-023_quiz</t>
        </is>
      </c>
    </row>
    <row r="25" ht="135" customHeight="1">
      <c r="A25" s="29" t="inlineStr">
        <is>
          <t>MCQ: What does Promise.all return when one input rejects?
A) undefined B) A resolved empty array C) All results anyway D) A rejected promise
FILL: The method that never rejects and reports each outcome is Promise.____
HINDI TO TASK: Fetch two users at once and wait for both.
PRACTICE QUESTION: What order are the results in?</t>
        </is>
      </c>
      <c r="B25" s="29" t="inlineStr">
        <is>
          <t>MCQ answer: D  It fails fast on the first rejection.
Fill answer: allSettled
Task answer:
const [a, b] = await Promise.all([getUser(1), getUser(2)]);
Practice answer:
The same order as the input array.</t>
        </is>
      </c>
      <c r="C25" s="29" t="inlineStr">
        <is>
          <t>02_Async_JavaScript_Intermediate_TS-024_quiz</t>
        </is>
      </c>
    </row>
    <row r="26" ht="108" customHeight="1">
      <c r="A26" s="29" t="inlineStr">
        <is>
          <t>MCQ: Which function repeats a callback?
A) setOnce B) clearTimeout C) setTimeout D) setInterval
FILL: To cancel an interval you call ____
HINDI TO TASK: Wait two seconds and then print done.
PRACTICE QUESTION: What does setTimeout(run(), 1000) do wrong?</t>
        </is>
      </c>
      <c r="B26" s="29" t="inlineStr">
        <is>
          <t>MCQ answer: D  setInterval repeats until cleared.
Fill answer: clearInterval
Task answer:
setTimeout(() =&gt; console.log("done"), 2000);
Practice answer:
It calls run immediately instead of passing it.</t>
        </is>
      </c>
      <c r="C26" s="29" t="inlineStr">
        <is>
          <t>02_Async_JavaScript_Beginner_TS-025_quiz</t>
        </is>
      </c>
    </row>
    <row r="27" ht="108" customHeight="1">
      <c r="A27" s="29" t="inlineStr">
        <is>
          <t>MCQ: Which global holds command line arguments in Node?
A) global.cmd B) process.argv C) document.args D) window.args
FILL: The engine behind Node is called ____
HINDI TO TASK: Run the file app.js with Node.
PRACTICE QUESTION: Does Node have window or document?</t>
        </is>
      </c>
      <c r="B27" s="29" t="inlineStr">
        <is>
          <t>MCQ answer: B  process.argv lists the arguments.
Fill answer: V8
Task answer:
node app.js
Practice answer:
No, those belong to browsers.</t>
        </is>
      </c>
      <c r="C27" s="29" t="inlineStr">
        <is>
          <t>03_Node_and_Tooling_Beginner_TS-026_quiz</t>
        </is>
      </c>
    </row>
    <row r="28" ht="108" customHeight="1">
      <c r="A28" s="29" t="inlineStr">
        <is>
          <t>MCQ: Which command installs exactly what the lockfile says?
A) npm ci B) npm audit C) npm init D) npm ls
FILL: Tools needed only during development are ____
HINDI TO TASK: Install express as a dependency.
PRACTICE QUESTION: Should node_modules be committed to Git?</t>
        </is>
      </c>
      <c r="B28" s="29" t="inlineStr">
        <is>
          <t>MCQ answer: A  ci is a clean install from the lockfile.
Fill answer: devDependencies
Task answer:
npm install express
Practice answer:
No, it can be rebuilt from the lockfile.</t>
        </is>
      </c>
      <c r="C28" s="29" t="inlineStr">
        <is>
          <t>03_Node_and_Tooling_Beginner_TS-027_quiz</t>
        </is>
      </c>
    </row>
    <row r="29" ht="108" customHeight="1">
      <c r="A29" s="29" t="inlineStr">
        <is>
          <t>MCQ: Which script name can run without the word run?
A) dev B) build C) test D) deploy
FILL: Extra arguments for a script go after ____
HINDI TO TASK: Run the build script.
PRACTICE QUESTION: What does a prebuild script do?</t>
        </is>
      </c>
      <c r="B29" s="29" t="inlineStr">
        <is>
          <t>MCQ answer: C  test and start have shortcuts.
Fill answer: two dashes
Task answer:
npm run build
Practice answer:
It runs automatically before the build script.</t>
        </is>
      </c>
      <c r="C29" s="29" t="inlineStr">
        <is>
          <t>03_Node_and_Tooling_Beginner_TS-028_quiz</t>
        </is>
      </c>
    </row>
    <row r="30" ht="108" customHeight="1">
      <c r="A30" s="29" t="inlineStr">
        <is>
          <t>MCQ: What type are process.env values?
A) Numbers B) Booleans C) Objects D) Strings
FILL: Values from process.env must be converted from ____
HINDI TO TASK: Read PORT as a number with a default of 3000.
PRACTICE QUESTION: Should .env files be committed?</t>
        </is>
      </c>
      <c r="B30" s="29" t="inlineStr">
        <is>
          <t>MCQ answer: D  The environment stores text only.
Fill answer: strings
Task answer:
const port = Number(process.env.PORT ?? 3000);
Practice answer:
No, they often hold secrets.</t>
        </is>
      </c>
      <c r="C30" s="29" t="inlineStr">
        <is>
          <t>03_Node_and_Tooling_Intermediate_TS-029_quiz</t>
        </is>
      </c>
    </row>
    <row r="31" ht="108" customHeight="1">
      <c r="A31" s="29" t="inlineStr">
        <is>
          <t>MCQ: What do you get from readFile without an encoding?
A) A number B) A string C) A buffer D) JSON
FILL: Large files should be handled with ____
HINDI TO TASK: Read the file notes.txt as text.
PRACTICE QUESTION: Why avoid synchronous reads in a server?</t>
        </is>
      </c>
      <c r="B31" s="29" t="inlineStr">
        <is>
          <t>MCQ answer: C  Without an encoding the raw bytes are returned.
Fill answer: streams
Task answer:
const text = await readFile("notes.txt", "utf8");
Practice answer:
They block the event loop.</t>
        </is>
      </c>
      <c r="C31" s="29" t="inlineStr">
        <is>
          <t>03_Node_and_Tooling_Intermediate_TS-030_quiz</t>
        </is>
      </c>
    </row>
    <row r="32" ht="108" customHeight="1">
      <c r="A32" s="29" t="inlineStr">
        <is>
          <t>MCQ: Which file extension is always CommonJS?
A) .cjs B) .json C) .ts D) .mjs
FILL: The package.json field that sets the module style is ____
HINDI TO TASK: Make all .js files in a project ES modules.
PRACTICE QUESTION: Do ES modules have __dirname by default?</t>
        </is>
      </c>
      <c r="B32" s="29" t="inlineStr">
        <is>
          <t>MCQ answer: A  The cjs extension forces CommonJS.
Fill answer: type
Task answer:
"type": "module"
Practice answer:
No, use import.meta.url instead.</t>
        </is>
      </c>
      <c r="C32" s="29" t="inlineStr">
        <is>
          <t>03_Node_and_Tooling_Intermediate_TS-031_quiz</t>
        </is>
      </c>
    </row>
    <row r="33" ht="121.5" customHeight="1">
      <c r="A33" s="29" t="inlineStr">
        <is>
          <t>MCQ: What must a handler do to finish a response?
A) Call req.end B) Call res.end C) Return a string D) Close the browser
FILL: The server starts accepting requests after you call ____
HINDI TO TASK: Return the text hello for every request.
PRACTICE QUESTION: Why use a framework after learning this?</t>
        </is>
      </c>
      <c r="B33" s="29" t="inlineStr">
        <is>
          <t>MCQ answer: B  The response stays open until end is called.
Fill answer: listen
Task answer:
createServer((req, res) =&gt; res.end("hello")).listen(3000);
Practice answer:
It adds routing, parsing and middleware.</t>
        </is>
      </c>
      <c r="C33" s="29" t="inlineStr">
        <is>
          <t>03_Node_and_Tooling_Intermediate_TS-032_quiz</t>
        </is>
      </c>
    </row>
    <row r="34" ht="135" customHeight="1">
      <c r="A34" s="29" t="inlineStr">
        <is>
          <t>MCQ: What does TypeScript produce for running?
A) Machine code B) Python C) Typed bytecode D) Plain JavaScript
FILL: The TypeScript compiler command is ____
HINDI TO TASK: Check the project for type errors without writing output files.
PRACTICE QUESTION: Are types checked on data from an API at run time?</t>
        </is>
      </c>
      <c r="B34" s="29" t="inlineStr">
        <is>
          <t>MCQ answer: D  Types are erased during compilation.
Fill answer: tsc
Task answer:
npx tsc --noEmit
Practice answer:
No, that data needs validation.</t>
        </is>
      </c>
      <c r="C34" s="29" t="inlineStr">
        <is>
          <t>04_TypeScript_Beginner_TS-033_quiz</t>
        </is>
      </c>
    </row>
    <row r="35" ht="135" customHeight="1">
      <c r="A35" s="29" t="inlineStr">
        <is>
          <t>MCQ: Which type should you use for text?
A) The word text B) The lowercase primitive name C) The word char D) The capitalised wrapper class
FILL: A function that returns nothing has the return type ____
HINDI TO TASK: Declare a variable of type number named count.
PRACTICE QUESTION: What is the difference between a tuple and an array?</t>
        </is>
      </c>
      <c r="B35" s="29" t="inlineStr">
        <is>
          <t>MCQ answer: B  The lowercase primitive type is the standard.
Fill answer: void
Task answer:
let count: number = 0;
Practice answer:
A tuple has fixed length and a type per position.</t>
        </is>
      </c>
      <c r="C35" s="29" t="inlineStr">
        <is>
          <t>04_TypeScript_Beginner_TS-034_quiz</t>
        </is>
      </c>
    </row>
    <row r="36" ht="108" customHeight="1">
      <c r="A36" s="29" t="inlineStr">
        <is>
          <t>MCQ: Which can name a union type?
A) A type alias B) An interface C) A class only D) A module
FILL: An optional property is marked with a question ____
HINDI TO TASK: Define a type for a user with an id and a name.
PRACTICE QUESTION: Which one supports declaration merging?</t>
        </is>
      </c>
      <c r="B36" s="29" t="inlineStr">
        <is>
          <t>MCQ answer: A  Interfaces describe object shapes only.
Fill answer: mark
Task answer:
interface User { id: number; name: string }
Practice answer:
An interface.</t>
        </is>
      </c>
      <c r="C36" s="29" t="inlineStr">
        <is>
          <t>04_TypeScript_Beginner_TS-035_quiz</t>
        </is>
      </c>
    </row>
    <row r="37" ht="121.5" customHeight="1">
      <c r="A37" s="29" t="inlineStr">
        <is>
          <t>MCQ: What does the vertical bar mean in a type?
A) And B) Not C) Or D) Equals
FILL: A union with a shared literal field is called a ____ union
HINDI TO TASK: Define a type that allows only the words red and green.
PRACTICE QUESTION: Why narrow a union before using a property?</t>
        </is>
      </c>
      <c r="B37" s="29" t="inlineStr">
        <is>
          <t>MCQ answer: C  A union allows any one of the listed types.
Fill answer: discriminated
Task answer:
type Light = "red" | "green";
Practice answer:
Only properties shared by all members are safe to use.</t>
        </is>
      </c>
      <c r="C37" s="29" t="inlineStr">
        <is>
          <t>04_TypeScript_Intermediate_TS-036_quiz</t>
        </is>
      </c>
    </row>
    <row r="38" ht="121.5" customHeight="1">
      <c r="A38" s="29" t="inlineStr">
        <is>
          <t>MCQ: What does T represent in a generic function?
A) A variable name only B) A string C) A type filled in at use D) A number
FILL: A rule limiting a generic type uses the keyword ____
HINDI TO TASK: Write a generic function that returns its argument.
PRACTICE QUESTION: Why prefer generics over any?</t>
        </is>
      </c>
      <c r="B38" s="29" t="inlineStr">
        <is>
          <t>MCQ answer: C  It is a placeholder for a type.
Fill answer: extends
Task answer:
function identity&lt;T&gt;(x: T): T { return x; }
Practice answer:
They keep the link between input and output types.</t>
        </is>
      </c>
      <c r="C38" s="29" t="inlineStr">
        <is>
          <t>04_TypeScript_Intermediate_TS-037_quiz</t>
        </is>
      </c>
    </row>
    <row r="39" ht="121.5" customHeight="1">
      <c r="A39" s="29" t="inlineStr">
        <is>
          <t>MCQ: Which check narrows a value to a string?
A) v exists B) v is truthy C) v is long D) typeof v equals string
FILL: To test whether a key exists on an object, narrow with the operator ____
HINDI TO TASK: Narrow value to a string before calling toUpperCase.
PRACTICE QUESTION: Does an assertion prove the type?</t>
        </is>
      </c>
      <c r="B39" s="29" t="inlineStr">
        <is>
          <t>MCQ answer: D  typeof narrows primitives.
Fill answer: in
Task answer:
if (typeof value === "string") value.toUpperCase();
Practice answer:
No, it only tells the compiler to trust you.</t>
        </is>
      </c>
      <c r="C39" s="29" t="inlineStr">
        <is>
          <t>04_TypeScript_Intermediate_TS-038_quiz</t>
        </is>
      </c>
    </row>
    <row r="40" ht="108" customHeight="1">
      <c r="A40" s="29" t="inlineStr">
        <is>
          <t>MCQ: What must you do before using an unknown value?
A) Cast it to any B) Narrow or validate it C) Nothing D) Delete it
FILL: The compiler flag that reports implicit any is ____
HINDI TO TASK: Type the result of JSON.parse safely.
PRACTICE QUESTION: Why does any spread?</t>
        </is>
      </c>
      <c r="B40" s="29" t="inlineStr">
        <is>
          <t>MCQ answer: B  The compiler requires proof of the type.
Fill answer: noImplicitAny
Task answer:
const data: unknown = JSON.parse(text);
Practice answer:
Values derived from any are also any, hiding errors.</t>
        </is>
      </c>
      <c r="C40" s="29" t="inlineStr">
        <is>
          <t>04_TypeScript_Intermediate_TS-039_quiz</t>
        </is>
      </c>
    </row>
    <row r="41" ht="121.5" customHeight="1">
      <c r="A41" s="29" t="inlineStr">
        <is>
          <t>MCQ: What does a question mark after a property name mean?
A) It is optional B) It is readonly C) It is private D) It is a number
FILL: A modifier that blocks reassignment is ____
HINDI TO TASK: Make the property port optional.
PRACTICE QUESTION: Is readonly enforced while the program runs?</t>
        </is>
      </c>
      <c r="B41" s="29" t="inlineStr">
        <is>
          <t>MCQ answer: A  The property may be missing.
Fill answer: readonly
Task answer:
port?: number;
Practice answer:
No, only by the compiler.</t>
        </is>
      </c>
      <c r="C41" s="29" t="inlineStr">
        <is>
          <t>04_TypeScript_Beginner_TS-040_quiz</t>
        </is>
      </c>
    </row>
    <row r="42" ht="121.5" customHeight="1">
      <c r="A42" s="29" t="inlineStr">
        <is>
          <t>MCQ: Which exists at run time?
A) A literal union B) A type alias C) An interface D) An enum
FILL: An object that behaves like an enum can be made with ____ const
HINDI TO TASK: Define a string enum with Admin and User.
PRACTICE QUESTION: Why prefer string enums over numeric ones?</t>
        </is>
      </c>
      <c r="B42" s="29" t="inlineStr">
        <is>
          <t>MCQ answer: D  Enums compile into objects.
Fill answer: as
Task answer:
enum Role { Admin = "ADMIN", User = "USER" }
Practice answer:
They are readable in logs and safer.</t>
        </is>
      </c>
      <c r="C42" s="29" t="inlineStr">
        <is>
          <t>04_TypeScript_Intermediate_TS-041_quiz</t>
        </is>
      </c>
    </row>
    <row r="43" ht="108" customHeight="1">
      <c r="A43" s="29" t="inlineStr">
        <is>
          <t>MCQ: Which option picks the output folder?
A) target B) rootDir C) outDir D) include
FILL: The option that turns on a group of safety checks is ____
HINDI TO TASK: Create a starter tsconfig file.
PRACTICE QUESTION: What does include do?</t>
        </is>
      </c>
      <c r="B43" s="29" t="inlineStr">
        <is>
          <t>MCQ answer: C  outDir sets where compiled files go.
Fill answer: strict
Task answer:
npx tsc --init
Practice answer:
It lists which files the compiler should check.</t>
        </is>
      </c>
      <c r="C43" s="29" t="inlineStr">
        <is>
          <t>04_TypeScript_Intermediate_TS-042_quiz</t>
        </is>
      </c>
    </row>
    <row r="44" ht="108" customHeight="1">
      <c r="A44" s="29" t="inlineStr">
        <is>
          <t>MCQ: Which utility type makes every property optional?
A) Partial B) Record C) Omit D) Pick
FILL: The utility type that builds a key to value dictionary is ____
HINDI TO TASK: Create a type with all fields of User except email.
PRACTICE QUESTION: Does Omit remove data at run time?</t>
        </is>
      </c>
      <c r="B44" s="29" t="inlineStr">
        <is>
          <t>MCQ answer: A  Partial adds an optional marker to each key.
Fill answer: Record
Task answer:
type Safe = Omit&lt;User, "email"&gt;;
Practice answer:
No, it only changes the type.</t>
        </is>
      </c>
      <c r="C44" s="29" t="inlineStr">
        <is>
          <t>04_TypeScript_Intermediate_TS-043_quiz</t>
        </is>
      </c>
    </row>
    <row r="45" ht="121.5" customHeight="1">
      <c r="A45" s="29" t="inlineStr">
        <is>
          <t>MCQ: What type does an async function returning a string have?
A) any B) Promise of string C) void D) string
FILL: The utility that extracts the value type of a promise is ____
HINDI TO TASK: Declare the return type of an async function that gives a number.
PRACTICE QUESTION: What does await do to the type?</t>
        </is>
      </c>
      <c r="B45" s="29" t="inlineStr">
        <is>
          <t>MCQ answer: B  The return is wrapped in a promise.
Fill answer: Awaited
Task answer:
async function f(): Promise&lt;number&gt; { return 1; }
Practice answer:
It unwraps the promise to its inner type.</t>
        </is>
      </c>
      <c r="C45" s="29" t="inlineStr">
        <is>
          <t>04_TypeScript_Intermediate_TS-044_quiz</t>
        </is>
      </c>
    </row>
    <row r="46" ht="108" customHeight="1">
      <c r="A46" s="29" t="inlineStr">
        <is>
          <t>MCQ: Does as perform a run-time check?
A) Only for numbers B) Only in strict C) No D) Yes always
FILL: The operator that asserts a value is not null is the ____ mark
HINDI TO TASK: Treat an element as an input element.
PRACTICE QUESTION: Why can a wrong assertion crash at run time?</t>
        </is>
      </c>
      <c r="B46" s="29" t="inlineStr">
        <is>
          <t>MCQ answer: C  It only affects compile-time types.
Fill answer: exclamation
Task answer:
const el = node as HTMLInputElement;
Practice answer:
The compiler trusts you, but the real value differs.</t>
        </is>
      </c>
      <c r="C46" s="29" t="inlineStr">
        <is>
          <t>04_TypeScript_Intermediate_TS-045_quiz</t>
        </is>
      </c>
    </row>
    <row r="47" ht="108" customHeight="1">
      <c r="A47" s="29" t="inlineStr">
        <is>
          <t>MCQ: What do .d.ts files contain?
A) Images B) Only type declarations C) Runnable code D) Tests
FILL: Community type packages are published under the scope ____
HINDI TO TASK: Install types for Node.
PRACTICE QUESTION: Do packages with built-in types need @types?</t>
        </is>
      </c>
      <c r="B47" s="29" t="inlineStr">
        <is>
          <t>MCQ answer: B  They describe shapes for the compiler.
Fill answer: @types
Task answer:
npm install --save-dev @types/node
Practice answer:
No.</t>
        </is>
      </c>
      <c r="C47" s="29" t="inlineStr">
        <is>
          <t>04_TypeScript_Intermediate_TS-046_quiz</t>
        </is>
      </c>
    </row>
    <row r="48" ht="135" customHeight="1">
      <c r="A48" s="29" t="inlineStr">
        <is>
          <t>MCQ: What does a type predicate look like?
A) value to Type B) value in Type C) value as Type D) value is Type
FILL: A function that narrows by throwing uses ____ in its return type
HINDI TO TASK: Write a guard that checks whether a value is a string.
PRACTICE QUESTION: Does the compiler verify the guard logic?</t>
        </is>
      </c>
      <c r="B48" s="29" t="inlineStr">
        <is>
          <t>MCQ answer: D  The predicate form names the narrowed type.
Fill answer: asserts
Task answer:
function isString(v: unknown): v is string { return typeof v === "string"; }
Practice answer:
No, it trusts the predicate.</t>
        </is>
      </c>
      <c r="C48" s="29" t="inlineStr">
        <is>
          <t>04_TypeScript_Advanced_TS-047_quiz</t>
        </is>
      </c>
    </row>
    <row r="49" ht="121.5" customHeight="1">
      <c r="A49" s="29" t="inlineStr">
        <is>
          <t>MCQ: What does strictNullChecks require?
A) Handling null and undefined explicitly B) Faster code C) Typed comments D) No null values ever
FILL: The option that rejects untyped parameters is ____
HINDI TO TASK: Turn on strict mode in tsconfig.
PRACTICE QUESTION: Does strict mode change run-time speed?</t>
        </is>
      </c>
      <c r="B49" s="29" t="inlineStr">
        <is>
          <t>MCQ answer: A  Null becomes a separate type to be handled.
Fill answer: noImplicitAny
Task answer:
"strict": true
Practice answer:
No, it affects only compile-time checks.</t>
        </is>
      </c>
      <c r="C49" s="29" t="inlineStr">
        <is>
          <t>04_TypeScript_Intermediate_TS-048_quiz</t>
        </is>
      </c>
    </row>
    <row r="50" ht="108" customHeight="1">
      <c r="A50" s="29" t="inlineStr">
        <is>
          <t>MCQ: Which clause loops over the keys of T?
A) K of T B) K in keyof T C) K for T D) K as T
FILL: The operator that gives the union of a type's keys is ____
HINDI TO TASK: Write a type that makes every property of T nullable.
PRACTICE QUESTION: What does T[K] mean?</t>
        </is>
      </c>
      <c r="B50" s="29" t="inlineStr">
        <is>
          <t>MCQ answer: B  The in keyof form iterates over keys.
Fill answer: keyof
Task answer:
type Nullable&lt;T&gt; = { [K in keyof T]: T[K] | null };
Practice answer:
The type of property K in T.</t>
        </is>
      </c>
      <c r="C50" s="29" t="inlineStr">
        <is>
          <t>04_TypeScript_Advanced_TS-049_quiz</t>
        </is>
      </c>
    </row>
    <row r="51" ht="121.5" customHeight="1">
      <c r="A51" s="29" t="inlineStr">
        <is>
          <t>MCQ: What is the type of an array literal with as const?
A) object B) string[] C) A readonly tuple of exact values D) any
FILL: A union of array items is derived with typeof x[____]
HINDI TO TASK: Make a constant list of two roles and derive a union from it.
PRACTICE QUESTION: Does as const freeze the object at run time?</t>
        </is>
      </c>
      <c r="B51" s="29" t="inlineStr">
        <is>
          <t>MCQ answer: C  Each element keeps its literal type.
Fill answer: number
Task answer:
const roles = ["admin", "user"] as const; type Role = typeof roles[number];
Practice answer:
No, it only affects types.</t>
        </is>
      </c>
      <c r="C51" s="29" t="inlineStr">
        <is>
          <t>04_TypeScript_Intermediate_TS-050_quiz</t>
        </is>
      </c>
    </row>
    <row r="52" ht="108" customHeight="1">
      <c r="A52" s="29" t="inlineStr">
        <is>
          <t>MCQ: What type does a caught value have in strict mode?
A) unknown B) number C) string D) Error
FILL: A custom class for failures extends the built-in ____ class
HINDI TO TASK: Safely get a message from a caught value.
PRACTICE QUESTION: Why check instanceof Error before using message?</t>
        </is>
      </c>
      <c r="B52" s="29" t="inlineStr">
        <is>
          <t>MCQ answer: A  Anything may be thrown.
Fill answer: Error
Task answer:
e instanceof Error ? e.message : String(e)
Practice answer:
Any value can be thrown, not only errors.</t>
        </is>
      </c>
      <c r="C52" s="29" t="inlineStr">
        <is>
          <t>04_TypeScript_Advanced_TS-051_quiz</t>
        </is>
      </c>
    </row>
    <row r="53" ht="148.5" customHeight="1">
      <c r="A53" s="29" t="inlineStr">
        <is>
          <t>MCQ: What does z.infer give you?
A) The raw data B) A promise C) The error list D) The TypeScript type of the schema
FILL: The method that returns a result object instead of throwing is ____
HINDI TO TASK: Validate an unknown value against a user schema without throwing.
PRACTICE QUESTION: Why validate even with TypeScript types?</t>
        </is>
      </c>
      <c r="B53" s="29" t="inlineStr">
        <is>
          <t>MCQ answer: D  It derives a static type from the schema.
Fill answer: safeParse
Task answer:
const r = User.safeParse(data);
Practice answer:
Types do not exist at run time.</t>
        </is>
      </c>
      <c r="C53" s="29" t="inlineStr">
        <is>
          <t>04_TypeScript_Advanced_TS-052_quiz</t>
        </is>
      </c>
    </row>
    <row r="54" ht="135" customHeight="1">
      <c r="A54" s="29" t="inlineStr">
        <is>
          <t>MCQ: What must a component name start with?
A) A capital letter B) An underscore C) A number D) A lowercase letter
FILL: A component returns an interface description written in ____
HINDI TO TASK: Write a component that shows a heading with your name.
PRACTICE QUESTION: Why capitalise component names?</t>
        </is>
      </c>
      <c r="B54" s="29" t="inlineStr">
        <is>
          <t>MCQ answer: A  React treats lowercase names as HTML tags.
Fill answer: JSX
Task answer:
function Hello() { return &lt;h1&gt;Asha&lt;/h1&gt;; }
Practice answer:
Lowercase names are treated as HTML tags.</t>
        </is>
      </c>
      <c r="C54" s="29" t="inlineStr">
        <is>
          <t>05_React_Basics_Beginner_TS-053_quiz</t>
        </is>
      </c>
    </row>
    <row r="55" ht="108" customHeight="1">
      <c r="A55" s="29" t="inlineStr">
        <is>
          <t>MCQ: Which attribute sets the CSS class in JSX?
A) cssClass B) className C) class D) styleClass
FILL: JavaScript inside JSX goes in curly ____
HINDI TO TASK: Show the value of count inside a paragraph.
PRACTICE QUESTION: Why must JSX return a single root?</t>
        </is>
      </c>
      <c r="B55" s="29" t="inlineStr">
        <is>
          <t>MCQ answer: B  class is a reserved word in JavaScript.
Fill answer: braces
Task answer:
&lt;p&gt;{count}&lt;/p&gt;
Practice answer:
A function can return only one value, so wrap siblings in a parent or fragment.</t>
        </is>
      </c>
      <c r="C55" s="29" t="inlineStr">
        <is>
          <t>05_React_Basics_Beginner_TS-054_quiz</t>
        </is>
      </c>
    </row>
    <row r="56" ht="121.5" customHeight="1">
      <c r="A56" s="29" t="inlineStr">
        <is>
          <t>MCQ: In which direction do props flow?
A) Between siblings B) Both ways C) From child to parent D) From parent to child
FILL: The prop that holds nested content is called ____
HINDI TO TASK: Pass a name prop to a Greeting component.
PRACTICE QUESTION: How does a child send data up?</t>
        </is>
      </c>
      <c r="B56" s="29" t="inlineStr">
        <is>
          <t>MCQ answer: D  React data flow is one-way and downward.
Fill answer: children
Task answer:
&lt;Greeting name="Asha" /&gt;
Practice answer:
It calls a function passed down as a prop.</t>
        </is>
      </c>
      <c r="C56" s="29" t="inlineStr">
        <is>
          <t>05_React_Basics_Beginner_TS-055_quiz</t>
        </is>
      </c>
    </row>
    <row r="57" ht="135" customHeight="1">
      <c r="A57" s="29" t="inlineStr">
        <is>
          <t>MCQ: What does calling the setter do?
A) Reloads the page B) Deletes the component C) Stores the value and re-renders D) Changes the props
FILL: The hook that adds state to a function component is ____
HINDI TO TASK: Create a state value called open that starts as false.
PRACTICE QUESTION: Why pass a function to the setter?</t>
        </is>
      </c>
      <c r="B57" s="29" t="inlineStr">
        <is>
          <t>MCQ answer: C  The setter triggers a new render with the new value.
Fill answer: useState
Task answer:
const [open, setOpen] = useState(false);
Practice answer:
It uses the latest value when the update depends on the old one.</t>
        </is>
      </c>
      <c r="C57" s="29" t="inlineStr">
        <is>
          <t>05_React_Basics_Beginner_TS-056_quiz</t>
        </is>
      </c>
    </row>
    <row r="58" ht="135" customHeight="1">
      <c r="A58" s="29" t="inlineStr">
        <is>
          <t>MCQ: When does an effect with an empty array run?
A) On every render B) Once after the first render C) On every click D) Never
FILL: The function returned from an effect is called ____
HINDI TO TASK: Run a function when the id changes.
PRACTICE QUESTION: Why do effects run twice in development strict mode?</t>
        </is>
      </c>
      <c r="B58" s="29" t="inlineStr">
        <is>
          <t>MCQ answer: B  No dependencies means no re-runs.
Fill answer: cleanup
Task answer:
useEffect(() =&gt; { load(id); }, [id]);
Practice answer:
To expose missing cleanup logic.</t>
        </is>
      </c>
      <c r="C58" s="29" t="inlineStr">
        <is>
          <t>05_React_Basics_Intermediate_TS-057_quiz</t>
        </is>
      </c>
    </row>
    <row r="59" ht="121.5" customHeight="1">
      <c r="A59" s="29" t="inlineStr">
        <is>
          <t>MCQ: What makes a good key?
A) The array index B) The item colour C) A unique stable id D) A random number each render
FILL: Each item in a mapped list needs a unique ____
HINDI TO TASK: Render a list of names with keys.
PRACTICE QUESTION: Why can index keys cause bugs?</t>
        </is>
      </c>
      <c r="B59" s="29" t="inlineStr">
        <is>
          <t>MCQ answer: C  It identifies the same item across renders.
Fill answer: key
Task answer:
{names.map(n =&gt; &lt;li key={n}&gt;{n}&lt;/li&gt;)}
Practice answer:
Reordering makes state attach to the wrong item.</t>
        </is>
      </c>
      <c r="C59" s="29" t="inlineStr">
        <is>
          <t>05_React_Basics_Beginner_TS-058_quiz</t>
        </is>
      </c>
    </row>
    <row r="60" ht="108" customHeight="1">
      <c r="A60" s="29" t="inlineStr">
        <is>
          <t>MCQ: What does a component return to render nothing?
A) null B) a space C) zero D) a number
FILL: The short form for either-or in JSX uses the ____ operator
HINDI TO TASK: Show a message only when loading is true.
PRACTICE QUESTION: Why does count &amp;&amp; view sometimes show a zero?</t>
        </is>
      </c>
      <c r="B60" s="29" t="inlineStr">
        <is>
          <t>MCQ answer: A  Returning null renders nothing.
Fill answer: ternary
Task answer:
{loading &amp;&amp; &lt;p&gt;Loading...&lt;/p&gt;}
Practice answer:
Zero is falsy, but React still renders the number zero.</t>
        </is>
      </c>
      <c r="C60" s="29" t="inlineStr">
        <is>
          <t>05_React_Basics_Beginner_TS-059_quiz</t>
        </is>
      </c>
    </row>
    <row r="61" ht="135" customHeight="1">
      <c r="A61" s="29" t="inlineStr">
        <is>
          <t>MCQ: Why abort a request in the effect cleanup?
A) To speed up the server B) To save memory only C) To hide errors D) To avoid stale or unmounted updates
FILL: The browser API used to cancel a fetch is AbortController and its ____
HINDI TO TASK: Show a loading message until the data arrives.
PRACTICE QUESTION: Can an effect callback be async directly?</t>
        </is>
      </c>
      <c r="B61" s="29" t="inlineStr">
        <is>
          <t>MCQ answer: D  Old requests must not overwrite newer results.
Fill answer: signal
Task answer:
if (state === "loading") return &lt;p&gt;Loading...&lt;/p&gt;;
Practice answer:
No, it must return a cleanup function or nothing.</t>
        </is>
      </c>
      <c r="C61" s="29" t="inlineStr">
        <is>
          <t>05_React_Basics_Intermediate_TS-060_quiz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Code concept (56-pt)</t>
        </is>
      </c>
      <c r="B2" t="n">
        <v>60</v>
      </c>
    </row>
    <row r="4">
      <c r="A4" s="21" t="inlineStr">
        <is>
          <t>Cards by topic</t>
        </is>
      </c>
    </row>
    <row r="5">
      <c r="A5" t="inlineStr">
        <is>
          <t>04 TypeScript</t>
        </is>
      </c>
      <c r="B5" t="n">
        <v>20</v>
      </c>
    </row>
    <row r="6">
      <c r="A6" t="inlineStr">
        <is>
          <t>01 JavaScript Core</t>
        </is>
      </c>
      <c r="B6" t="n">
        <v>17</v>
      </c>
    </row>
    <row r="7">
      <c r="A7" t="inlineStr">
        <is>
          <t>02 Async JavaScript</t>
        </is>
      </c>
      <c r="B7" t="n">
        <v>8</v>
      </c>
    </row>
    <row r="8">
      <c r="A8" t="inlineStr">
        <is>
          <t>05 React Basics</t>
        </is>
      </c>
      <c r="B8" t="n">
        <v>8</v>
      </c>
    </row>
    <row r="9">
      <c r="A9" t="inlineStr">
        <is>
          <t>03 Node and Tooling</t>
        </is>
      </c>
      <c r="B9" t="n">
        <v>7</v>
      </c>
    </row>
    <row r="11">
      <c r="A11" s="21" t="inlineStr">
        <is>
          <t>Cards by level</t>
        </is>
      </c>
    </row>
    <row r="12">
      <c r="A12" t="inlineStr">
        <is>
          <t>Intermediate</t>
        </is>
      </c>
      <c r="B12" t="n">
        <v>31</v>
      </c>
    </row>
    <row r="13">
      <c r="A13" t="inlineStr">
        <is>
          <t>Beginner</t>
        </is>
      </c>
      <c r="B13" t="n">
        <v>23</v>
      </c>
    </row>
    <row r="14">
      <c r="A14" t="inlineStr">
        <is>
          <t>Advanced</t>
        </is>
      </c>
      <c r="B14" t="n">
        <v>6</v>
      </c>
    </row>
    <row r="16">
      <c r="A16" s="21" t="inlineStr">
        <is>
          <t>Cards by source</t>
        </is>
      </c>
    </row>
    <row r="17">
      <c r="A17" t="inlineStr">
        <is>
          <t>Claude knowledge</t>
        </is>
      </c>
      <c r="B17" t="n">
        <v>60</v>
      </c>
    </row>
    <row r="19">
      <c r="A19" s="21" t="inlineStr">
        <is>
          <t>Error check</t>
        </is>
      </c>
    </row>
    <row r="20">
      <c r="A20"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2026-10-07T16:54:02Z</dcterms:created>
  <dcterms:modified xmlns:dcterms="http://purl.org/dc/terms/" xmlns:xsi="http://www.w3.org/2001/XMLSchema-instance" xsi:type="dcterms:W3CDTF">2026-10-07T16:54:03Z</dcterms:modified>
</cp:coreProperties>
</file>