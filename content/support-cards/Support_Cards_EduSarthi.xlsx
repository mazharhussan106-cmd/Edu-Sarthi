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ard View" sheetId="2" state="visible" r:id="rId4"/>
    <sheet name="Voice" sheetId="3" state="visible" r:id="rId5"/>
    <sheet name="Chat" sheetId="4" state="visible" r:id="rId6"/>
    <sheet name="Email" sheetId="5" state="visible" r:id="rId7"/>
    <sheet name="Field guide" sheetId="6" state="visible" r:id="rId8"/>
    <sheet name="Summary" sheetId="7" state="visible" r:id="rId9"/>
    <sheet name="Sources" sheetId="8" state="visible" r:id="rId10"/>
    <sheet name="Lists" sheetId="9" state="hidden" r:id="rId11"/>
  </sheets>
  <definedNames>
    <definedName function="false" hidden="true" localSheetId="3" name="_xlnm._FilterDatabase" vbProcedure="false">Chat!$A$2:$BL$62</definedName>
    <definedName function="false" hidden="true" localSheetId="4" name="_xlnm._FilterDatabase" vbProcedure="false">Email!$A$2:$BL$62</definedName>
    <definedName function="false" hidden="true" localSheetId="2" name="_xlnm._FilterDatabase" vbProcedure="false">Voice!$A$2:$BL$62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<sst xmlns="http://schemas.openxmlformats.org/spreadsheetml/2006/main" count="11045" uniqueCount="8776">
  <si>
    <t xml:space="preserve">EduSarthi — Customer Support English cards</t>
  </si>
  <si>
    <t xml:space="preserve">180 cards: Voice, Chat and Email × Basic, Intermediate, Advanced × 20 cards. In every group of 20: 14 'Say it' cards (what the agent says or writes) and 6 'Understand it' cards (what the customer says, what it means, and what to say next).</t>
  </si>
  <si>
    <t xml:space="preserve">Every card has the same 56 fields on three sides, like every EduSarthi card: Side 1 Recognition · Side 2 Meaning &amp; use · Side 3 Practice. The 'Field guide' sheet explains each field.</t>
  </si>
  <si>
    <t xml:space="preserve">How to study</t>
  </si>
  <si>
    <t xml:space="preserve">1. Open 'Card View' and pick a card ID in the yellow cell (B3).  2. Read Side 1 and answer 'Recall first' before you look further.  3. Read Side 2.  4. Do every task on Side 3 out loud or in writing.  5. Voice and chat cards: record yourself. Email cards: write the reply and send it as text or a photo for audit.  6. In the card's sheet (Voice, Chat or Email), fill in your review columns.  7. Review again on days 1 · 3 · 7 · 15 · 30 · 60.</t>
  </si>
  <si>
    <t xml:space="preserve">Cells you fill in</t>
  </si>
  <si>
    <t xml:space="preserve">Only the yellow cells: Card View B3 (the card ID) and the 'MY REVIEW' columns at the right of the Voice, Chat and Email sheets — Status (pick Known / Unknown / Learning / Fix), Day 1 … Day 60 (the date you reviewed), My remark. Example: Status = Learning · Day 1 = 14 Oct · Day 3 = 17 Oct · My remark = 'I keep saying "one minute" instead of a real time'. The 'Summary' sheet counts your Known cards automatically.</t>
  </si>
  <si>
    <t xml:space="preserve">Placeholders</t>
  </si>
  <si>
    <t xml:space="preserve">[Company] stands for the company name. Names, order numbers, amounts and dates in the examples are made up.</t>
  </si>
  <si>
    <t xml:space="preserve">Status: DRAFT</t>
  </si>
  <si>
    <t xml:space="preserve">Every line was written by Claude from public customer-service guidance (see 'Sources') and checked twice (a script plus two rounds of independent review). It still needs a check by a verified teacher before students use it. Indian-English phrases such as 'revert' or 'prepone' are taught as switches for international customers, not as mistakes.</t>
  </si>
  <si>
    <t xml:space="preserve">Card View — pick a card ID in the yellow cell</t>
  </si>
  <si>
    <t xml:space="preserve">Card ID</t>
  </si>
  <si>
    <t xml:space="preserve">CSV-B-001</t>
  </si>
  <si>
    <t xml:space="preserve">CARD</t>
  </si>
  <si>
    <t xml:space="preserve">ID</t>
  </si>
  <si>
    <t xml:space="preserve">Channel</t>
  </si>
  <si>
    <t xml:space="preserve">Level</t>
  </si>
  <si>
    <t xml:space="preserve">CEFR</t>
  </si>
  <si>
    <t xml:space="preserve">Kind</t>
  </si>
  <si>
    <t xml:space="preserve">Stage</t>
  </si>
  <si>
    <t xml:space="preserve">SIDE 1 · RECOGNITION</t>
  </si>
  <si>
    <t xml:space="preserve">Sentence</t>
  </si>
  <si>
    <t xml:space="preserve">Who says it</t>
  </si>
  <si>
    <t xml:space="preserve">Situation</t>
  </si>
  <si>
    <t xml:space="preserve">Recall first</t>
  </si>
  <si>
    <t xml:space="preserve">Say it like (stress)</t>
  </si>
  <si>
    <t xml:space="preserve">Linking</t>
  </si>
  <si>
    <t xml:space="preserve">Intonation &amp; pace</t>
  </si>
  <si>
    <t xml:space="preserve">Indian speaker tip</t>
  </si>
  <si>
    <t xml:space="preserve">Register</t>
  </si>
  <si>
    <t xml:space="preserve">Tone</t>
  </si>
  <si>
    <t xml:space="preserve">Importance (1-5)</t>
  </si>
  <si>
    <t xml:space="preserve">Customer feels</t>
  </si>
  <si>
    <t xml:space="preserve">Memory hook</t>
  </si>
  <si>
    <t xml:space="preserve">SIDE 2 · MEANING &amp; USE</t>
  </si>
  <si>
    <t xml:space="preserve">Hindi meaning</t>
  </si>
  <si>
    <t xml:space="preserve">Hindi (Roman)</t>
  </si>
  <si>
    <t xml:space="preserve">In simple English</t>
  </si>
  <si>
    <t xml:space="preserve">Why it works</t>
  </si>
  <si>
    <t xml:space="preserve">Key chunk</t>
  </si>
  <si>
    <t xml:space="preserve">Grammar pattern</t>
  </si>
  <si>
    <t xml:space="preserve">Grammar in one line</t>
  </si>
  <si>
    <t xml:space="preserve">Tone note</t>
  </si>
  <si>
    <t xml:space="preserve">Watch out</t>
  </si>
  <si>
    <t xml:space="preserve">Don't say</t>
  </si>
  <si>
    <t xml:space="preserve">Positive swap</t>
  </si>
  <si>
    <t xml:space="preserve">Another way 1</t>
  </si>
  <si>
    <t xml:space="preserve">Another way 2</t>
  </si>
  <si>
    <t xml:space="preserve">More formal</t>
  </si>
  <si>
    <t xml:space="preserve">Ask next</t>
  </si>
  <si>
    <t xml:space="preserve">Replies you may hear</t>
  </si>
  <si>
    <t xml:space="preserve">If the customer pushes back</t>
  </si>
  <si>
    <t xml:space="preserve">Indian English vs international</t>
  </si>
  <si>
    <t xml:space="preserve">On other channels</t>
  </si>
  <si>
    <t xml:space="preserve">When not to use</t>
  </si>
  <si>
    <t xml:space="preserve">Mini conversation</t>
  </si>
  <si>
    <t xml:space="preserve">Best-practice rule</t>
  </si>
  <si>
    <t xml:space="preserve">SIDE 3 · PRACTICE</t>
  </si>
  <si>
    <t xml:space="preserve">Fill the blank</t>
  </si>
  <si>
    <t xml:space="preserve">Fill answer</t>
  </si>
  <si>
    <t xml:space="preserve">MCQ question</t>
  </si>
  <si>
    <t xml:space="preserve">MCQ options</t>
  </si>
  <si>
    <t xml:space="preserve">MCQ answer</t>
  </si>
  <si>
    <t xml:space="preserve">Why that answer</t>
  </si>
  <si>
    <t xml:space="preserve">Put in order</t>
  </si>
  <si>
    <t xml:space="preserve">Order answer</t>
  </si>
  <si>
    <t xml:space="preserve">Say it in English</t>
  </si>
  <si>
    <t xml:space="preserve">English answer</t>
  </si>
  <si>
    <t xml:space="preserve">Customer says next</t>
  </si>
  <si>
    <t xml:space="preserve">Model reply</t>
  </si>
  <si>
    <t xml:space="preserve">Role-play task</t>
  </si>
  <si>
    <t xml:space="preserve">Record / write for audit</t>
  </si>
  <si>
    <t xml:space="preserve">Self-check</t>
  </si>
  <si>
    <t xml:space="preserve">MY REVIEW (fill it in on the Voice / Chat / Email sheet)</t>
  </si>
  <si>
    <t xml:space="preserve">Status</t>
  </si>
  <si>
    <t xml:space="preserve">Day 1</t>
  </si>
  <si>
    <t xml:space="preserve">Day 3</t>
  </si>
  <si>
    <t xml:space="preserve">Day 7</t>
  </si>
  <si>
    <t xml:space="preserve">Day 15</t>
  </si>
  <si>
    <t xml:space="preserve">Day 30</t>
  </si>
  <si>
    <t xml:space="preserve">Day 60</t>
  </si>
  <si>
    <t xml:space="preserve">My remark</t>
  </si>
  <si>
    <t xml:space="preserve">MY REVIEW (fill in)</t>
  </si>
  <si>
    <t xml:space="preserve">Voice</t>
  </si>
  <si>
    <t xml:space="preserve">Basic</t>
  </si>
  <si>
    <t xml:space="preserve">A2</t>
  </si>
  <si>
    <t xml:space="preserve">Say it</t>
  </si>
  <si>
    <t xml:space="preserve">Opening</t>
  </si>
  <si>
    <t xml:space="preserve">Thank you for calling [Company]. This is Priya. How can I help you today?</t>
  </si>
  <si>
    <t xml:space="preserve">Agent</t>
  </si>
  <si>
    <t xml:space="preserve">The phone rings and you pick up the first call of your shift; you know nothing yet about the caller.</t>
  </si>
  <si>
    <t xml:space="preserve">A new call connects. Which three things do you say in your first breath, and in what order?</t>
  </si>
  <si>
    <t xml:space="preserve">THANK-you-for-CALL-ing-[COM-pa-ny] · this-is-PRI-ya · how-can-i-HELP-you-to-DAY</t>
  </si>
  <si>
    <t xml:space="preserve">thank_you → "thang-kyoo" · this_is → "thi-siz" · help_you → "hel-pyoo"</t>
  </si>
  <si>
    <t xml:space="preserve">Warm and steady on the greeting, with a short pause after the company name and again after your name. "How can I help you today?" is a wh- question, so let it fall gently at the end; do not rush it.</t>
  </si>
  <si>
    <t xml:space="preserve">"Thank" and "this" both start with "th". For "thank", put the tongue tip lightly between the teeth and blow (not "tank"); for "this", use the same tongue position with voice (not "dis"). Minimal pairs: thin / tin (for "thank"), then / den (for "this").</t>
  </si>
  <si>
    <t xml:space="preserve">Neutral</t>
  </si>
  <si>
    <t xml:space="preserve">Warm, welcoming, ready</t>
  </si>
  <si>
    <t xml:space="preserve">5</t>
  </si>
  <si>
    <t xml:space="preserve">Hopeful but unsure whether they have reached the right place.</t>
  </si>
  <si>
    <t xml:space="preserve">Think of opening a shop door: you thank them for coming in, show your name badge, then ask how you can help.</t>
  </si>
  <si>
    <t xml:space="preserve">[Company] को कॉल करने के लिए धन्यवाद। मेरा नाम प्रिया है। आज मैं आपकी क्या मदद कर सकता/सकती हूँ?</t>
  </si>
  <si>
    <t xml:space="preserve">[Company] ko call karne ke liye dhanyavaad. Mera naam Priya hai. Aaj main aapki kya madad kar sakta/sakti hoon?</t>
  </si>
  <si>
    <t xml:space="preserve">Thanks for phoning this company. My name is Priya. What would you like help with?</t>
  </si>
  <si>
    <t xml:space="preserve">In one breath the caller learns they reached the right company, hears a real person's name, and is invited to explain. "How can I help" assumes you will help, which sounds far more willing than "What is your problem?"</t>
  </si>
  <si>
    <t xml:space="preserve">How can I help you ___?</t>
  </si>
  <si>
    <t xml:space="preserve">Thank you for + verb-ing · This is + name · How can I + base verb …?</t>
  </si>
  <si>
    <t xml:space="preserve">After "Thank you for", use the -ing form: "for calling", not "for call".</t>
  </si>
  <si>
    <t xml:space="preserve">Saying your name makes you a person, not a machine. A flat, fast "Hello, tell me" sounds like you want the call to end quickly.</t>
  </si>
  <si>
    <t xml:space="preserve">✗ Thank you for calling to [Company]. I am Priya. How I can help you? → ✓ Thank you for calling [Company]. This is Priya. How can I help you today?</t>
  </si>
  <si>
    <t xml:space="preserve">"Hello, tell me." — it skips the company name and your name, and sounds like an order.</t>
  </si>
  <si>
    <t xml:space="preserve">Instead of "Yes, tell me your problem", say "How can I help you today?"</t>
  </si>
  <si>
    <t xml:space="preserve">Good morning, you're through to [Company]. My name is Priya. How can I help?</t>
  </si>
  <si>
    <t xml:space="preserve">Hi, thanks for calling [Company]. Priya speaking. What can I do for you today?</t>
  </si>
  <si>
    <t xml:space="preserve">Good afternoon, and thank you for calling [Company]. My name is Priya. How may I assist you today?</t>
  </si>
  <si>
    <t xml:space="preserve">Sure, I can look into that. Could I start with your name, please?</t>
  </si>
  <si>
    <t xml:space="preserve">Hi, I'm calling about my order. · Is this the billing team? · My internet has stopped working.</t>
  </si>
  <si>
    <t xml:space="preserve">Customer: "Is this a real person? I've been waiting ages." → Agent: "Yes, I'm Priya, a real person, and I'm sorry about the wait. How can I help you today?"</t>
  </si>
  <si>
    <t xml:space="preserve">Many Indian agents say "Myself Priya" or open with "Yes, tell me". International callers may not expect these; they expect "This is Priya" or "My name is Priya", with the company name first.</t>
  </si>
  <si>
    <t xml:space="preserve">Chat: "Hi, I'm Priya from [Company]. How can I help today?" Email: greet the customer by name and get to the point; no phone-style opening.</t>
  </si>
  <si>
    <t xml:space="preserve">When you call the customer back, do not say "Thank you for calling"; say "Hi, this is Priya from [Company], returning your call."</t>
  </si>
  <si>
    <t xml:space="preserve">Customer: Hello? | Agent: Thank you for calling [Company]. This is Priya. How can I help you today? | Customer: Hi, my parcel hasn't arrived. | Agent: I'm sorry to hear that. Could I have your order number, please?</t>
  </si>
  <si>
    <t xml:space="preserve">Open with thanks, the company name and an offer of help, and give your own name.</t>
  </si>
  <si>
    <t xml:space="preserve">Thank you ____ calling [Company]. This is Priya. How can I help you today?</t>
  </si>
  <si>
    <t xml:space="preserve">for</t>
  </si>
  <si>
    <t xml:space="preserve">A call has just connected. Which opening is the most welcoming and complete?</t>
  </si>
  <si>
    <t xml:space="preserve">A) Good morning, [Company] customer service. Yes, please tell me your problem. | B) Hello, [Company] customer service, Priya here. What is the problem today? | C) Thank you for calling [Company]. This is Priya. How can I help you today? | D) Hello, this is [Company]. Please give me your name and order number.</t>
  </si>
  <si>
    <t xml:space="preserve">C</t>
  </si>
  <si>
    <t xml:space="preserve">C thanks the caller and gives the company, your name and an offer of help. A and B ask for "the problem" bluntly, and D starts with a demand for details and skips your name.</t>
  </si>
  <si>
    <t xml:space="preserve">help / today / I / can / How / you</t>
  </si>
  <si>
    <t xml:space="preserve">How can I help you today</t>
  </si>
  <si>
    <t xml:space="preserve">[Company] ko call karne ke liye shukriya, mera naam Rahul hai. Main aaj aapki kya madad kar sakta hoon?</t>
  </si>
  <si>
    <t xml:space="preserve">Thank you for calling [Company]. This is Rahul. How can I help you today?</t>
  </si>
  <si>
    <t xml:space="preserve">Hi, I'm calling because I was charged twice.</t>
  </si>
  <si>
    <t xml:space="preserve">I'm sorry you've been charged twice. I'll look into it for you. Could I have your name, please?</t>
  </si>
  <si>
    <t xml:space="preserve">Partner A phones [Company] about a late delivery. Partner B answers with thanks, the company name, their own name and an offer of help, then asks for A's name.</t>
  </si>
  <si>
    <t xml:space="preserve">Record your full opening three times: once normally, once smiling, once slowly. Submit the one that sounds the warmest.</t>
  </si>
  <si>
    <t xml:space="preserve">Did you say the company name and your own name? · Did "today" fall at the end? · Did "thank" start with a soft "th", not "t"?</t>
  </si>
  <si>
    <t xml:space="preserve">CSV-B-002</t>
  </si>
  <si>
    <t xml:space="preserve">Verify</t>
  </si>
  <si>
    <t xml:space="preserve">Could I have your full name, please?</t>
  </si>
  <si>
    <t xml:space="preserve">The caller has said they need help with a refund, and you need their name to find their account.</t>
  </si>
  <si>
    <t xml:space="preserve">You need to know who you are speaking to. How do you ask without sounding like a police officer?</t>
  </si>
  <si>
    <t xml:space="preserve">could-i-HAVE · your-FULL-NAME · PLEASE</t>
  </si>
  <si>
    <t xml:space="preserve">could_I → "cu-dai" · have_your → "ha-vyor" · full_name → "ful-naym" (short "u" as in "put", not "fool"; no pause between the words)</t>
  </si>
  <si>
    <t xml:space="preserve">A polite request shaped like a yes/no question, so rise slightly on "please?". Slow down on "full name" so it is heard clearly.</t>
  </si>
  <si>
    <t xml:space="preserve">"Have" ends in a real /v/: top teeth touch the lower lip, not "haw" or "hab". Practise the pair vest / west so "have" does not slide into a w-sound.</t>
  </si>
  <si>
    <t xml:space="preserve">Polite, simple request</t>
  </si>
  <si>
    <t xml:space="preserve">Neutral and ready to give details, but wants the call to move fast.</t>
  </si>
  <si>
    <t xml:space="preserve">Imagine holding out an open hand for a business card: "Could I have…" asks for it, it does not grab.</t>
  </si>
  <si>
    <t xml:space="preserve">क्या मुझे आपका पूरा नाम मिल सकता है?</t>
  </si>
  <si>
    <t xml:space="preserve">Kya mujhe aapka poora naam mil sakta hai?</t>
  </si>
  <si>
    <t xml:space="preserve">Please tell me your first name and your surname.</t>
  </si>
  <si>
    <t xml:space="preserve">"Could I have" is a soft, standard request that international callers hear every day. Asking for the full name up front saves a second question later when two accounts share a first name.</t>
  </si>
  <si>
    <t xml:space="preserve">Could I have your ___, please?</t>
  </si>
  <si>
    <t xml:space="preserve">Could + I + have + your + noun, please?</t>
  </si>
  <si>
    <t xml:space="preserve">"Could I have…?" asks to receive something; it is softer than "Give me…" or "Tell me…".</t>
  </si>
  <si>
    <t xml:space="preserve">The question form and "please" make it polite. "Name?" or "Tell your name" sounds like a form being filled in, not a person helping.</t>
  </si>
  <si>
    <t xml:space="preserve">✗ Can you tell your full name? → ✓ Could I have your full name, please?</t>
  </si>
  <si>
    <t xml:space="preserve">"Tell me your good name." — "good name" echoes Hindi "shubh naam"; international callers may find it odd, and it sounds like an order.</t>
  </si>
  <si>
    <t xml:space="preserve">Instead of "Tell me your name", say "Could I have your full name, please?"</t>
  </si>
  <si>
    <t xml:space="preserve">Can I take your name, please?</t>
  </si>
  <si>
    <t xml:space="preserve">Who am I speaking with today?</t>
  </si>
  <si>
    <t xml:space="preserve">Before we go further, could you give me your full name as it appears on the account?</t>
  </si>
  <si>
    <t xml:space="preserve">Thank you, Ms Okafor. Could you spell your surname for me, please?</t>
  </si>
  <si>
    <t xml:space="preserve">It's James Walker. · Sarah, Sarah Jones. · Why do you need my name?</t>
  </si>
  <si>
    <t xml:space="preserve">Customer: "Why do you need my name? Just fix it." → Agent: "I understand you want this sorted quickly. I need your name to find your account, so I can see exactly what happened."</t>
  </si>
  <si>
    <t xml:space="preserve">"Your good name" and "May I know your name?" are common Indian English forms. International callers may not expect them; switch to "Could I have your name?" or "Who am I speaking with?"</t>
  </si>
  <si>
    <t xml:space="preserve">Chat: "Could I have your full name, please?" works as is. Email: the name is usually in the signature, so do not ask; use it in your greeting.</t>
  </si>
  <si>
    <t xml:space="preserve">Do not ask again if the caller already gave their name in the first sentence; use it instead: "Thanks, Mr Walker."</t>
  </si>
  <si>
    <t xml:space="preserve">Customer: I need help with a refund. | Agent: Sure. Could I have your full name, please? | Customer: It's Anna Brooks. | Agent: Thank you, Ms Brooks. Let me find your account.</t>
  </si>
  <si>
    <t xml:space="preserve">Verification: ask only for what you need, and state the purpose when the caller asks why.</t>
  </si>
  <si>
    <t xml:space="preserve">Could I have your full name, ____ (starts with p)?</t>
  </si>
  <si>
    <t xml:space="preserve">please</t>
  </si>
  <si>
    <t xml:space="preserve">Which way of asking for the caller's name sounds most natural to an international customer?</t>
  </si>
  <si>
    <t xml:space="preserve">A) Please tell me your name quickly. | B) Could I have your full name, please? | C) What is your name? I need it now. | D) First give your name, then I will help.</t>
  </si>
  <si>
    <t xml:space="preserve">B</t>
  </si>
  <si>
    <t xml:space="preserve">B is a soft, standard request. A and C are orders, and D sets a condition instead of asking.</t>
  </si>
  <si>
    <t xml:space="preserve">name / I / your / please / Could / full / have</t>
  </si>
  <si>
    <t xml:space="preserve">Could I have your full name please</t>
  </si>
  <si>
    <t xml:space="preserve">Kya main aapka poora naam jaan sakti hoon?</t>
  </si>
  <si>
    <t xml:space="preserve">It's Daniel O'Brien.</t>
  </si>
  <si>
    <t xml:space="preserve">Thank you, Mr O'Brien. Let me check the spelling: O, apostrophe, B-R-I-E-N. Is that right?</t>
  </si>
  <si>
    <t xml:space="preserve">Partner A calls to change a delivery address. Partner B asks for A's full name, repeats it back, and asks A to spell the surname.</t>
  </si>
  <si>
    <t xml:space="preserve">Record yourself asking for the caller's name, then thanking them by name, as if the caller said "Anna Brooks".</t>
  </si>
  <si>
    <t xml:space="preserve">Did your voice rise a little on "please?" · Did you ask with "Could I have..." rather than "Tell me"? · Did "have" end in a clear "v"?</t>
  </si>
  <si>
    <t xml:space="preserve">CSV-B-003</t>
  </si>
  <si>
    <t xml:space="preserve">B1</t>
  </si>
  <si>
    <t xml:space="preserve">To protect your account, could you confirm your registered mobile number or email address?</t>
  </si>
  <si>
    <t xml:space="preserve">Before you can discuss a billing question, you must check that the caller is the account holder.</t>
  </si>
  <si>
    <t xml:space="preserve">Before sharing any account details, you must check who the caller is. What reason do you give first, and what do you ask for?</t>
  </si>
  <si>
    <t xml:space="preserve">to-pro-TECT-your-ac-COUNT · could-you-con-FIRM · your-REG-is-tered-MO-bile-NUM-ber · or-E-mail-ad-DRESS</t>
  </si>
  <si>
    <t xml:space="preserve">protect_your → "pro-tek-chor" · confirm_your → "con-fur-myor" · email_address → "ee-may-la-dress"</t>
  </si>
  <si>
    <t xml:space="preserve">Keep your voice level, or rise a little, after "account" and pause, so the caller hears that the request is still coming. In "mobile number or email address", rise on "number" and fall on "address" to show there are two choices.</t>
  </si>
  <si>
    <t xml:space="preserve">Final clusters: "protect" ends in "-kt" and "registered" ends in "-rd". Say pro-TEKT and REJ-is-terd with the last sound clear; dropping it ("pro-tek", "REJ-is-ter") makes the words harder to catch on a phone line.</t>
  </si>
  <si>
    <t xml:space="preserve">Calm, reassuring, clear</t>
  </si>
  <si>
    <t xml:space="preserve">Slightly impatient, and may wonder why they must prove who they are.</t>
  </si>
  <si>
    <t xml:space="preserve">A bank locker needs two keys: first show why (to keep it safe), then ask for the second key (their number).</t>
  </si>
  <si>
    <t xml:space="preserve">आपके अकाउंट की सुरक्षा के लिए, क्या आप अपना रजिस्टर्ड मोबाइल नंबर या ईमेल पता कन्फ़र्म कर सकते हैं?</t>
  </si>
  <si>
    <t xml:space="preserve">Aapke account ki suraksha ke liye, kya aap apna registered mobile number ya email address confirm kar sakte hain?</t>
  </si>
  <si>
    <t xml:space="preserve">So that nobody else can use your account, please tell me the phone number or email linked to it.</t>
  </si>
  <si>
    <t xml:space="preserve">Putting the reason first turns a check into something done for the customer, not against them. Offering two options lets them use whichever one they remember.</t>
  </si>
  <si>
    <t xml:space="preserve">To protect your account, could you confirm your ___?</t>
  </si>
  <si>
    <t xml:space="preserve">To + base verb (purpose), could + you + confirm + noun?</t>
  </si>
  <si>
    <t xml:space="preserve">"To protect…" at the start explains why; it means "so that I can protect…".</t>
  </si>
  <si>
    <t xml:space="preserve">The reason makes it feel like care, not suspicion. "Give your number first, then I'll talk" sounds like you think they are lying.</t>
  </si>
  <si>
    <t xml:space="preserve">✗ For protect your account, could you confirm registered mobile number or email? → ✓ To protect your account, could you confirm your registered mobile number or email address?</t>
  </si>
  <si>
    <t xml:space="preserve">"I can't tell you anything until you verify." — it sounds like a threat and gives no reason the caller cares about.</t>
  </si>
  <si>
    <t xml:space="preserve">Instead of "I can't help without verification", say "To protect your account, could you confirm your registered mobile number or email address?"</t>
  </si>
  <si>
    <t xml:space="preserve">For your security, could you tell me the mobile number on the account?</t>
  </si>
  <si>
    <t xml:space="preserve">Just so I know I'm speaking with the account holder, could you confirm your email address?</t>
  </si>
  <si>
    <t xml:space="preserve">To keep your account secure, could you please confirm the mobile number or email address registered with us?</t>
  </si>
  <si>
    <t xml:space="preserve">Thank you, that matches. Now, how can I help with your bill today?</t>
  </si>
  <si>
    <t xml:space="preserve">It's 07700 900123. · Which email, my work one or my personal one? · I don't remember which number I used.</t>
  </si>
  <si>
    <t xml:space="preserve">Customer: "I've already given this to the last agent!" → Agent: "I'm sorry to ask again. We check on every call to keep your account safe. Your email address works too, if that's easier."</t>
  </si>
  <si>
    <t xml:space="preserve">"May I know your registered mobile number?" is common on Indian calls. It is grammatical, but international callers may not expect it; they more often hear "Could you confirm…?" or "Could you tell me…?"</t>
  </si>
  <si>
    <t xml:space="preserve">Chat: same wording, but never ask for a full card number, PIN, password or one-time code (OTP). Email: ask the customer to reply from the email address registered on the account.</t>
  </si>
  <si>
    <t xml:space="preserve">Do not use it if the caller only wants general information, such as opening hours, which needs no account access.</t>
  </si>
  <si>
    <t xml:space="preserve">Customer: I want to check my last bill. | Agent: To protect your account, could you confirm your registered mobile number or email address? | Customer: It's lucy.grant@example.com. | Agent: Thank you, that matches. Let me open your bill.</t>
  </si>
  <si>
    <t xml:space="preserve">Verification: state the purpose ("To protect your account…") and ask only for what you need.</t>
  </si>
  <si>
    <t xml:space="preserve">____ protect your account, could you confirm your registered mobile number or email address?</t>
  </si>
  <si>
    <t xml:space="preserve">To</t>
  </si>
  <si>
    <t xml:space="preserve">You must verify the caller before discussing their bill. Which line explains the check best?</t>
  </si>
  <si>
    <t xml:space="preserve">A) Before I tell you anything, you will have to prove you are the account holder. | B) To protect your account, could you confirm your registered mobile number or email address? | C) I can't discuss your bill until you give me your registered mobile number or email address. | D) It is company rule, so could you please confirm your registered mobile number or email?</t>
  </si>
  <si>
    <t xml:space="preserve">B gives a reason the customer cares about. A sounds like a threat, C refuses until the customer complies, and D hides behind "company rule" instead of explaining why.</t>
  </si>
  <si>
    <t xml:space="preserve">account / your / protect / To / could / confirm / you / email / your / address</t>
  </si>
  <si>
    <t xml:space="preserve">To protect your account could you confirm your email address</t>
  </si>
  <si>
    <t xml:space="preserve">Aapke account ki suraksha ke liye, kya aap apna registered email address confirm kar sakte hain?</t>
  </si>
  <si>
    <t xml:space="preserve">To protect your account, could you confirm your registered email address?</t>
  </si>
  <si>
    <t xml:space="preserve">Why do you need that? I'm the account holder.</t>
  </si>
  <si>
    <t xml:space="preserve">I understand, and I'm sorry for the extra step. It's a quick check we do on every call, so nobody else can get into your account.</t>
  </si>
  <si>
    <t xml:space="preserve">Partner A calls about a high phone bill. Partner B explains the reason for the check, asks for the registered mobile number or email, confirms it matches, then asks how to help.</t>
  </si>
  <si>
    <t xml:space="preserve">Record the verification line, then the line you say when the number matches, then the line you say when it does not match.</t>
  </si>
  <si>
    <t xml:space="preserve">Did you give the reason before the request? · Did "address" fall at the end to show a choice? · Did you say the final "t" in "protect"?</t>
  </si>
  <si>
    <t xml:space="preserve">CSV-B-004</t>
  </si>
  <si>
    <t xml:space="preserve">Listen &amp; clarify</t>
  </si>
  <si>
    <t xml:space="preserve">I'm sorry, I didn't catch that. Could you say it again, please?</t>
  </si>
  <si>
    <t xml:space="preserve">The caller said their order number quickly and you missed two of the digits.</t>
  </si>
  <si>
    <t xml:space="preserve">You missed part of what the caller said. How do you ask them to repeat it without blaming them?</t>
  </si>
  <si>
    <t xml:space="preserve">i'm-SOR-ry · i-DID-n't-CATCH-that · could-you-SAY-it-a-GAIN · PLEASE</t>
  </si>
  <si>
    <t xml:space="preserve">sorry_I → "sor-ree-yai" (a small "y" joins the two vowels) · didn't_catch → "didn-catch" · say_it_again → "say-yi-ta-gen"</t>
  </si>
  <si>
    <t xml:space="preserve">Gentle fall on "catch that", a short pause, then a rise on "please?". Keep the voice soft so it sounds like your miss, not theirs.</t>
  </si>
  <si>
    <t xml:space="preserve">"That" starts with a voiced "th": put the tongue tip between the teeth and add voice. Saying "dat" is a common habit because Hindi has no English-style "th" and uses a "d" or "t" instead; practise then / den.</t>
  </si>
  <si>
    <t xml:space="preserve">Apologetic, polite request</t>
  </si>
  <si>
    <t xml:space="preserve">Mildly impatient, and may feel they already spoke clearly.</t>
  </si>
  <si>
    <t xml:space="preserve">Their words were a ball thrown to you and you did not catch it: say sorry, then ask them to throw it once more.</t>
  </si>
  <si>
    <t xml:space="preserve">माफ़ कीजिए, मैं ठीक से सुन नहीं पाया/पाई। क्या आप फिर से बता सकते हैं?</t>
  </si>
  <si>
    <t xml:space="preserve">Maaf kijiye, main theek se sun nahin paaya/paayi. Kya aap phir se bata sakte hain?</t>
  </si>
  <si>
    <t xml:space="preserve">Sorry, I missed what you said. Please say it one more time.</t>
  </si>
  <si>
    <t xml:space="preserve">"I didn't catch that" puts the miss on you, not on the caller's accent or speed. A guessed digit leads to the wrong order later, so asking is always better than guessing.</t>
  </si>
  <si>
    <t xml:space="preserve">I didn't catch ___. Could you say it again, please?</t>
  </si>
  <si>
    <t xml:space="preserve">I + didn't + catch + that · Could + you + say + it + again, please?</t>
  </si>
  <si>
    <t xml:space="preserve">"Catch" here means "hear and understand"; use the past "didn't catch" because the words were already said.</t>
  </si>
  <si>
    <t xml:space="preserve">Apologising first makes it your problem. "What?" or "Repeat" sounds rude, and "You are not clear" blames the caller.</t>
  </si>
  <si>
    <t xml:space="preserve">✗ Sorry, I am not understanding. Say again please. → ✓ I'm sorry, I didn't catch that. Could you say it again, please?</t>
  </si>
  <si>
    <t xml:space="preserve">"Speak properly, I can't understand you." — it blames the caller and can sound like you are judging their accent.</t>
  </si>
  <si>
    <t xml:space="preserve">Instead of "You are not audible", say "I'm sorry, I didn't catch that. Could you say it again, please?"</t>
  </si>
  <si>
    <t xml:space="preserve">Sorry, could you repeat the last part, please?</t>
  </si>
  <si>
    <t xml:space="preserve">I missed the last two digits. Could you read them out again?</t>
  </si>
  <si>
    <t xml:space="preserve">I do apologise, I didn't quite catch that. Would you mind repeating it, please?</t>
  </si>
  <si>
    <t xml:space="preserve">Thank you. So that's 4 8 1 7 2. Is that right?</t>
  </si>
  <si>
    <t xml:space="preserve">Sure, it's 4 8 1 7 2. · Which part did you miss? · I just said it!</t>
  </si>
  <si>
    <t xml:space="preserve">Customer: "I just said it!" → Agent: "I know, and I'm sorry. I want to get the number exactly right so I find the correct order."</t>
  </si>
  <si>
    <t xml:space="preserve">"Repeat once more" and "You are not audible" are common on Indian calls. International callers may hear them as abrupt or formal; "I didn't catch that" is the softer, more expected form.</t>
  </si>
  <si>
    <t xml:space="preserve">Chat: hearing is not the issue, but you can ask "Could you check that number again? I can't find it." Email: ask for the missing detail in one clear question.</t>
  </si>
  <si>
    <t xml:space="preserve">Do not ask a third time in the same way; ask the caller to spell it or read it slowly, digit by digit.</t>
  </si>
  <si>
    <t xml:space="preserve">Customer: My order number is four-eight-one-something-two. | Agent: I'm sorry, I didn't catch that. Could you say it again, please? | Customer: Four, eight, one, seven, two. | Agent: Thank you. That's 4 8 1 7 2. Let me find it.</t>
  </si>
  <si>
    <t xml:space="preserve">Ask politely for a repeat ("I'm sorry, could you please repeat that?") rather than guess.</t>
  </si>
  <si>
    <t xml:space="preserve">I'm ____ (starts with s), I didn't catch that. Could you say it again, please?</t>
  </si>
  <si>
    <t xml:space="preserve">sorry</t>
  </si>
  <si>
    <t xml:space="preserve">You missed part of the caller's account number. Which response is best?</t>
  </si>
  <si>
    <t xml:space="preserve">A) Your voice is not clear. Please say the number again, and slowly. | B) I'm sorry, I didn't catch that. Could you say it again, please? | C) I think I got most of it, so I'll carry on with the number I heard. | D) Could you speak louder and slower? You are going too fast for me.</t>
  </si>
  <si>
    <t xml:space="preserve">B apologises and asks politely. C risks opening the wrong account, and A and D put the blame on the caller.</t>
  </si>
  <si>
    <t xml:space="preserve">again / Could / say / it / you / please</t>
  </si>
  <si>
    <t xml:space="preserve">Could you say it again please</t>
  </si>
  <si>
    <t xml:space="preserve">Maaf kijiye, main sun nahin paaya. Kya aap phir se bata sakte hain?</t>
  </si>
  <si>
    <t xml:space="preserve">Sure. It's 4 8 1 7 2.</t>
  </si>
  <si>
    <t xml:space="preserve">Thank you, that's much clearer. I've got all five digits now, so let me find your order.</t>
  </si>
  <si>
    <t xml:space="preserve">Partner A reads a five-digit order number quickly and swallows one digit. Partner B asks for a repeat politely, then reads the full number back to confirm.</t>
  </si>
  <si>
    <t xml:space="preserve">Record yourself asking for a repeat, then reading back the number 4 8 1 7 2 slowly, digit by digit.</t>
  </si>
  <si>
    <t xml:space="preserve">Did you say sorry before asking? · Did you avoid "repeat" as a one-word order? · Did "that" start with a soft "th", not "d"?</t>
  </si>
  <si>
    <t xml:space="preserve">CSV-B-005</t>
  </si>
  <si>
    <t xml:space="preserve">Could you spell your email address for me, please?</t>
  </si>
  <si>
    <t xml:space="preserve">The caller has given an unusual email address, and you need it exactly right to send a refund receipt.</t>
  </si>
  <si>
    <t xml:space="preserve">The caller's email has an unusual name in it. What do you ask so that you type it exactly right?</t>
  </si>
  <si>
    <t xml:space="preserve">could-you-SPELL · your-E-mail-ad-DRESS · for-ME · PLEASE</t>
  </si>
  <si>
    <t xml:space="preserve">spell_your → "spel-yor" · email_address → "ee-may-la-dress" · for_me → "fer-mee"</t>
  </si>
  <si>
    <t xml:space="preserve">One smooth question, rising on "please?". While they spell, say "Yes" or "Got it" after each group so they know you are with them.</t>
  </si>
  <si>
    <t xml:space="preserve">"Spell" starts with an s-cluster: say "spell" straight away, not "ispell" or "su-pell". Some speakers add a vowel before s-clusters (as in "iskul" for school); keep the "s" and "p" together.</t>
  </si>
  <si>
    <t xml:space="preserve">Careful, polite request</t>
  </si>
  <si>
    <t xml:space="preserve">4</t>
  </si>
  <si>
    <t xml:space="preserve">Patient, but may be tired of spelling their email on every call.</t>
  </si>
  <si>
    <t xml:space="preserve">Picture the letters dropping one by one into your keyboard like coins: one wrong coin and the email bounces.</t>
  </si>
  <si>
    <t xml:space="preserve">क्या आप मेरे लिए अपना ईमेल पता स्पेल कर सकते हैं?</t>
  </si>
  <si>
    <t xml:space="preserve">Kya aap mere liye apna email address spell kar sakte hain?</t>
  </si>
  <si>
    <t xml:space="preserve">Please say the letters of your email one by one.</t>
  </si>
  <si>
    <t xml:space="preserve">Spelling stops mistakes with names that sound alike, like "Shaw" and "Shore". One wrong letter means the customer never gets the email and has to call back.</t>
  </si>
  <si>
    <t xml:space="preserve">Could you spell ___ for me, please?</t>
  </si>
  <si>
    <t xml:space="preserve">Could + you + spell + noun + for me, please?</t>
  </si>
  <si>
    <t xml:space="preserve">"Spell" means say each letter; "for me" makes the request personal and softer.</t>
  </si>
  <si>
    <t xml:space="preserve">"For me, please" sounds like you want to get it right for them. "Spell it" on its own sounds like an order.</t>
  </si>
  <si>
    <t xml:space="preserve">✗ Please spelling your email address. → ✓ Could you spell your email address for me, please?</t>
  </si>
  <si>
    <t xml:space="preserve">"Your email is not clear, spell it." — it blames the customer for a normal difficulty.</t>
  </si>
  <si>
    <t xml:space="preserve">Instead of "Tell your email ID spelling", say "Could you spell your email address for me, please?"</t>
  </si>
  <si>
    <t xml:space="preserve">Could you spell that for me, letter by letter?</t>
  </si>
  <si>
    <t xml:space="preserve">Just to get it right, could you spell your email for me?</t>
  </si>
  <si>
    <t xml:space="preserve">To make sure the receipt reaches you, would you mind spelling your email address for me?</t>
  </si>
  <si>
    <t xml:space="preserve">Thank you. Let me read it back: r-o-s-s-k-a-y at example dot com. Is that right?</t>
  </si>
  <si>
    <t xml:space="preserve">Sure, it's r-o-s-s-k-a-y at example dot com. · Is it the one on my account? · Didn't I give that already?</t>
  </si>
  <si>
    <t xml:space="preserve">Customer: "It's just my name, it's easy!" → Agent: "It is, and I want to be sure I don't mix up an 'e' and an 'i'. Spelling it now saves you a lost receipt."</t>
  </si>
  <si>
    <t xml:space="preserve">"Email ID" is common in India; international callers usually say "email address" or just "email". Read it back with "at" and "dot", and use clear words for letters (B for Bravo) if needed.</t>
  </si>
  <si>
    <t xml:space="preserve">Chat: no spelling needed; ask "Could you type your email here?" Email: you already have it, so do not ask.</t>
  </si>
  <si>
    <t xml:space="preserve">Do not ask the caller to spell something already on your screen from verification; read it back and ask for a yes or no instead.</t>
  </si>
  <si>
    <t xml:space="preserve">Customer: My email is rosskay at example dot com. | Agent: Could you spell your email address for me, please? | Customer: R-O-S-S-K-A-Y at example dot com. | Agent: Thank you. I have rosskay at example dot com. Is that right?</t>
  </si>
  <si>
    <t xml:space="preserve">Ask callers to spell names and emails, then read them back.</t>
  </si>
  <si>
    <t xml:space="preserve">Could you spell your email ____ for me, please?</t>
  </si>
  <si>
    <t xml:space="preserve">address</t>
  </si>
  <si>
    <t xml:space="preserve">The caller's surname could be "Shaw" or "Shore". What is the best next step?</t>
  </si>
  <si>
    <t xml:space="preserve">A) Type "Shaw" for now, because it is the more common spelling. | B) Ask, "Could you spell your surname for me, please?" | C) Say, "Sorry, your name is not clear. Please say it again." | D) Ask the caller to send their name by email later.</t>
  </si>
  <si>
    <t xml:space="preserve">B removes the doubt politely. A is a guess that can put the wrong name on the account, C blames the caller, and D delays the fix and risks losing the detail.</t>
  </si>
  <si>
    <t xml:space="preserve">email / spell / Could / for / you / me / your / address / please</t>
  </si>
  <si>
    <t xml:space="preserve">Could you spell your email address for me please</t>
  </si>
  <si>
    <t xml:space="preserve">Kya aap apne naam ki spelling bata sakte hain?</t>
  </si>
  <si>
    <t xml:space="preserve">Could you spell your name for me, please?</t>
  </si>
  <si>
    <t xml:space="preserve">Sure. It's t-h-o-m-a-s dot r-e-e-d at example dot com.</t>
  </si>
  <si>
    <t xml:space="preserve">Thank you. I have thomas dot reed at example dot com. Is that right?</t>
  </si>
  <si>
    <t xml:space="preserve">Partner A has the email "lia.devane@example.com" and says it fast. Partner B asks A to spell it, reads it back with "dot" and "at", and confirms.</t>
  </si>
  <si>
    <t xml:space="preserve">Record yourself asking for the spelling, then reading back the email "lia.devane at example dot com" letter by letter.</t>
  </si>
  <si>
    <t xml:space="preserve">Did you say "spell" without an extra vowel at the start? · Did you read the email back? · Did you say "email address" in full?</t>
  </si>
  <si>
    <t xml:space="preserve">CSV-B-006</t>
  </si>
  <si>
    <t xml:space="preserve">Hold &amp; check</t>
  </si>
  <si>
    <t xml:space="preserve">Could you hold for about two minutes, please? I'll check your order.</t>
  </si>
  <si>
    <t xml:space="preserve">The customer asked about their order and you need about two minutes to look it up in the system.</t>
  </si>
  <si>
    <t xml:space="preserve">You need a couple of minutes to look something up. What do you ask the caller first, and what do you promise them?</t>
  </si>
  <si>
    <t xml:space="preserve">could-you-HOLD · for-a-BOUT-two-MIN-utes · PLEASE · i'll-CHECK · your-OR-der</t>
  </si>
  <si>
    <t xml:space="preserve">could_you → "cud-joo" · hold_for → "hole-fer" · two_minutes → "too-MIN-its"</t>
  </si>
  <si>
    <t xml:space="preserve">Rising tone on "please?" because it is a real question. Short pause after it, then a falling, confident tone on "I'll check your order."</t>
  </si>
  <si>
    <t xml:space="preserve">Say "hold" with a long "oh" and a clear final "d"; do not drop it to "hol". "Minutes" is MIN-its, stress on the first part, with a clear final "s".</t>
  </si>
  <si>
    <t xml:space="preserve">Polite request, calm</t>
  </si>
  <si>
    <t xml:space="preserve">Patient but a little worried about how long this will take.</t>
  </si>
  <si>
    <t xml:space="preserve">Picture pressing a soft pause button on a remote: you ask before you press it, and you promise to press play again.</t>
  </si>
  <si>
    <t xml:space="preserve">क्या आप लगभग दो मिनट होल्ड कर सकते हैं? मैं आपका ऑर्डर देखता/देखती हूँ।</t>
  </si>
  <si>
    <t xml:space="preserve">Kya aap lagbhag do minute hold kar sakte hain? Main aapka order dekhta/dekhti hoon.</t>
  </si>
  <si>
    <t xml:space="preserve">Please stay on the line for about two minutes while I look at your order.</t>
  </si>
  <si>
    <t xml:space="preserve">It asks permission instead of giving an order, says why the caller is waiting and gives a real time. "A moment" is vague; "about two minutes" lets the caller decide.</t>
  </si>
  <si>
    <t xml:space="preserve">Could you ___, please?</t>
  </si>
  <si>
    <t xml:space="preserve">Could + you + base verb + …, please? · I'll + base verb</t>
  </si>
  <si>
    <t xml:space="preserve">"Could you" makes a polite request; "I'll" means you are deciding to do it now.</t>
  </si>
  <si>
    <t xml:space="preserve">The question form lets the caller say yes. "Hold on" or "Wait" sounds like an order and can make a worried caller feel ignored.</t>
  </si>
  <si>
    <t xml:space="preserve">✗ Hold the line, I check it. → ✓ Could you hold for about two minutes, please? I'll check your order.</t>
  </si>
  <si>
    <t xml:space="preserve">"Wait." or "Hold on." — it is an order, gives no reason, and the caller does not know if you are still there.</t>
  </si>
  <si>
    <t xml:space="preserve">Instead of "Wait, I am checking", say "Could you hold for about two minutes, please? I'll check your order."</t>
  </si>
  <si>
    <t xml:space="preserve">Would you mind holding for about two minutes while I look into this?</t>
  </si>
  <si>
    <t xml:space="preserve">May I put you on hold for two or three minutes while I check your order?</t>
  </si>
  <si>
    <t xml:space="preserve">Would it be all right if I placed you on hold for about two minutes while I review your account?</t>
  </si>
  <si>
    <t xml:space="preserve">Thank you for holding. I can see your order — it was dispatched yesterday.</t>
  </si>
  <si>
    <t xml:space="preserve">Sure, go ahead. · How long will it take? · Can't you just tell me now?</t>
  </si>
  <si>
    <t xml:space="preserve">Customer: "Can't you just tell me now?" → Agent: "I know you'd like it now, and I'll be quick. I need to check one detail so the answer is right. It will take about two minutes."</t>
  </si>
  <si>
    <t xml:space="preserve">Many agents say "One minute, sir" and go silent. International callers expect a reason, a time, and a "thank you for holding" when you return.</t>
  </si>
  <si>
    <t xml:space="preserve">Chat: "Let me check that for you. It'll take about two minutes." Email: not needed; say when you will reply instead.</t>
  </si>
  <si>
    <t xml:space="preserve">Do not put an angry caller on hold right after they finish complaining; acknowledge their problem first.</t>
  </si>
  <si>
    <t xml:space="preserve">Customer: My order still hasn't arrived. Can you check it? | Agent: Could you hold for about two minutes, please? I'll check your order. | Customer: Sure. | Agent: Thank you for holding. Your order was dispatched yesterday.</t>
  </si>
  <si>
    <t xml:space="preserve">Ask permission before a hold, give the reason and a real time, and thank the caller first when you return.</t>
  </si>
  <si>
    <t xml:space="preserve">Could you hold ____ about two minutes, please? I'll check your order.</t>
  </si>
  <si>
    <t xml:space="preserve">You need to check the order history. Which line puts the caller on hold in the most polite way?</t>
  </si>
  <si>
    <t xml:space="preserve">A) You must hold the line now, because I need to check your order history. | B) Could you hold for about two minutes, please? I'll check your order. | C) Wait, please. I am checking your order now, so do not disconnect the call. | D) Hold on, sir, I will be back soon. I just need to look at a few things.</t>
  </si>
  <si>
    <t xml:space="preserve">B asks permission, gives a reason and a real time. A and C are orders, and D gives no clear reason and no real time ("soon").</t>
  </si>
  <si>
    <t xml:space="preserve">hold / you / minutes / for / about / Could / two / please</t>
  </si>
  <si>
    <t xml:space="preserve">Could you hold for about two minutes please</t>
  </si>
  <si>
    <t xml:space="preserve">Kya aap lagbhag do minute hold kar sakte hain? Main aapka payment check karta hoon.</t>
  </si>
  <si>
    <t xml:space="preserve">Could you hold for about two minutes, please? I'll check your payment.</t>
  </si>
  <si>
    <t xml:space="preserve">How long will it take?</t>
  </si>
  <si>
    <t xml:space="preserve">About two minutes. If it's going to take longer, I'll come back and tell you before then.</t>
  </si>
  <si>
    <t xml:space="preserve">Partner A calls about a missing parcel. Partner B asks to put A on hold, checks for two minutes, comes back, thanks A for holding and gives an update.</t>
  </si>
  <si>
    <t xml:space="preserve">Record yourself saying the sentence, then the "Thank you for holding" line you would say when you return.</t>
  </si>
  <si>
    <t xml:space="preserve">Did your voice rise on "please?" · Did you say why the caller is waiting? · Did you pronounce the final "d" in "hold"?</t>
  </si>
  <si>
    <t xml:space="preserve">CSV-B-007</t>
  </si>
  <si>
    <t xml:space="preserve">Thank you for holding, Ms Carter. I've found your order, and it's on its way.</t>
  </si>
  <si>
    <t xml:space="preserve">You return to the line after a two-minute hold with the order update the caller asked for.</t>
  </si>
  <si>
    <t xml:space="preserve">You come back after putting someone on hold. What is the very first thing you say, before any information?</t>
  </si>
  <si>
    <t xml:space="preserve">THANK-you-for-HOLD-ing · ms-CAR-ter · i've-FOUND-your-OR-der · and-it's-ON-its-WAY</t>
  </si>
  <si>
    <t xml:space="preserve">thank_you → "thang-kyoo" · found_your → "foun-jor" · it's_on_its_way → "it-son-it-sway"</t>
  </si>
  <si>
    <t xml:space="preserve">Warm, slightly lifted energy on "Thank you for holding". Pause after the name. Falling, confident tone on "on its way".</t>
  </si>
  <si>
    <t xml:space="preserve">"Way" starts with a W: round your lips and keep the teeth off the lip; do not say "vay". Minimal pair: west / vest. Also keep the final "d" in "found" before "your".</t>
  </si>
  <si>
    <t xml:space="preserve">Grateful, warm, positive</t>
  </si>
  <si>
    <t xml:space="preserve">A little restless after waiting, and hoping for good news.</t>
  </si>
  <si>
    <t xml:space="preserve">Coming back from hold is like returning to a guest you left at the door: thank them first, then hand over the parcel.</t>
  </si>
  <si>
    <t xml:space="preserve">होल्ड करने के लिए धन्यवाद, मिस कार्टर। मुझे आपका ऑर्डर मिल गया है, और वह रास्ते में है।</t>
  </si>
  <si>
    <t xml:space="preserve">Hold karne ke liye dhanyavaad, Ms Carter. Mujhe aapka order mil gaya hai, aur woh raaste mein hai.</t>
  </si>
  <si>
    <t xml:space="preserve">Thanks for waiting. I found your order, and it is being delivered.</t>
  </si>
  <si>
    <t xml:space="preserve">Thanking first rewards the caller's patience and tells them you are back. Using their name and giving the news straight away ends the uncertainty of the wait.</t>
  </si>
  <si>
    <t xml:space="preserve">Thank you for holding, ___. I've found ___.</t>
  </si>
  <si>
    <t xml:space="preserve">Thank you for + verb-ing · I've (I have) + past participle</t>
  </si>
  <si>
    <t xml:space="preserve">"I've found" (present perfect) means you have just found it and the result matters now.</t>
  </si>
  <si>
    <t xml:space="preserve">The thanks and the name make the wait feel respected. Coming back with "Hello? Yes, so…" sounds like you forgot about them.</t>
  </si>
  <si>
    <t xml:space="preserve">✗ Thank you for hold, Ms Carter. I am finding your order. → ✓ Thank you for holding, Ms Carter. I've found your order.</t>
  </si>
  <si>
    <t xml:space="preserve">"Hello? Are you there? Yes, so your order…" — it skips the thanks and sounds disorganised.</t>
  </si>
  <si>
    <t xml:space="preserve">Instead of "Sorry, I took long", say "Thank you for holding, Ms Carter. I've found your order."</t>
  </si>
  <si>
    <t xml:space="preserve">Thanks so much for waiting, Ms Carter. I have an update for you.</t>
  </si>
  <si>
    <t xml:space="preserve">Thank you for your patience, Ms Carter. Good news: your order has shipped.</t>
  </si>
  <si>
    <t xml:space="preserve">Thank you very much for holding, Ms Carter. I have now located your order, and it is on its way to you.</t>
  </si>
  <si>
    <t xml:space="preserve">It should reach you by Thursday. Would you like the tracking number?</t>
  </si>
  <si>
    <t xml:space="preserve">Oh, great, thank you. · When will it arrive? · That took longer than two minutes.</t>
  </si>
  <si>
    <t xml:space="preserve">Customer: "That took a lot longer than two minutes." → Agent: "You're right, and I'm sorry it took longer. The good news is your order is on its way and should arrive by Thursday."</t>
  </si>
  <si>
    <t xml:space="preserve">Some agents come back with "Yes ma'am, I have checked the same." International callers may not expect "the same"; they expect a clear "Thank you for holding", their name, then the news.</t>
  </si>
  <si>
    <t xml:space="preserve">Chat: "Thanks for waiting, Ms Carter. I've found your order." Email: there is no hold; thank them for their patience only if your reply is late.</t>
  </si>
  <si>
    <t xml:space="preserve">Do not come back with this if you have no update yet; say "Thank you for holding. I need about two more minutes. Is that all right?"</t>
  </si>
  <si>
    <t xml:space="preserve">Customer: Sure, I'll hold. | Agent: Thank you for holding, Ms Carter. I've found your order, and it's on its way. | Customer: Great! When will it arrive? | Agent: It should reach you by Thursday.</t>
  </si>
  <si>
    <t xml:space="preserve">Thank the caller first when you return from hold, before giving information.</t>
  </si>
  <si>
    <t xml:space="preserve">Thank you for holding, Ms Carter. I've found your order, and it's on its ____.</t>
  </si>
  <si>
    <t xml:space="preserve">way</t>
  </si>
  <si>
    <t xml:space="preserve">You come back after a two-minute hold. Which line should you say first?</t>
  </si>
  <si>
    <t xml:space="preserve">A) Hello? Are you still there? I have your order details now. | B) Okay, I have checked your order and it is shipped now, Ms Carter. | C) Sorry, the system is very slow today. I found your order, finally. | D) Thank you for holding, Ms Carter. I've found your order.</t>
  </si>
  <si>
    <t xml:space="preserve">D</t>
  </si>
  <si>
    <t xml:space="preserve">D thanks the caller first and uses their name. B jumps straight to the news, C blames the system before thanking the caller, and A sounds as if you forgot them.</t>
  </si>
  <si>
    <t xml:space="preserve">order / found / for / Thank / I've / holding / you / your</t>
  </si>
  <si>
    <t xml:space="preserve">Thank you for holding I've found your order</t>
  </si>
  <si>
    <t xml:space="preserve">Hold karne ke liye shukriya. Mujhe aapka payment mil gaya hai.</t>
  </si>
  <si>
    <t xml:space="preserve">Thank you for holding. I've found your payment.</t>
  </si>
  <si>
    <t xml:space="preserve">Oh good. When will it get here?</t>
  </si>
  <si>
    <t xml:space="preserve">The courier is due to deliver on Thursday. I can text you the tracking link if that helps.</t>
  </si>
  <si>
    <t xml:space="preserve">Partner A waits on hold for an order update. Partner B returns, thanks A by name, gives the update and the delivery day, then offers the tracking number.</t>
  </si>
  <si>
    <t xml:space="preserve">Record your return-from-hold line twice: once with good news, and once telling the caller you need two more minutes.</t>
  </si>
  <si>
    <t xml:space="preserve">Did you thank the caller before giving news? · Did you use their name? · Did "way" start with rounded lips, not "v"?</t>
  </si>
  <si>
    <t xml:space="preserve">CSV-B-008</t>
  </si>
  <si>
    <t xml:space="preserve">Apologise</t>
  </si>
  <si>
    <t xml:space="preserve">I'm sorry your parcel arrived late. I'll find out what happened right away.</t>
  </si>
  <si>
    <t xml:space="preserve">The customer says their birthday gift arrived three days after the promised delivery date.</t>
  </si>
  <si>
    <t xml:space="preserve">A parcel came late. How do you apologise for the exact problem and show that you will act?</t>
  </si>
  <si>
    <t xml:space="preserve">i'm-SOR-ry · your-PAR-cel-a-RIVED-LATE · i'll-FIND-OUT · what-HAP-pened · right-a-WAY</t>
  </si>
  <si>
    <t xml:space="preserve">arrived_late → "a-rived-late" (touch the d, then release it into the l) · find_out → "fine-dout" · right_away → "ry-ta-way"</t>
  </si>
  <si>
    <t xml:space="preserve">Slow, low and sincere on "I'm sorry your parcel arrived late." Pause. Then a firmer, falling tone on "right away" to show action.</t>
  </si>
  <si>
    <t xml:space="preserve">"Arrived" and "happened" end in a final "d" after another consonant: say a-RIVED and HAP-pend, not "a-rive" and "hap-pen". The past tense lives in that last sound.</t>
  </si>
  <si>
    <t xml:space="preserve">Sincere, responsible, active</t>
  </si>
  <si>
    <t xml:space="preserve">Disappointed and annoyed that a promise was broken.</t>
  </si>
  <si>
    <t xml:space="preserve">A good apology has two hands: one says sorry for the exact thing, the other reaches out to fix it.</t>
  </si>
  <si>
    <t xml:space="preserve">मुझे खेद है कि आपका पार्सल देर से पहुँचा। मैं अभी पता करता/करती हूँ कि क्या हुआ।</t>
  </si>
  <si>
    <t xml:space="preserve">Mujhe khed hai ki aapka parcel der se pahuncha. Main abhi pata karta/karti hoon ki kya hua.</t>
  </si>
  <si>
    <t xml:space="preserve">I am sorry the package came late. I will check the reason now.</t>
  </si>
  <si>
    <t xml:space="preserve">It names the exact problem, which shows you listened, and pairs the apology with action. In Lewicki, Polin and Lount's 2016 study, taking responsibility ranked first and offering repair second among the parts of an apology; say "we" when the company is at fault: "I'm sorry we didn't deliver on time."</t>
  </si>
  <si>
    <t xml:space="preserve">I'm sorry ___. I'll ___ right away.</t>
  </si>
  <si>
    <t xml:space="preserve">I'm sorry + (that) + clause · I'll + base verb</t>
  </si>
  <si>
    <t xml:space="preserve">After "I'm sorry", add the exact problem as a full clause: "I'm sorry your parcel arrived late."</t>
  </si>
  <si>
    <t xml:space="preserve">A specific apology sounds real. "Sorry for the inconvenience" sounds scripted, and "It's not my fault" sounds like you are defending yourself.</t>
  </si>
  <si>
    <t xml:space="preserve">✗ Sorry for your parcel delay, I will check what is the matter. → ✓ I'm sorry your parcel arrived late. I'll find out what happened right away.</t>
  </si>
  <si>
    <t xml:space="preserve">"Sorry for the inconvenience caused." — it is vague and scripted, and says nothing about what you will do.</t>
  </si>
  <si>
    <t xml:space="preserve">Instead of "That is the courier's fault, not ours", say "I'm sorry your parcel arrived late. I'll find out what happened right away."</t>
  </si>
  <si>
    <t xml:space="preserve">I'm really sorry it came late, especially for a birthday. Let me check what went wrong.</t>
  </si>
  <si>
    <t xml:space="preserve">I'm sorry we didn't deliver on time. I'll look into it now.</t>
  </si>
  <si>
    <t xml:space="preserve">Please accept my apologies for the late delivery of your parcel. I will look into the cause immediately.</t>
  </si>
  <si>
    <t xml:space="preserve">Could you give me your order number so I can check the delivery history?</t>
  </si>
  <si>
    <t xml:space="preserve">Thank you, I appreciate that. · It was a birthday present, it's ruined now. · Sorry doesn't help me.</t>
  </si>
  <si>
    <t xml:space="preserve">Customer: "Sorry doesn't help me." → Agent: "You're right, saying sorry isn't enough. I'm checking the delivery record now so I can tell you what went wrong and what I can do to put it right."</t>
  </si>
  <si>
    <t xml:space="preserve">"Sorry for the inconvenience caused" is a common line in Indian scripts. International customers often hear it as automatic; naming the actual problem sounds sincere.</t>
  </si>
  <si>
    <t xml:space="preserve">Chat: "I'm sorry your parcel arrived late. I'll check what happened now." Email: apologise in the first line, then say what you did and what happens next.</t>
  </si>
  <si>
    <t xml:space="preserve">Do not promise "right away" if the check needs another team and takes days; say when you will update the customer instead.</t>
  </si>
  <si>
    <t xml:space="preserve">Customer: My parcel came three days late. | Agent: I'm sorry your parcel arrived late. I'll find out what happened right away. | Customer: Thank you. It was a gift. | Agent: That makes it even more disappointing. Could I have your order number, please?</t>
  </si>
  <si>
    <t xml:space="preserve">Apologise specifically and take responsibility, then offer a fix (Lewicki, Polin &amp; Lount, 2016).</t>
  </si>
  <si>
    <t xml:space="preserve">I'm sorry your parcel arrived late. I'll find ____ what happened right away.</t>
  </si>
  <si>
    <t xml:space="preserve">out</t>
  </si>
  <si>
    <t xml:space="preserve">A customer's parcel came three days late. Which apology works best?</t>
  </si>
  <si>
    <t xml:space="preserve">A) Sorry for the inconvenience. We value your patience and will try to improve. | B) I understand, but the courier is responsible for the late delivery, not our company. | C) These things happen sometimes, so please be patient and wait for the next delivery. | D) I'm sorry your parcel arrived late. I'll find out what happened right away.</t>
  </si>
  <si>
    <t xml:space="preserve">D names the problem and promises action. A is vague and sounds scripted, B pushes the blame onto someone else, and C brushes the problem off.</t>
  </si>
  <si>
    <t xml:space="preserve">late / arrived / sorry / your / I'm / parcel</t>
  </si>
  <si>
    <t xml:space="preserve">I'm sorry your parcel arrived late</t>
  </si>
  <si>
    <t xml:space="preserve">Mujhe khed hai ki aapka refund der se aaya. Main abhi check karta hoon.</t>
  </si>
  <si>
    <t xml:space="preserve">I'm sorry your refund came late. I'll check it right now.</t>
  </si>
  <si>
    <t xml:space="preserve">It was for my son's birthday. It's too late now.</t>
  </si>
  <si>
    <t xml:space="preserve">I'm really sorry it missed his birthday. Let me check the order and see what I can do for you.</t>
  </si>
  <si>
    <t xml:space="preserve">Partner A's parcel arrived three days late and missed a birthday. Partner B apologises for the exact problem, asks for the order number and says what they will check.</t>
  </si>
  <si>
    <t xml:space="preserve">Record your apology, then the next line where you ask for the order number. Keep your voice slow and low on the apology.</t>
  </si>
  <si>
    <t xml:space="preserve">Did you name the exact problem? · Did you say what you will do next? · Did you say the final "d" in "arrived"?</t>
  </si>
  <si>
    <t xml:space="preserve">CSV-B-009</t>
  </si>
  <si>
    <t xml:space="preserve">Let me make sure I have this right: you were charged twice for one order. Is that correct?</t>
  </si>
  <si>
    <t xml:space="preserve">The caller has explained a long billing problem, and you want to check you understood before you act.</t>
  </si>
  <si>
    <t xml:space="preserve">The caller has just explained a long problem. How do you check your understanding before you start fixing anything?</t>
  </si>
  <si>
    <t xml:space="preserve">let-me-make-SURE · i-have-this-RIGHT · you-were-CHARGED-TWICE · for-ONE-OR-der · is-that-cor-RECT</t>
  </si>
  <si>
    <t xml:space="preserve">let_me → "lem-mee" · charged_twice → "charjd-twice" (a quick d, no extra vowel) · that_correct → "tha-cor-rect" (the t of "that" is barely heard)</t>
  </si>
  <si>
    <t xml:space="preserve">Fall on "right", then pause. Say the summary more slowly, with stress on "twice" and "one". Rise on "correct?" because it is a yes/no question.</t>
  </si>
  <si>
    <t xml:space="preserve">"Charged" ends in two sounds, "j" then "d": say "charjd". Dropping the "d" gives "charge", which sounds like the present tense. Also "this" has a voiced "th", not "dis".</t>
  </si>
  <si>
    <t xml:space="preserve">Careful, attentive, checking</t>
  </si>
  <si>
    <t xml:space="preserve">Frustrated, and keen to be understood before anything else happens.</t>
  </si>
  <si>
    <t xml:space="preserve">A tailor measures twice and cuts once: you check the problem before you cut into the fix.</t>
  </si>
  <si>
    <t xml:space="preserve">मैं पक्का कर लूँ कि मैंने सही समझा है: आपके एक ही ऑर्डर के लिए दो बार पैसे कट गए। क्या यह सही है?</t>
  </si>
  <si>
    <t xml:space="preserve">Main pakka kar loon ki maine sahi samjha hai: aapke ek hi order ke liye do baar paise kat gaye. Kya yeh sahi hai?</t>
  </si>
  <si>
    <t xml:space="preserve">I want to check I understood: you paid two times for one order. Yes?</t>
  </si>
  <si>
    <t xml:space="preserve">Saying the problem back shows you listened and lets the caller correct you early. Fixing the wrong problem wastes their time and makes them explain everything again.</t>
  </si>
  <si>
    <t xml:space="preserve">Let me make sure I have this right: ___. Is that correct?</t>
  </si>
  <si>
    <t xml:space="preserve">Let me + base verb · you + were + past participle (passive) · Is that + adjective?</t>
  </si>
  <si>
    <t xml:space="preserve">"You were charged" is passive: it says what happened to the caller without blaming anyone.</t>
  </si>
  <si>
    <t xml:space="preserve">It sounds careful and respectful. "So what you are saying is…" in a flat voice can sound like you doubt them.</t>
  </si>
  <si>
    <t xml:space="preserve">✗ So you was charged twice for one order, right? → ✓ Let me make sure I have this right: you were charged twice for one order. Is that correct?</t>
  </si>
  <si>
    <t xml:space="preserve">"Okay, okay, I understood." — said before the caller finishes, it sounds like you are not listening.</t>
  </si>
  <si>
    <t xml:space="preserve">Instead of "Your problem is not clear", say "Let me make sure I have this right: you were charged twice for one order. Is that correct?"</t>
  </si>
  <si>
    <t xml:space="preserve">So, just to check: you paid twice for a single order. Is that right?</t>
  </si>
  <si>
    <t xml:space="preserve">Just to check, the money came out of your account twice for one order?</t>
  </si>
  <si>
    <t xml:space="preserve">To be sure I have understood, you were charged twice for a single order. Have I got that right?</t>
  </si>
  <si>
    <t xml:space="preserve">Thank you. Could you tell me the date of the order so I can find both payments?</t>
  </si>
  <si>
    <t xml:space="preserve">Yes, exactly. · Not quite, it was two different orders. · Yes, and I want the money back today.</t>
  </si>
  <si>
    <t xml:space="preserve">Customer: "Why are you repeating it? I just told you!" → Agent: "I'm sorry, I know you've just explained it. I'm checking so I fix the right thing first time. You were charged twice, so I'll look at both payments now."</t>
  </si>
  <si>
    <t xml:space="preserve">"You are telling that…" is a common Indian English pattern. International callers more often expect "So, you…" or "If I've understood correctly…", with a clear question at the end.</t>
  </si>
  <si>
    <t xml:space="preserve">Chat: "Just to confirm: you were charged twice for one order?" Email: open with a one-line summary, such as "You were charged twice for order 55021."</t>
  </si>
  <si>
    <t xml:space="preserve">Do not paraphrase a one-line request like "What are your opening hours?"; just answer it.</t>
  </si>
  <si>
    <t xml:space="preserve">Customer: I ordered once but my card shows two payments. | Agent: Let me make sure I have this right: you were charged twice for one order. Is that correct? | Customer: Yes, that's it. | Agent: Thank you. Let me find both payments.</t>
  </si>
  <si>
    <t xml:space="preserve">Paraphrase before solving: sum up what you heard, then ask a yes/no question so the caller can correct you.</t>
  </si>
  <si>
    <t xml:space="preserve">Let me make ____ (starts with s) I have this right: you were charged twice for one order.</t>
  </si>
  <si>
    <t xml:space="preserve">sure</t>
  </si>
  <si>
    <t xml:space="preserve">The caller has just explained a confusing billing problem. What should you do before you start fixing it?</t>
  </si>
  <si>
    <t xml:space="preserve">A) Start the refund straight away, then explain what you did. | B) Say "Okay, okay, I understand" so they know you are listening. | C) Summarise the problem back to them and ask "Is that correct?" | D) Ask them to email all the details so you can read them properly.</t>
  </si>
  <si>
    <t xml:space="preserve">C catches misunderstandings early. A may fix the wrong problem, B can sound as if you are not really listening, and D makes the caller do more work.</t>
  </si>
  <si>
    <t xml:space="preserve">right / make / Let / have / sure / me / I / this</t>
  </si>
  <si>
    <t xml:space="preserve">Let me make sure I have this right</t>
  </si>
  <si>
    <t xml:space="preserve">Main confirm kar leti hoon: aapka parcel galat address par gaya, sahi?</t>
  </si>
  <si>
    <t xml:space="preserve">Let me make sure I have this right: your parcel went to the wrong address. Is that correct?</t>
  </si>
  <si>
    <t xml:space="preserve">Not exactly. I was charged twice, but for two different amounts.</t>
  </si>
  <si>
    <t xml:space="preserve">Thank you for correcting me. So there are two payments with different amounts. Let me look at both.</t>
  </si>
  <si>
    <t xml:space="preserve">Partner A explains, at length, that a subscription renewed twice this month. Partner B listens without interrupting, sums up the problem in one sentence and asks "Is that correct?"</t>
  </si>
  <si>
    <t xml:space="preserve">Record yourself summing up this problem to the customer in one sentence: they ordered a blue shirt and received a red one. Start with "Let me make sure I have this right" and say "you".</t>
  </si>
  <si>
    <t xml:space="preserve">Did you sum up in one short sentence? · Did your voice rise on "correct?" · Did you say the final "d" in "charged"?</t>
  </si>
  <si>
    <t xml:space="preserve">CSV-B-010</t>
  </si>
  <si>
    <t xml:space="preserve">Could you read me your order number? You'll find it in your confirmation email.</t>
  </si>
  <si>
    <t xml:space="preserve">The caller wants to know where their order is, and you need the order number to search for it.</t>
  </si>
  <si>
    <t xml:space="preserve">You need the caller's order reference to search. What do you ask, and how do you help them find it?</t>
  </si>
  <si>
    <t xml:space="preserve">could-you-READ-me · your-OR-der-NUM-ber · you'll-FIND-it · in-your-con-fir-MA-tion-E-mail</t>
  </si>
  <si>
    <t xml:space="preserve">read_me → "ree-mee" · find_it → "fine-dit" · confirmation_email → "con-fur-may-shun-ee-mayl"</t>
  </si>
  <si>
    <t xml:space="preserve">Rise on "number?". Pause. Then a falling, helpful tone on "confirmation email", said as a tip, not an order.</t>
  </si>
  <si>
    <t xml:space="preserve">"Number" has its stress on the first part, NUM-ber, with a weak "-ber"; do not give both parts equal beats. In "confirmation", the stress is on "MA" (con-fur-MAY-shun), not on "con".</t>
  </si>
  <si>
    <t xml:space="preserve">Helpful, guiding request</t>
  </si>
  <si>
    <t xml:space="preserve">Eager for an update, and maybe unsure where the number is.</t>
  </si>
  <si>
    <t xml:space="preserve">The order number is the key to the right locker, and you also tell them which pocket the key is in.</t>
  </si>
  <si>
    <t xml:space="preserve">क्या आप मुझे अपना ऑर्डर नंबर पढ़कर बता सकते हैं? यह आपको कन्फ़र्मेशन ईमेल में मिलेगा।</t>
  </si>
  <si>
    <t xml:space="preserve">Kya aap mujhe apna order number padhkar bata sakte hain? Yeh aapko confirmation email mein milega.</t>
  </si>
  <si>
    <t xml:space="preserve">Please tell me your order number. It is in the email we sent when you ordered.</t>
  </si>
  <si>
    <t xml:space="preserve">Saying where the number is saves the caller from searching and stops "I don't know it" from becoming a dead end. It shows you are thinking one step ahead for them.</t>
  </si>
  <si>
    <t xml:space="preserve">Could you read me your ___? You'll find it in ___.</t>
  </si>
  <si>
    <t xml:space="preserve">Could + you + read + me + noun? · You'll + find + it + in + place</t>
  </si>
  <si>
    <t xml:space="preserve">"You'll find it in…" is a friendly way to say where something is.</t>
  </si>
  <si>
    <t xml:space="preserve">Giving the location helps the caller. "Order number?" alone sounds like a form, and "Give order ID first" sounds like a condition.</t>
  </si>
  <si>
    <t xml:space="preserve">✗ Could you read me your order number? You will found it in confirmation email. → ✓ Could you read me your order number? You'll find it in your confirmation email.</t>
  </si>
  <si>
    <t xml:space="preserve">"Without order ID I can't do anything." — it blocks the caller and does not help them find the number.</t>
  </si>
  <si>
    <t xml:space="preserve">Instead of "I can't check without the order number", say "Could you read me your order number? You'll find it in your confirmation email."</t>
  </si>
  <si>
    <t xml:space="preserve">Do you have your order number handy? It starts with the letters SO.</t>
  </si>
  <si>
    <t xml:space="preserve">If you have the confirmation email open, could you read me the order number?</t>
  </si>
  <si>
    <t xml:space="preserve">Could you please give me your order number? It appears at the top of your order confirmation email.</t>
  </si>
  <si>
    <t xml:space="preserve">Thank you. That's S O 5 5 0 2 1. Let me look that up.</t>
  </si>
  <si>
    <t xml:space="preserve">Hang on, let me find it. · It's SO55021. · I deleted that email.</t>
  </si>
  <si>
    <t xml:space="preserve">Customer: "I deleted the email." → Agent: "That's fine. I can find your order with your email address or phone number instead."</t>
  </si>
  <si>
    <t xml:space="preserve">"Order ID" and "then only I can check" are common Indian phrasing. International callers usually say "order number" and expect you to offer another way if they cannot find it.</t>
  </si>
  <si>
    <t xml:space="preserve">Chat: "Could you share your order number? It's in your confirmation email." Email: ask for it only if it is not already in their message.</t>
  </si>
  <si>
    <t xml:space="preserve">Do not ask for the order number if you already found the order during verification; confirm the order on your screen instead.</t>
  </si>
  <si>
    <t xml:space="preserve">Customer: Where's my order? | Agent: Could you read me your order number? You'll find it in your confirmation email. | Customer: It's SO55021. | Agent: Thank you. Let me look that up for you.</t>
  </si>
  <si>
    <t xml:space="preserve">Ask only for what you need, and make it easy for the customer to give it.</t>
  </si>
  <si>
    <t xml:space="preserve">Could you read me your order number? You'll find it ____ your confirmation email.</t>
  </si>
  <si>
    <t xml:space="preserve">in</t>
  </si>
  <si>
    <t xml:space="preserve">The caller is not sure where their order number is. What is the most helpful thing to say?</t>
  </si>
  <si>
    <t xml:space="preserve">A) I can't check your order without the order number. Do you have it? | B) Could you read me your order number, please? I need it to find your order quickly. | C) Could you read me your order number? You'll find it in your confirmation email. | D) Please call us back when you have your order number, and we will help then.</t>
  </si>
  <si>
    <t xml:space="preserve">C tells the caller where to look. A and D block them, and B asks for the number but does not help them find it.</t>
  </si>
  <si>
    <t xml:space="preserve">number / read / your / Could / me / order / you</t>
  </si>
  <si>
    <t xml:space="preserve">Could you read me your order number</t>
  </si>
  <si>
    <t xml:space="preserve">Kya aap apna order number bata sakte hain? Woh aapke SMS mein hoga.</t>
  </si>
  <si>
    <t xml:space="preserve">Could you tell me your order number? You'll find it in your text message.</t>
  </si>
  <si>
    <t xml:space="preserve">Which email do you mean? I get a lot of emails from you.</t>
  </si>
  <si>
    <t xml:space="preserve">It's the one with the subject "Order confirmed". If you can't find it, I can search with your email address instead.</t>
  </si>
  <si>
    <t xml:space="preserve">Partner A calls about a late order but cannot find the order number at first. Partner B says where to look and offers to search by email if A still cannot find it.</t>
  </si>
  <si>
    <t xml:space="preserve">Record yourself asking for the order number, then the backup line you say if the caller has deleted the email.</t>
  </si>
  <si>
    <t xml:space="preserve">Did you say where to find the number? · Did "number" have stress on the first part? · Did you offer a backup if they cannot find it?</t>
  </si>
  <si>
    <t xml:space="preserve">CSV-B-011</t>
  </si>
  <si>
    <t xml:space="preserve">Sure, I can help you with that.</t>
  </si>
  <si>
    <t xml:space="preserve">The caller has just explained that they cannot log in to their account and sounds worried.</t>
  </si>
  <si>
    <t xml:space="preserve">A worried caller has just told you their problem. What short line tells them they are in the right place?</t>
  </si>
  <si>
    <t xml:space="preserve">SURE · i-can-HELP-you · with-THAT</t>
  </si>
  <si>
    <t xml:space="preserve">I_can → "eye-kn" (weak "can") · help_you → "hel-pyoo" · with_that → "wi-that" (one "th" sound)</t>
  </si>
  <si>
    <t xml:space="preserve">Bright on "Sure", then steady and falling on "that" to sound confident. Do not rise at the end, or it sounds like a question.</t>
  </si>
  <si>
    <t xml:space="preserve">In "with that", the "th" at the end of "with" and the start of "that" join into one soft voiced "th", tongue between the teeth; avoid "wit dat".</t>
  </si>
  <si>
    <t xml:space="preserve">Friendly</t>
  </si>
  <si>
    <t xml:space="preserve">Calm, confident reassurance</t>
  </si>
  <si>
    <t xml:space="preserve">Worried and unsure whether this call will solve anything.</t>
  </si>
  <si>
    <t xml:space="preserve">It is a friendly hand on the shoulder: seven short words that tell the caller they can relax now.</t>
  </si>
  <si>
    <t xml:space="preserve">ज़रूर, मैं इसमें आपकी मदद कर सकता/सकती हूँ।</t>
  </si>
  <si>
    <t xml:space="preserve">Zaroor, main ismein aapki madad kar sakta/sakti hoon.</t>
  </si>
  <si>
    <t xml:space="preserve">Yes, I am able to help with this problem.</t>
  </si>
  <si>
    <t xml:space="preserve">It answers the caller's real fear ("Will anyone fix this?") in one breath, before any questions. It promises help, not a result, so it stays honest.</t>
  </si>
  <si>
    <t xml:space="preserve">I can help you with ___.</t>
  </si>
  <si>
    <t xml:space="preserve">I + can + help + you + with + noun</t>
  </si>
  <si>
    <t xml:space="preserve">"Help you with" takes a thing: "help you with that", "help you with your login".</t>
  </si>
  <si>
    <t xml:space="preserve">Short and warm sounds confident. "I will try" sounds unsure, and "That's not my department" sounds like you want to get rid of them.</t>
  </si>
  <si>
    <t xml:space="preserve">✗ I will try to help you for that. → ✓ Sure, I can help you with that.</t>
  </si>
  <si>
    <t xml:space="preserve">"I'll try, but I'm not sure." — it makes a worried caller more worried.</t>
  </si>
  <si>
    <t xml:space="preserve">Instead of "I'll try my best", say "Sure, I can help you with that."</t>
  </si>
  <si>
    <t xml:space="preserve">Of course, I'm happy to help you with your login.</t>
  </si>
  <si>
    <t xml:space="preserve">Don't worry, let's get you back into your account.</t>
  </si>
  <si>
    <t xml:space="preserve">Certainly, I'd be glad to help you with that.</t>
  </si>
  <si>
    <t xml:space="preserve">First, could you tell me the email address you use to log in?</t>
  </si>
  <si>
    <t xml:space="preserve">Oh, thank goodness. · Great, thanks. · The last person said that too.</t>
  </si>
  <si>
    <t xml:space="preserve">Customer: "The last person said that too." → Agent: "I'm sorry it wasn't fixed then. I'll stay with you on this call and tell you each step as I do it."</t>
  </si>
  <si>
    <t xml:space="preserve">"I will try my level best" is a common, kind phrase in India, but international callers may hear "try" as doubt. "I can help you with that" sounds more certain.</t>
  </si>
  <si>
    <t xml:space="preserve">Chat: "Sure, I can help you with that." works as is. Email: "I can help with this" fits as the first line after the greeting.</t>
  </si>
  <si>
    <t xml:space="preserve">Do not say it when the request belongs to another team; say "The billing team handles this. I'll transfer you and explain your case to them."</t>
  </si>
  <si>
    <t xml:space="preserve">Customer: I can't log in and I need my invoice today. | Agent: Sure, I can help you with that. | Customer: Oh, good. | Agent: First, could you tell me the email address you use to log in?</t>
  </si>
  <si>
    <t xml:space="preserve">Lead with what you can do; use "I can" and "I will", not "we'll try".</t>
  </si>
  <si>
    <t xml:space="preserve">Sure, I can help you ____ that.</t>
  </si>
  <si>
    <t xml:space="preserve">with</t>
  </si>
  <si>
    <t xml:space="preserve">A worried caller has just explained they are locked out. Which first reply builds the most confidence?</t>
  </si>
  <si>
    <t xml:space="preserve">A) I'll try my best, but I can't promise that it will work today. | B) That's a very common problem. It happens to a lot of our customers. | C) Why did you lock yourself out? Did you forget your password? | D) Sure, I can help you with that. Let's get you back into your account.</t>
  </si>
  <si>
    <t xml:space="preserve">D is certain and kind, and starts the fix. A sounds unsure, B does not say you will help, and C sounds like blame.</t>
  </si>
  <si>
    <t xml:space="preserve">with / can / help / I / that / you</t>
  </si>
  <si>
    <t xml:space="preserve">I can help you with that</t>
  </si>
  <si>
    <t xml:space="preserve">Haan bilkul, main aapki ismein madad kar sakta hoon.</t>
  </si>
  <si>
    <t xml:space="preserve">Thank you. I've been trying for an hour.</t>
  </si>
  <si>
    <t xml:space="preserve">I'm sorry it's taken so long. Let's fix it together now.</t>
  </si>
  <si>
    <t xml:space="preserve">Partner A is stressed because they cannot reset a password before a meeting. Partner B reassures A in one line, then asks the first question needed to help.</t>
  </si>
  <si>
    <t xml:space="preserve">Record the line three times: flat, too excited, and warm and calm. Submit the warm and calm one for audit.</t>
  </si>
  <si>
    <t xml:space="preserve">Did your voice fall at the end, not rise? · Did you avoid "try"? · Did you follow it with a question that moves the call on?</t>
  </si>
  <si>
    <t xml:space="preserve">CSV-B-012</t>
  </si>
  <si>
    <t xml:space="preserve">Sorry, the line isn't very clear. Could you speak up a little, please?</t>
  </si>
  <si>
    <t xml:space="preserve">The caller's voice keeps breaking up, and you can hear only half of each sentence.</t>
  </si>
  <si>
    <t xml:space="preserve">You can hear only half of what the caller says. How do you tell them, and what do you ask them to do?</t>
  </si>
  <si>
    <t xml:space="preserve">SOR-ry · the-LINE-is-n't-VER-y-CLEAR · could-you-SPEAK-UP · a-LIT-tle · PLEASE</t>
  </si>
  <si>
    <t xml:space="preserve">line_isn't → "lie-nizunt" · speak_up → "spee-kup" · a_little → "uh-lit-ul"</t>
  </si>
  <si>
    <t xml:space="preserve">A calm fall on "clear", so the caller knows the line is the problem, not them. Rise on "please?". Speak a little slower and louder yourself.</t>
  </si>
  <si>
    <t xml:space="preserve">In "very", the "v" needs your top teeth on your lower lip, not rounded lips (vest / west), so it is not heard as "wery". "Little" is LIT-ul, with a very weak second part.</t>
  </si>
  <si>
    <t xml:space="preserve">Calm, practical request</t>
  </si>
  <si>
    <t xml:space="preserve">Possibly unaware the line is bad, or frustrated by a weak signal.</t>
  </si>
  <si>
    <t xml:space="preserve">Blame the wire, never the caller: the line is the villain in this sentence.</t>
  </si>
  <si>
    <t xml:space="preserve">माफ़ कीजिए, लाइन साफ़ नहीं है। क्या आप थोड़ा ज़ोर से बोल सकते हैं?</t>
  </si>
  <si>
    <t xml:space="preserve">Maaf kijiye, line saaf nahin hai. Kya aap thoda zor se bol sakte hain?</t>
  </si>
  <si>
    <t xml:space="preserve">Sorry, the phone sound is bad. Please talk a bit louder.</t>
  </si>
  <si>
    <t xml:space="preserve">It blames the line, not the caller's voice or accent, and gives one easy action. If that fails, offering a callback stops both of you from struggling.</t>
  </si>
  <si>
    <t xml:space="preserve">Sorry, the line isn't very clear. Could you ___, please?</t>
  </si>
  <si>
    <t xml:space="preserve">The line + isn't + very + adjective · Could + you + speak up?</t>
  </si>
  <si>
    <t xml:space="preserve">"Speak up" is a phrasal verb that means "speak more loudly".</t>
  </si>
  <si>
    <t xml:space="preserve">Naming the line keeps it neutral. "I can't hear you properly" or "Your voice is breaking" can sound like the caller is at fault.</t>
  </si>
  <si>
    <t xml:space="preserve">✗ Please speak loudly, line is not clear. → ✓ Sorry, the line isn't very clear. Could you speak up a little, please?</t>
  </si>
  <si>
    <t xml:space="preserve">"Hello? Hello? Hello?" again and again — it sounds panicked and gives the caller nothing to do.</t>
  </si>
  <si>
    <t xml:space="preserve">Instead of "Your voice is breaking", say "Sorry, the line isn't very clear. Could you speak up a little, please?"</t>
  </si>
  <si>
    <t xml:space="preserve">I'm sorry, you're breaking up a little. Could you say that again?</t>
  </si>
  <si>
    <t xml:space="preserve">The line's quite bad. Could I call you back on this number in a minute?</t>
  </si>
  <si>
    <t xml:space="preserve">I'm afraid the line is unclear. Would it be all right if I called you back on the number ending 4417?</t>
  </si>
  <si>
    <t xml:space="preserve">That's much better, thank you. You were saying your card was declined?</t>
  </si>
  <si>
    <t xml:space="preserve">Is that better? · I'm on the train, sorry. · Can you call me back in ten minutes?</t>
  </si>
  <si>
    <t xml:space="preserve">Customer: "I can hear you fine!" → Agent: "I'm glad you can hear me. On my side the line is breaking up a little, so I want to be sure I don't miss anything."</t>
  </si>
  <si>
    <t xml:space="preserve">"You are not audible" is a standard Indian office phrase. International callers rarely use it and may hear it as formal or blaming; "The line isn't very clear" sounds neutral.</t>
  </si>
  <si>
    <t xml:space="preserve">Chat and email do not have this problem. If a chat keeps disconnecting, offer email: "If the chat drops, I'll email you the update."</t>
  </si>
  <si>
    <t xml:space="preserve">Do not ask the caller to speak up if the line is fine and they are just quiet and upset; slow down and listen instead.</t>
  </si>
  <si>
    <t xml:space="preserve">Customer: My card was … de… today. | Agent: Sorry, the line isn't very clear. Could you speak up a little, please? | Customer: Is that better? My card was declined today. | Agent: Much better, thank you. Let me check your card.</t>
  </si>
  <si>
    <t xml:space="preserve">Tell the caller what is happening, and offer a callback instead of a long struggle.</t>
  </si>
  <si>
    <t xml:space="preserve">Sorry, the line isn't very clear. Could you speak ____ a little, please?</t>
  </si>
  <si>
    <t xml:space="preserve">up</t>
  </si>
  <si>
    <t xml:space="preserve">The caller's voice keeps cutting out. Which response is best first?</t>
  </si>
  <si>
    <t xml:space="preserve">A) Sorry, your voice is breaking. Please speak loudly and clearly. | B) Hello? Hello? Can you hear me? Hello? I can't hear anything. | C) I'm afraid I cannot help you on this line. Please call us again later. | D) Sorry, the line isn't very clear. Could you speak up a little, please?</t>
  </si>
  <si>
    <t xml:space="preserve">D blames the line and asks for one easy action. A blames the caller's voice, B gives the caller nothing to do, and C gives up before trying a callback.</t>
  </si>
  <si>
    <t xml:space="preserve">up / you / Could / little / speak / a / please</t>
  </si>
  <si>
    <t xml:space="preserve">Could you speak up a little please</t>
  </si>
  <si>
    <t xml:space="preserve">Line kharab hai. Kya main aapko do minute mein call back kar sakta hoon?</t>
  </si>
  <si>
    <t xml:space="preserve">The line is quite bad. Could I call you back in two minutes?</t>
  </si>
  <si>
    <t xml:space="preserve">Sorry, I'm on the train. Is that better?</t>
  </si>
  <si>
    <t xml:space="preserve">Yes, that's much better, thank you. Let's carry on.</t>
  </si>
  <si>
    <t xml:space="preserve">Partner A calls from a noisy train and the line keeps breaking. Partner B asks A to speak up, and when that fails, offers to call back on A's number in ten minutes.</t>
  </si>
  <si>
    <t xml:space="preserve">Record the "speak up" line, then the callback offer you would make if the line does not improve.</t>
  </si>
  <si>
    <t xml:space="preserve">Did you blame the line, not the caller? · Did you offer a callback if it stays bad? · Did "very" start with a clear "v", not "w"?</t>
  </si>
  <si>
    <t xml:space="preserve">CSV-B-013</t>
  </si>
  <si>
    <t xml:space="preserve">Close</t>
  </si>
  <si>
    <t xml:space="preserve">Has that fixed the issue for you? Is there anything else I can help with today?</t>
  </si>
  <si>
    <t xml:space="preserve">You have just re-sent the customer's missing e-ticket, and they are checking their inbox while you wait.</t>
  </si>
  <si>
    <t xml:space="preserve">You think the problem is solved and the call is nearly over. Which two questions do you ask, and in which order?</t>
  </si>
  <si>
    <t xml:space="preserve">has-that-FIXED-the-IS-sue-for-YOU · is-there-ANY-thing-ELSE · i-can-HELP-with-to-DAY</t>
  </si>
  <si>
    <t xml:space="preserve">fixed_the → "fikst-the" (the t flows straight into the th) · anything_else → "en-ee-thing-gels" · help_with → "hel-pwith"</t>
  </si>
  <si>
    <t xml:space="preserve">Rise on "for you?" (yes/no). Pause for the answer. Then rise again on "today?". Leave real silence for the reply.</t>
  </si>
  <si>
    <t xml:space="preserve">"Fixed" ends in "-kst": say "fikst", with the final "t"; do not drop it to "fix". "Anything" has a "th" in the middle: tongue between the teeth, not "anyting".</t>
  </si>
  <si>
    <t xml:space="preserve">Caring, checking, open</t>
  </si>
  <si>
    <t xml:space="preserve">Relieved, and ready to finish the call soon.</t>
  </si>
  <si>
    <t xml:space="preserve">Like a good doctor: first ask "Does it still hurt?", and only then "Is anything else bothering you?"</t>
  </si>
  <si>
    <t xml:space="preserve">क्या इससे आपकी समस्या ठीक हो गई? क्या आज मैं किसी और चीज़ में आपकी मदद कर सकता/सकती हूँ?</t>
  </si>
  <si>
    <t xml:space="preserve">Kya isse aapki samasya theek ho gayi? Kya aaj main kisi aur cheez mein aapki madad kar sakta/sakti hoon?</t>
  </si>
  <si>
    <t xml:space="preserve">Is your problem solved now? Do you need help with anything more?</t>
  </si>
  <si>
    <t xml:space="preserve">Checking the fix first avoids assuming the call is resolved; SQM Group notes that "anything else" on its own takes that for granted. The second question lets the caller raise another issue now instead of calling back.</t>
  </si>
  <si>
    <t xml:space="preserve">Has that fixed ___ for you? Is there anything else I can help with?</t>
  </si>
  <si>
    <t xml:space="preserve">Has + that + past participle …? · Is there + anything else + I can + base verb …?</t>
  </si>
  <si>
    <t xml:space="preserve">"Has that fixed…?" uses the present perfect to ask about a result right now.</t>
  </si>
  <si>
    <t xml:space="preserve">Two open questions sound caring. "Anything else? No? Okay, bye" sounds like you want them gone.</t>
  </si>
  <si>
    <t xml:space="preserve">✗ Anything else, or shall I close the call? → ✓ Has that fixed the issue for you? Is there anything else I can help with today?</t>
  </si>
  <si>
    <t xml:space="preserve">"Anything else?" asked quickly before the fix is confirmed — it assumes the problem is solved when it may not be.</t>
  </si>
  <si>
    <t xml:space="preserve">Instead of "So that's all, right?", say "Has that fixed the issue for you? Is there anything else I can help with today?"</t>
  </si>
  <si>
    <t xml:space="preserve">Can you see the ticket in your inbox now? If so, is there anything else I can do for you?</t>
  </si>
  <si>
    <t xml:space="preserve">Is everything working as it should now? And is there anything else you need today?</t>
  </si>
  <si>
    <t xml:space="preserve">Could you confirm that the issue is now resolved? And is there anything further I can assist you with today?</t>
  </si>
  <si>
    <t xml:space="preserve">Great. So the ticket is in your inbox, and you can also download it from your account page.</t>
  </si>
  <si>
    <t xml:space="preserve">Yes, it's working now, thanks. · No, that's everything. · Actually, there's one more thing about my bill.</t>
  </si>
  <si>
    <t xml:space="preserve">Customer: "Actually, I still can't see it." → Agent: "I'm sorry it's still not there. Thank you for telling me. Let's check the email address on your booking together."</t>
  </si>
  <si>
    <t xml:space="preserve">Some scripts close with "Any other query?" straight after a fix. International callers more often hear "Is there anything else I can help you with?", and it works best after you have checked that the fix worked.</t>
  </si>
  <si>
    <t xml:space="preserve">Chat: "Is it working now? Is there anything else I can help with?" Email: "Please reply if this hasn't fixed it, or if there's anything else you need."</t>
  </si>
  <si>
    <t xml:space="preserve">Do not ask "anything else" on an unresolved call; say what happens next and when you will update the customer instead.</t>
  </si>
  <si>
    <t xml:space="preserve">Customer: Right, there's a new email from you. | Agent: Has that fixed the issue for you? Is there anything else I can help with today? | Customer: Yes, the ticket's there. And no, that's everything, thanks. | Agent: You're welcome. Thank you for calling [Company].</t>
  </si>
  <si>
    <t xml:space="preserve">Check the issue is resolved, then ask "anything else"; never on an unresolved call (SQM Group).</t>
  </si>
  <si>
    <t xml:space="preserve">Has that fixed the issue for you? Is there anything ____ (starts with e) I can help with today?</t>
  </si>
  <si>
    <t xml:space="preserve">else</t>
  </si>
  <si>
    <t xml:space="preserve">You have just re-sent a missing e-ticket. What should you ask before "Is there anything else?"</t>
  </si>
  <si>
    <t xml:space="preserve">A) Has that fixed the issue for you? Can you see the ticket now? | B) I've sent it again, so that's all done. Can I close the call now? | C) Before you go, would you mind rating this call out of five? | D) Why didn't you check your spam folder? Please look there first next time.</t>
  </si>
  <si>
    <t xml:space="preserve">A</t>
  </si>
  <si>
    <t xml:space="preserve">A checks the fix is real before moving on. B assumes it worked and pushes the caller out, C makes the call about your rating, and D blames the caller.</t>
  </si>
  <si>
    <t xml:space="preserve">else / anything / there / Is / help / I / can / with / today</t>
  </si>
  <si>
    <t xml:space="preserve">Is there anything else I can help with today</t>
  </si>
  <si>
    <t xml:space="preserve">Kya ab aapko ticket dikh raha hai? Aur kuch madad chahiye?</t>
  </si>
  <si>
    <t xml:space="preserve">Can you see the ticket now? Is there anything else I can help with?</t>
  </si>
  <si>
    <t xml:space="preserve">Yes, one more thing. Can I add my wife's name to the booking?</t>
  </si>
  <si>
    <t xml:space="preserve">Of course. Could you give me her full name, please?</t>
  </si>
  <si>
    <t xml:space="preserve">Partner B has just re-sent Partner A's missing e-ticket. B checks the fix, then asks if there is anything else; A raises a second, small issue that B handles before closing.</t>
  </si>
  <si>
    <t xml:space="preserve">Record yourself checking the fix and asking "anything else", then the line you say if the caller says it is still not working.</t>
  </si>
  <si>
    <t xml:space="preserve">Did you check the fix before "anything else"? · Did your voice rise on both questions? · Did you pause long enough for an answer?</t>
  </si>
  <si>
    <t xml:space="preserve">CSV-B-014</t>
  </si>
  <si>
    <t xml:space="preserve">Thanks for your time today, Mr Lee. Have a great evening.</t>
  </si>
  <si>
    <t xml:space="preserve">The issue is resolved, the customer has nothing else to ask, and you are ending the call in the evening.</t>
  </si>
  <si>
    <t xml:space="preserve">The issue is fixed and the caller has nothing more. How do you end the call warmly and personally?</t>
  </si>
  <si>
    <t xml:space="preserve">THANKS-for-your-TIME-to-DAY · mis-ter-LEE · have-a-GREAT-EVE-ning</t>
  </si>
  <si>
    <t xml:space="preserve">thanks_for → "thanks-fer" · have_a → "ha-va" · great_evening → "gray-teev-ning"</t>
  </si>
  <si>
    <t xml:space="preserve">Warm and unhurried, with a smile in the voice. Falling tone on "evening" so it sounds finished. Do not rush the last words.</t>
  </si>
  <si>
    <t xml:space="preserve">"Have" and "evening" both contain a /v/: top teeth on the lower lip. Do not soften them to "haw" or "ee-wning". Minimal pair: vest / west.</t>
  </si>
  <si>
    <t xml:space="preserve">Warm, grateful, finished</t>
  </si>
  <si>
    <t xml:space="preserve">Satisfied and ready to get on with their day.</t>
  </si>
  <si>
    <t xml:space="preserve">The last line is the taste the caller leaves with, like the last sip of tea, so make it warm.</t>
  </si>
  <si>
    <t xml:space="preserve">आज अपना समय देने के लिए धन्यवाद, मिस्टर ली। आपकी शाम अच्छी हो।</t>
  </si>
  <si>
    <t xml:space="preserve">Aaj apna samay dene ke liye dhanyavaad, Mr Lee. Aapki shaam acchi ho.</t>
  </si>
  <si>
    <t xml:space="preserve">Thank you for talking with me today. Enjoy your evening.</t>
  </si>
  <si>
    <t xml:space="preserve">It thanks the caller, uses their name once more and wishes them well, so the call ends on a personal note. Matching the time of day shows you are paying attention, not reading a script.</t>
  </si>
  <si>
    <t xml:space="preserve">Thanks for ___ today, ___. Have a great ___.</t>
  </si>
  <si>
    <t xml:space="preserve">Thanks for + noun/-ing · Have + a + adjective + noun (a wish)</t>
  </si>
  <si>
    <t xml:space="preserve">"Have a great evening" is a wish, not an order, even though it starts with a verb.</t>
  </si>
  <si>
    <t xml:space="preserve">The name and the wish make it personal. A fast "Okay, thank you, bye" sounds like you are rushing to the next call.</t>
  </si>
  <si>
    <t xml:space="preserve">✗ Thanks for your time today, Mr Lee. Have good evening. → ✓ Thanks for your time today, Mr Lee. Have a great evening.</t>
  </si>
  <si>
    <t xml:space="preserve">"Okay, bye." — it is too short, sounds rushed, and wastes the good feeling of a solved problem.</t>
  </si>
  <si>
    <t xml:space="preserve">Instead of "Okay, thank you, bye", say "Thanks for your time today, Mr Lee. Have a great evening."</t>
  </si>
  <si>
    <t xml:space="preserve">Thanks for calling, Mr Lee. Enjoy the rest of your evening.</t>
  </si>
  <si>
    <t xml:space="preserve">It was a pleasure helping you, Mr Lee. Take care.</t>
  </si>
  <si>
    <t xml:space="preserve">Thank you for calling [Company], Mr Lee. I hope you have a pleasant evening.</t>
  </si>
  <si>
    <t xml:space="preserve">Goodbye, Mr Lee. Thanks again for calling.</t>
  </si>
  <si>
    <t xml:space="preserve">Thanks, you too. · Cheers, bye. · Thanks for your help, Priya.</t>
  </si>
  <si>
    <t xml:space="preserve">Customer: "Wait, will I get an email about this?" → Agent: "Yes, I've just sent a confirmation to the email address on your account. Is there anything else before you go?"</t>
  </si>
  <si>
    <t xml:space="preserve">"Have a nice day ahead" and "Thanks for your valuable time" are common Indian closings. International callers may not expect them; a simple "Have a great day" or "Enjoy your evening" sounds natural.</t>
  </si>
  <si>
    <t xml:space="preserve">Chat: "Thanks for chatting with us, Mr Lee. Have a great evening!" Email: end with "Best regards" and your name.</t>
  </si>
  <si>
    <t xml:space="preserve">Do not use a cheerful "Have a great evening" when the call ended without a fix; say "Thank you for your patience, Mr Lee. I'll call you on Friday with an update."</t>
  </si>
  <si>
    <t xml:space="preserve">Customer: No, that's all, thanks. | Agent: You're welcome. Thanks for your time today, Mr Lee. Have a great evening. | Customer: Thanks, you too. | Agent: Goodbye.</t>
  </si>
  <si>
    <t xml:space="preserve">Close with thanks and a courtesy closer such as "Have a great day", fitted to the caller.</t>
  </si>
  <si>
    <t xml:space="preserve">Thanks for your time today, Mr Lee. ____ a great evening.</t>
  </si>
  <si>
    <t xml:space="preserve">Have</t>
  </si>
  <si>
    <t xml:space="preserve">It is 7 pm and the call is resolved. Which closing sounds warmest and most natural?</t>
  </si>
  <si>
    <t xml:space="preserve">A) Okay, that is all then. Thank you very much, bye bye now. | B) Thanks for your time today, Mr Lee. Have a wonderful morning. | C) Your call is now completed. Thank you for contacting [Company]. | D) Thanks for your time today, Mr Lee. Have a great evening.</t>
  </si>
  <si>
    <t xml:space="preserve">D thanks the caller by name and wishes them a good evening to match the time. B names the wrong time of day, A sounds rushed and C sounds like a machine.</t>
  </si>
  <si>
    <t xml:space="preserve">today / your / Thanks / Lee / time / for / Mr</t>
  </si>
  <si>
    <t xml:space="preserve">Thanks for your time today Mr Lee</t>
  </si>
  <si>
    <t xml:space="preserve">Call karne ke liye shukriya, Ms Patel. Aapka din accha ho.</t>
  </si>
  <si>
    <t xml:space="preserve">Thanks for calling, Ms Patel. Have a great day.</t>
  </si>
  <si>
    <t xml:space="preserve">Thanks, you too. Bye.</t>
  </si>
  <si>
    <t xml:space="preserve">You're welcome, Mr Lee. Goodbye.</t>
  </si>
  <si>
    <t xml:space="preserve">Partner B has just updated Partner A's delivery address at 6 pm. A says there is nothing else. B closes with thanks, A's name and a wish that fits the time of day.</t>
  </si>
  <si>
    <t xml:space="preserve">Record three closings: one for the morning, one for the evening, and one for a call that ended without a fix.</t>
  </si>
  <si>
    <t xml:space="preserve">Did you use the caller's name? · Did your wish match the time of day? · Did "have" and "evening" have a clear "v"?</t>
  </si>
  <si>
    <t xml:space="preserve">CSV-B-015</t>
  </si>
  <si>
    <t xml:space="preserve">Understand it</t>
  </si>
  <si>
    <t xml:space="preserve">Hello? Can you hear me?</t>
  </si>
  <si>
    <t xml:space="preserve">Customer</t>
  </si>
  <si>
    <t xml:space="preserve">The call has just connected, but there was a second of silence, or your greeting was cut off on the caller's side.</t>
  </si>
  <si>
    <t xml:space="preserve">A caller says this right after the call connects. What has probably happened, and what do you say first?</t>
  </si>
  <si>
    <t xml:space="preserve">hel-LO · can-you-HEAR-me</t>
  </si>
  <si>
    <t xml:space="preserve">can_you → "ca-nyoo" · hear_me → "hee-uh-mee"</t>
  </si>
  <si>
    <t xml:space="preserve">The caller's voice rises on both parts and often sounds anxious. Answer with a clear, slightly louder "Yes, I can hear you" that falls at the end.</t>
  </si>
  <si>
    <t xml:space="preserve">In your answer "Yes, I can hear you", say "hear" as HEE-uh, the same as "here"; do not let it slide towards "hair", which is a different word.</t>
  </si>
  <si>
    <t xml:space="preserve">Uncertain, checking connection</t>
  </si>
  <si>
    <t xml:space="preserve">Unsure and slightly anxious that the call has dropped or that nobody is there.</t>
  </si>
  <si>
    <t xml:space="preserve">The caller is knocking on a door they cannot see; answer quickly so they know someone is home.</t>
  </si>
  <si>
    <t xml:space="preserve">हैलो? क्या आप मुझे सुन पा रहे हैं?</t>
  </si>
  <si>
    <t xml:space="preserve">Hello? Kya aap mujhe sun pa rahe hain?</t>
  </si>
  <si>
    <t xml:space="preserve">The caller is checking that the line works and that a real person is there.</t>
  </si>
  <si>
    <t xml:space="preserve">It usually means your greeting was cut off, you paused too long, or the line has a delay. The caller needs instant proof that you are there, not the whole script read again from the top.</t>
  </si>
  <si>
    <t xml:space="preserve">Can you hear ___?</t>
  </si>
  <si>
    <t xml:space="preserve">Can + you + hear + me? (yes/no question)</t>
  </si>
  <si>
    <t xml:space="preserve">"Can you hear me?" asks about ability right now; answer "Yes, I can."</t>
  </si>
  <si>
    <t xml:space="preserve">The caller is not being rude, just unsure. A quick, warm "Yes, I can hear you" fixes it; ignoring it and reading the script sounds robotic.</t>
  </si>
  <si>
    <t xml:space="preserve">✗ Yes, I am hearing you. → ✓ Yes, I can hear you clearly.</t>
  </si>
  <si>
    <t xml:space="preserve">"Yes, yes, I'm here, go on." — said fast and flat, it sounds impatient with a normal question.</t>
  </si>
  <si>
    <t xml:space="preserve">Instead of "Yes, yes, tell me", say "Yes, I can hear you clearly. This is Priya from [Company]. How can I help?"</t>
  </si>
  <si>
    <t xml:space="preserve">Hello? Is anyone there?</t>
  </si>
  <si>
    <t xml:space="preserve">Hi, are you there?</t>
  </si>
  <si>
    <t xml:space="preserve">Hello, can you hear me clearly?</t>
  </si>
  <si>
    <t xml:space="preserve">Yes, I can hear you clearly. This is Priya from [Company]. How can I help you today?</t>
  </si>
  <si>
    <t xml:space="preserve">Oh, sorry, there was a delay. · Is this [Company]? · Great. I'm calling about my bill.</t>
  </si>
  <si>
    <t xml:space="preserve">Customer: "Hello? I still can't hear anything!" → Agent (louder and slower): "I'm sorry about that. I can hear you. If you can't hear me, I'll call you back on this number in one minute."</t>
  </si>
  <si>
    <t xml:space="preserve">Some agents answer "Yes, I am hearing you" or "Yes, audible". International callers may not expect these; "Yes, I can hear you" is the usual form, because "hear" is rarely used with -ing in this meaning.</t>
  </si>
  <si>
    <t xml:space="preserve">Chat version: "hello?? anyone there" — answer at once: "Hi, I'm here! This is Priya. How can I help?" Email: this does not happen.</t>
  </si>
  <si>
    <t xml:space="preserve">Do not answer with only "Yes" and wait; the caller still does not know who you are, so add your name and an offer of help.</t>
  </si>
  <si>
    <t xml:space="preserve">Customer: Hello? Can you hear me? | Agent: Yes, I can hear you clearly. This is Priya from [Company]. How can I help? | Customer: Oh good. I'm calling about my bill. | Agent: Sure, I can help with that.</t>
  </si>
  <si>
    <t xml:space="preserve">Fill dead air quickly: tell the caller you are there and who you are.</t>
  </si>
  <si>
    <t xml:space="preserve">Yes, I ____ hear you clearly. This is Priya from [Company].</t>
  </si>
  <si>
    <t xml:space="preserve">can</t>
  </si>
  <si>
    <t xml:space="preserve">Right after the call connects, the caller says "Hello? Can you hear me?" What is the best reply?</t>
  </si>
  <si>
    <t xml:space="preserve">A) Yes, I am hearing you. Please tell me how I can help you today. | B) Thank you for calling [Company]. This call may be recorded for training purposes. | C) Yes, I can hear you clearly. This is Priya from [Company]. How can I help? | D) Yes, yes, I'm here, go on. Tell me quickly, what do you want to say?</t>
  </si>
  <si>
    <t xml:space="preserve">C answers the question at once, then gives your name and an offer of help. B restarts the script and ignores what the caller asked, A uses "am hearing", but with "hear" English normally says "can hear", and D sounds impatient.</t>
  </si>
  <si>
    <t xml:space="preserve">hear / clearly / I / you / can / Yes</t>
  </si>
  <si>
    <t xml:space="preserve">Yes I can hear you clearly</t>
  </si>
  <si>
    <t xml:space="preserve">Haan, main aapko saaf sun pa rahi hoon. Bataiye, main kya madad kar sakti hoon?</t>
  </si>
  <si>
    <t xml:space="preserve">Yes, I can hear you clearly. How can I help you?</t>
  </si>
  <si>
    <t xml:space="preserve">Oh, sorry, there was a delay. I'm calling about my bill.</t>
  </si>
  <si>
    <t xml:space="preserve">That's fine. I can help with your bill. Could I have your full name, please?</t>
  </si>
  <si>
    <t xml:space="preserve">Partner A calls and, after a short silence, says "Hello? Can you hear me?" Partner B answers at once, gives their name and the company, and asks how to help.</t>
  </si>
  <si>
    <t xml:space="preserve">Record your reply to "Hello? Can you hear me?" at normal speed, then again louder and slower, as if the line is weak.</t>
  </si>
  <si>
    <t xml:space="preserve">Did you answer the question before anything else? · Did you say "I can hear you", not "I am hearing you"? · Did you give your name?</t>
  </si>
  <si>
    <t xml:space="preserve">CSV-B-016</t>
  </si>
  <si>
    <t xml:space="preserve">I'm calling about my order.</t>
  </si>
  <si>
    <t xml:space="preserve">A caller opens with this line after your greeting and gives no further detail yet.</t>
  </si>
  <si>
    <t xml:space="preserve">A caller opens with a short line about something they bought. What do they want, and what do you need from them first?</t>
  </si>
  <si>
    <t xml:space="preserve">i'm-CALL-ing-a-BOUT · my-OR-der</t>
  </si>
  <si>
    <t xml:space="preserve">calling_about → "caw-ling-uh-bout" · about_my → "uh-bou-my"</t>
  </si>
  <si>
    <t xml:space="preserve">Usually neutral and falling; a rise on "order" may mean they expect you to know already. Listen for worry or anger in the voice.</t>
  </si>
  <si>
    <t xml:space="preserve">In your reply, "order" is OR-der with stress on the first part and a weak "-der"; avoid a heavy retroflex "d" that makes it sound like "or-DAR".</t>
  </si>
  <si>
    <t xml:space="preserve">Neutral, opening a topic</t>
  </si>
  <si>
    <t xml:space="preserve">Could be calm, worried or annoyed; listen to the voice before you decide.</t>
  </si>
  <si>
    <t xml:space="preserve">"My order" is a closed box; your first question is the key that opens it.</t>
  </si>
  <si>
    <t xml:space="preserve">मैं अपने ऑर्डर के बारे में कॉल कर रहा/रही हूँ।</t>
  </si>
  <si>
    <t xml:space="preserve">Main apne order ke baare mein call kar raha/rahi hoon.</t>
  </si>
  <si>
    <t xml:space="preserve">The caller has a question or problem about something they bought, but has not said what yet.</t>
  </si>
  <si>
    <t xml:space="preserve">The caller has named the topic, not the problem. They might need tracking, a change, a return or a complaint, so you need the order number and one open question before you guess.</t>
  </si>
  <si>
    <t xml:space="preserve">I'm calling about ___.</t>
  </si>
  <si>
    <t xml:space="preserve">I'm + calling + about + noun</t>
  </si>
  <si>
    <t xml:space="preserve">"Calling about" means "the reason for my call is".</t>
  </si>
  <si>
    <t xml:space="preserve">The line itself is neutral. Answering "What about your order?" sharply sounds impatient; a warm "Sure, I can help" sounds ready.</t>
  </si>
  <si>
    <t xml:space="preserve">✗ Tell me, what is the issue with order? → ✓ Sure, I can help with that. What's happening with your order?</t>
  </si>
  <si>
    <t xml:space="preserve">"Which order? We have many orders." — it may be true, but it suggests the caller has wasted your time.</t>
  </si>
  <si>
    <t xml:space="preserve">Instead of "What is your problem with the order?", say "Sure, I can help with that. Could you tell me what's happening with your order?"</t>
  </si>
  <si>
    <t xml:space="preserve">Hi, it's about an order I placed last week.</t>
  </si>
  <si>
    <t xml:space="preserve">I've got a question about my delivery.</t>
  </si>
  <si>
    <t xml:space="preserve">I'm phoning regarding an order I placed on your website.</t>
  </si>
  <si>
    <t xml:space="preserve">Sure, I can help with that. Could you give me your order number and tell me what's happening?</t>
  </si>
  <si>
    <t xml:space="preserve">It hasn't arrived yet. · I want to cancel it. · I got the wrong item.</t>
  </si>
  <si>
    <t xml:space="preserve">Customer: "Can't you just see it? I gave my phone number already." → Agent: "You're right, and I'm sorry to ask again. I can find it from your number. To protect your account, could you confirm the email address on it? Then I'll pull up your recent orders."</t>
  </si>
  <si>
    <t xml:space="preserve">Indian callers may say "I have one query regarding my order"; international callers say "I'm calling about my order" or "It's about my order". Both mean the same thing, so respond to the problem, not the wording.</t>
  </si>
  <si>
    <t xml:space="preserve">Chat version: "hi its about my order" — reply: "Hi! I can help with that. Could you share your order number and what's happening?" Email: the subject may just say "Order SO37542", so read the body for the actual problem.</t>
  </si>
  <si>
    <t xml:space="preserve">Do not treat it as a tracking question before you ask; the caller may want to cancel, return or complain.</t>
  </si>
  <si>
    <t xml:space="preserve">Customer: Hi, I'm calling about my order. | Agent: Sure, I can help with that. Could you give me your order number and tell me what's happening? | Customer: It's SO37542, and it hasn't arrived. | Agent: Thank you. Let me check where it is.</t>
  </si>
  <si>
    <t xml:space="preserve">Listen fully and ask an open question before solving; do not assume the problem.</t>
  </si>
  <si>
    <t xml:space="preserve">Sure, I can help with that. Could you give me your order number and ____ me what's happening?</t>
  </si>
  <si>
    <t xml:space="preserve">tell</t>
  </si>
  <si>
    <t xml:space="preserve">A caller says only "I'm calling about my order." What should you do first?</t>
  </si>
  <si>
    <t xml:space="preserve">A) Ask for the order number and what is happening with it. | B) Offer a discount on their next order, to keep them happy. | C) Transfer the call to a manager, in case it is serious. | D) Start the cancellation process, in case they want that.</t>
  </si>
  <si>
    <t xml:space="preserve">They have only named the topic, so you need the order and the real problem first. B, C and D all guess at a request the caller has not made.</t>
  </si>
  <si>
    <t xml:space="preserve">happening / tell / with / me / Could / what's / your / you / order</t>
  </si>
  <si>
    <t xml:space="preserve">Could you tell me what's happening with your order</t>
  </si>
  <si>
    <t xml:space="preserve">Main apne order ke baare mein call kar raha hoon. Woh abhi tak nahin aaya.</t>
  </si>
  <si>
    <t xml:space="preserve">I'm calling about my order. It hasn't arrived yet.</t>
  </si>
  <si>
    <t xml:space="preserve">It was supposed to come yesterday.</t>
  </si>
  <si>
    <t xml:space="preserve">I'm sorry it hasn't arrived. Could I have the order number so I can check where it is?</t>
  </si>
  <si>
    <t xml:space="preserve">Partner A says only "I'm calling about my order" and waits. Partner B reassures A, asks for the order number and asks an open question to find the real problem (A wants to change the size).</t>
  </si>
  <si>
    <t xml:space="preserve">Record your reply to "I'm calling about my order", including the open question you use to find the real problem.</t>
  </si>
  <si>
    <t xml:space="preserve">Did you ask what is happening instead of guessing? · Did you ask for the order number? · Did your tone sound ready to help, not impatient?</t>
  </si>
  <si>
    <t xml:space="preserve">CSV-B-017</t>
  </si>
  <si>
    <t xml:space="preserve">Escalate</t>
  </si>
  <si>
    <t xml:space="preserve">I want to speak to your manager.</t>
  </si>
  <si>
    <t xml:space="preserve">A customer whose refund has been delayed twice interrupts you with this line.</t>
  </si>
  <si>
    <t xml:space="preserve">An upset caller demands to talk to someone senior. What do they really want, and how do you answer?</t>
  </si>
  <si>
    <t xml:space="preserve">i-WANT-to-SPEAK · to-your-MAN-a-ger</t>
  </si>
  <si>
    <t xml:space="preserve">want_to → "wan-tuh" · speak_to → "spee-ktuh" · your_manager → "yor-man-uh-jer"</t>
  </si>
  <si>
    <t xml:space="preserve">Usually firm and falling, sometimes loud. Answer more slowly and in a lower voice than the caller, without a rising "but…".</t>
  </si>
  <si>
    <t xml:space="preserve">In your reply, "manager" is MAN-uh-jer, with stress on the first part; avoid "ma-NAY-jar" with the stress in the middle.</t>
  </si>
  <si>
    <t xml:space="preserve">Firm, frustrated demand</t>
  </si>
  <si>
    <t xml:space="preserve">Frustrated, feels unheard, and doubts that you have the power to help.</t>
  </si>
  <si>
    <t xml:space="preserve">"Manager" often means "Someone, please take me seriously"; answer the feeling before the job title.</t>
  </si>
  <si>
    <t xml:space="preserve">मैं आपके मैनेजर से बात करना चाहता/चाहती हूँ।</t>
  </si>
  <si>
    <t xml:space="preserve">Main aapke manager se baat karna chahta/chahti hoon.</t>
  </si>
  <si>
    <t xml:space="preserve">The customer wants someone with more authority to handle their problem.</t>
  </si>
  <si>
    <t xml:space="preserve">Usually the caller feels stuck and unheard, not angry at you personally. Acknowledge that, say what you can do now, and if they still ask, arrange it; Zendesk's chat-etiquette guidance is to transfer to a supervisor if the customer asks.</t>
  </si>
  <si>
    <t xml:space="preserve">I want to speak to ___.</t>
  </si>
  <si>
    <t xml:space="preserve">I + want + to + base verb</t>
  </si>
  <si>
    <t xml:space="preserve">"Want to + verb" states a clear wish; on the phone it sounds stronger than "I'd like to".</t>
  </si>
  <si>
    <t xml:space="preserve">The caller sounds blunt because they are upset. Arguing ("There's no need for that") makes it worse; a calm, honest reply lowers the heat.</t>
  </si>
  <si>
    <t xml:space="preserve">✗ Sir, calm down, manager is not available. → ✓ I can see why you'd want that. Let me arrange it for you.</t>
  </si>
  <si>
    <t xml:space="preserve">"My manager will only tell you what I told you." — it dismisses the request and makes the caller feel trapped.</t>
  </si>
  <si>
    <t xml:space="preserve">Instead of "The manager is busy", say "I can see why you'd want that. Let me arrange it, and I'll explain what happens next."</t>
  </si>
  <si>
    <t xml:space="preserve">Can I talk to someone senior, please?</t>
  </si>
  <si>
    <t xml:space="preserve">Put me through to your supervisor.</t>
  </si>
  <si>
    <t xml:space="preserve">I would like to escalate this to your manager, please.</t>
  </si>
  <si>
    <t xml:space="preserve">I can see why you'd want that, after two delays. I'll arrange it. Can I first tell you what I can do for you right now?</t>
  </si>
  <si>
    <t xml:space="preserve">Fine, go on. · No, I want the manager now. · I've already heard enough excuses.</t>
  </si>
  <si>
    <t xml:space="preserve">Customer: "No, I want the manager now." → Agent: "Of course. I'll explain your case to my supervisor so you don't need to repeat it. It will take about three minutes. Could you hold, please?"</t>
  </si>
  <si>
    <t xml:space="preserve">Agents sometimes try to avoid an escalation with lines like "No need for manager, I will help you". International callers see asking for a manager as a normal request, so blocking it tends to make them angrier.</t>
  </si>
  <si>
    <t xml:space="preserve">Chat version: "i want to talk to ur manager" — reply: "I understand. I'll pass this to my supervisor now. Could you stay in this chat for a few minutes?" Email: say who will reply and by when.</t>
  </si>
  <si>
    <t xml:space="preserve">Do not keep offering your own fix after the caller has asked twice; arrange the escalation then.</t>
  </si>
  <si>
    <t xml:space="preserve">Customer: I want to speak to your manager. | Agent: I can see why you'd want that, after two delays. I'll arrange it. Can I first tell you what I can do right now? | Customer: Fine, go on. | Agent: I can mark your refund as urgent and call you back by 5 pm today.</t>
  </si>
  <si>
    <t xml:space="preserve">Pass to a supervisor if the customer asks (Zendesk chat etiquette); acknowledge the feeling first, never say "calm down".</t>
  </si>
  <si>
    <t xml:space="preserve">I can see ____ you'd want that. I'll arrange it for you.</t>
  </si>
  <si>
    <t xml:space="preserve">why</t>
  </si>
  <si>
    <t xml:space="preserve">A caller says, "I want to speak to your manager." What is the best first reply?</t>
  </si>
  <si>
    <t xml:space="preserve">A) I understand you are upset, but please calm down so that I can help you properly. | B) I'm sorry, but my manager is in meetings all day, so I can't arrange that today. | C) I can see why you'd want that. I'll arrange it. Can I first tell you what I can do right now? | D) There is no need for a manager. I can handle this myself, so please tell me the problem.</t>
  </si>
  <si>
    <t xml:space="preserve">C acknowledges the feeling, agrees to the request and offers help now. A tells them how to feel, B blocks the request with an excuse, and D refuses what they asked for.</t>
  </si>
  <si>
    <t xml:space="preserve">why / I / can / you'd / see / that / want</t>
  </si>
  <si>
    <t xml:space="preserve">I can see why you'd want that</t>
  </si>
  <si>
    <t xml:space="preserve">Main samajh sakti hoon aap manager se baat kyun karna chahte hain. Main arrange karti hoon.</t>
  </si>
  <si>
    <t xml:space="preserve">I can see why you'd want to speak to my manager. I'll arrange it.</t>
  </si>
  <si>
    <t xml:space="preserve">Fine. But I don't want to explain everything again.</t>
  </si>
  <si>
    <t xml:space="preserve">You won't have to. I'll give my supervisor the details of your two delays before I connect you. Could you hold for about three minutes?</t>
  </si>
  <si>
    <t xml:space="preserve">Partner A's refund has been delayed twice and A demands a manager. Partner B acknowledges the feeling, offers one concrete action, and when A insists, arranges a warm transfer with a time estimate.</t>
  </si>
  <si>
    <t xml:space="preserve">Record your reply to "I want to speak to your manager", then your reply when the caller insists a second time.</t>
  </si>
  <si>
    <t xml:space="preserve">Did you acknowledge the feeling first? · Did you avoid "calm down" and an outright refusal? · Did you give a time for the hold or callback?</t>
  </si>
  <si>
    <t xml:space="preserve">CSV-B-018</t>
  </si>
  <si>
    <t xml:space="preserve">My payment didn't go through.</t>
  </si>
  <si>
    <t xml:space="preserve">A customer calls while trying to pay for their phone plan online.</t>
  </si>
  <si>
    <t xml:space="preserve">A customer says their money "didn't go through". What exactly might have happened, and what do you check?</t>
  </si>
  <si>
    <t xml:space="preserve">my-PAY-ment · didn't-go-THROUGH</t>
  </si>
  <si>
    <t xml:space="preserve">didn't_go → "didn-go" · go_through → "go-throo"</t>
  </si>
  <si>
    <t xml:space="preserve">Usually falling, with the main stress on "through", and often worried. Reply calmly and clearly, with rising yes/no questions to check details.</t>
  </si>
  <si>
    <t xml:space="preserve">When you repeat "through", start with a voiceless "th" (tongue between the teeth, no voice) and say "throo"; it must not sound like "true".</t>
  </si>
  <si>
    <t xml:space="preserve">Worried, reporting a problem</t>
  </si>
  <si>
    <t xml:space="preserve">Worried about losing money or being charged twice.</t>
  </si>
  <si>
    <t xml:space="preserve">The payment is a parcel stuck at the bank's gate: did it leave the house, or did it never start?</t>
  </si>
  <si>
    <t xml:space="preserve">मेरा पेमेंट नहीं हो पाया।</t>
  </si>
  <si>
    <t xml:space="preserve">Mera payment nahin ho paaya.</t>
  </si>
  <si>
    <t xml:space="preserve">The customer tried to pay, but the payment failed or they are not sure it worked.</t>
  </si>
  <si>
    <t xml:space="preserve">"Didn't go through" can mean declined with no money taken, or money taken with no confirmation. The real worry is often "Have I lost money?", so ask what they saw and whether money left their account.</t>
  </si>
  <si>
    <t xml:space="preserve">___ didn't go through.</t>
  </si>
  <si>
    <t xml:space="preserve">Subject + didn't + go through (phrasal verb, past)</t>
  </si>
  <si>
    <t xml:space="preserve">"Go through" here means "be accepted and completed".</t>
  </si>
  <si>
    <t xml:space="preserve">The customer is worried, not blaming you yet. A calm question shows you understand; "It must be your bank" brushes them off.</t>
  </si>
  <si>
    <t xml:space="preserve">✗ I'm sorry your payment is not go through. Did you saw any error? → ✓ I'm sorry your payment didn't go through. Did you see an error message?</t>
  </si>
  <si>
    <t xml:space="preserve">"That's your bank's problem, not ours." — it may not be true, and it leaves a worried customer with nowhere to go.</t>
  </si>
  <si>
    <t xml:space="preserve">Instead of "Payment failed, try again", say "I'm sorry the payment didn't go through. Let me check whether any money was taken."</t>
  </si>
  <si>
    <t xml:space="preserve">My card got declined.</t>
  </si>
  <si>
    <t xml:space="preserve">It took the money but says the payment failed.</t>
  </si>
  <si>
    <t xml:space="preserve">I attempted to make a payment, but the transaction was not completed.</t>
  </si>
  <si>
    <t xml:space="preserve">I'm sorry the payment didn't go through. Did you see an error message, and has any money left your account?</t>
  </si>
  <si>
    <t xml:space="preserve">It just said "transaction failed". · The money's gone from my account though. · I've tried three times.</t>
  </si>
  <si>
    <t xml:space="preserve">Customer: "I've tried three times and you've taken my money!" → Agent: "I understand why that's worrying. Let me check right now whether any payment reached us, and I'll tell you exactly what I see."</t>
  </si>
  <si>
    <t xml:space="preserve">Indian customers often say "payment is failed" or "amount got debited". International customers say "it didn't go through" or "it was declined"; in both cases, listen for whether money actually left the account.</t>
  </si>
  <si>
    <t xml:space="preserve">Chat version: "payment didnt go thru" — reply: "Sorry about that! Did you get an error message? Has any money left your account?" Email: ask for the date, the amount and any error text.</t>
  </si>
  <si>
    <t xml:space="preserve">Do not assume no money was taken; always ask, because a failed payment can still show as pending on the customer's account.</t>
  </si>
  <si>
    <t xml:space="preserve">Customer: My payment didn't go through. | Agent: I'm sorry it didn't go through. Did you see an error message, and has any money left your account? | Customer: It said "declined", and nothing's gone. | Agent: Thank you. Let me check on my side that nothing was taken. Then we can try another way to pay.</t>
  </si>
  <si>
    <t xml:space="preserve">Listen and ask before you solve; check the facts, then explain the next step clearly.</t>
  </si>
  <si>
    <t xml:space="preserve">I'm sorry the payment didn't go ____. Did you see an error message?</t>
  </si>
  <si>
    <t xml:space="preserve">through</t>
  </si>
  <si>
    <t xml:space="preserve">A customer says "My payment didn't go through." What are they most likely worried about?</t>
  </si>
  <si>
    <t xml:space="preserve">A) Whether money has been taken without the order going through. | B) Whether the shop will give them a discount for the trouble. | C) Whether the agent can explain how card payments work. | D) Whether their order will be delivered to the right address.</t>
  </si>
  <si>
    <t xml:space="preserve">A failed payment makes many people fear that money has gone without an order. B, C and D are not the first worry when a payment fails.</t>
  </si>
  <si>
    <t xml:space="preserve">through / payment / the / sorry / didn't / I'm / go</t>
  </si>
  <si>
    <t xml:space="preserve">I'm sorry the payment didn't go through</t>
  </si>
  <si>
    <t xml:space="preserve">Kya aapko koi error message dikha? Kya aapke account se paise kate?</t>
  </si>
  <si>
    <t xml:space="preserve">Did you see an error message? Has any money left your account?</t>
  </si>
  <si>
    <t xml:space="preserve">It says "declined", but my card works everywhere else.</t>
  </si>
  <si>
    <t xml:space="preserve">Thank you. Sometimes a bank stops one payment as a safety check, even when the card works elsewhere. Would you like to try once more, or pay with a different card?</t>
  </si>
  <si>
    <t xml:space="preserve">Partner A's payment for a phone plan failed and A thinks money was taken. Partner B asks what A saw, checks whether money left the account, and explains the next step.</t>
  </si>
  <si>
    <t xml:space="preserve">Record your reply to "My payment didn't go through", including both questions you ask to understand what happened.</t>
  </si>
  <si>
    <t xml:space="preserve">Did you ask whether money was taken? · Did you avoid blaming the bank? · Did "through" start with a soft "th"?</t>
  </si>
  <si>
    <t xml:space="preserve">CSV-B-019</t>
  </si>
  <si>
    <t xml:space="preserve">Hang on a sec, let me find it.</t>
  </si>
  <si>
    <t xml:space="preserve">You asked for the order number, and the customer needs a moment to look for it.</t>
  </si>
  <si>
    <t xml:space="preserve">The customer goes off to look for something you asked for. What do they mean, and what do you say?</t>
  </si>
  <si>
    <t xml:space="preserve">HANG-ON · a-SEC · let-me-FIND-it</t>
  </si>
  <si>
    <t xml:space="preserve">hang_on → "ha-ngon" (the ng slides into "on", no hard g) · let_me → "lem-mee" · find_it → "fine-dit"</t>
  </si>
  <si>
    <t xml:space="preserve">Quick and casual, falling at the end; the customer is busy searching. Your reply should be short and relaxed, not hurried.</t>
  </si>
  <si>
    <t xml:space="preserve">Listen for the word after "hang": "hang ON" (short o) means wait, and "hang UP" (u as in cup) means end the call. Say the "ng" in "hang" as one nasal sound, with no hard "g".</t>
  </si>
  <si>
    <t xml:space="preserve">Casual, busy, cooperative</t>
  </si>
  <si>
    <t xml:space="preserve">3</t>
  </si>
  <si>
    <t xml:space="preserve">Cooperative but a little flustered while searching.</t>
  </si>
  <si>
    <t xml:space="preserve">The customer is rummaging in a drawer; you just keep the light on and wait quietly.</t>
  </si>
  <si>
    <t xml:space="preserve">एक सेकंड रुकिए, मैं ढूँढ़ता/ढूँढ़ती हूँ।</t>
  </si>
  <si>
    <t xml:space="preserve">Ek second rukiye, main dhoondhta/dhoondhti hoon.</t>
  </si>
  <si>
    <t xml:space="preserve">Please wait a short time while I look for it.</t>
  </si>
  <si>
    <t xml:space="preserve">The customer is asking you to wait, the reverse of a hold. They may feel rushed, so a calm "Take your time" relaxes them, and a gentle check-in after a long silence shows you are still there.</t>
  </si>
  <si>
    <t xml:space="preserve">Hang on a ___.</t>
  </si>
  <si>
    <t xml:space="preserve">Hang on (informal phrasal verb) + a sec · Let me + base verb</t>
  </si>
  <si>
    <t xml:space="preserve">"Hang on" means "wait"; "a sec" is short for "a second", but it often means a minute or more.</t>
  </si>
  <si>
    <t xml:space="preserve">It is informal but not rude. Do not copy it back; reply politely with "Of course, take your time."</t>
  </si>
  <si>
    <t xml:space="preserve">✗ Okay, fast please, I have other calls. → ✓ Of course, take your time. I'm right here.</t>
  </si>
  <si>
    <t xml:space="preserve">"Hurry up, please." — it makes the customer feel rushed, and they may read out the wrong number.</t>
  </si>
  <si>
    <t xml:space="preserve">Instead of "Okay, do it fast", say "Of course, take your time. I'm right here."</t>
  </si>
  <si>
    <t xml:space="preserve">Give me a minute, I'll grab it.</t>
  </si>
  <si>
    <t xml:space="preserve">One moment, it's in my emails somewhere.</t>
  </si>
  <si>
    <t xml:space="preserve">Could you give me a moment, please? I need to find the number.</t>
  </si>
  <si>
    <t xml:space="preserve">Of course, take your time. I'm right here.</t>
  </si>
  <si>
    <t xml:space="preserve">Okay, found it. · Sorry, I can't find it anywhere. · Is it the long number or the short one?</t>
  </si>
  <si>
    <t xml:space="preserve">Customer: "I can't find it anywhere." → Agent: "That's okay, I can find it another way. Could you give me the email address you ordered with?"</t>
  </si>
  <si>
    <t xml:space="preserve">Indian callers might say "One minute, please" or "Just wait". International callers often say "Hang on" or "Bear with me". All mean the same thing: wait, I am looking.</t>
  </si>
  <si>
    <t xml:space="preserve">Chat version: "hang on lemme check" — reply: "Sure, take your time." Email: not used; the customer simply replies later.</t>
  </si>
  <si>
    <t xml:space="preserve">Do not stay silent for a long time after "Take your time"; if the silence goes on, check in gently: "Any luck finding it?"</t>
  </si>
  <si>
    <t xml:space="preserve">Customer: Hang on a sec, let me find it. | Agent: Of course, take your time. I'm right here. | Customer: Okay, here it is: SO48210. | Agent: Thank you. Let me pull that up.</t>
  </si>
  <si>
    <t xml:space="preserve">Fill silence gently: tell the caller you are there, and check in if the wait goes on.</t>
  </si>
  <si>
    <t xml:space="preserve">Of course, take your ____. I'm right here.</t>
  </si>
  <si>
    <t xml:space="preserve">time</t>
  </si>
  <si>
    <t xml:space="preserve">The customer says "Hang on a sec, let me find it." What do they want?</t>
  </si>
  <si>
    <t xml:space="preserve">A) They want you to wait on the line while they look for it. | B) They want to end the call and phone you back later. | C) They want you to search for it in your system instead. | D) They want to be passed to someone who can find it.</t>
  </si>
  <si>
    <t xml:space="preserve">"Hang on" means wait, and "let me find it" means they are searching. B confuses "hang on" with "hang up", C swaps who does the searching, and D asks for a transfer nobody mentioned.</t>
  </si>
  <si>
    <t xml:space="preserve">time / your / take / course / Of</t>
  </si>
  <si>
    <t xml:space="preserve">Of course take your time</t>
  </si>
  <si>
    <t xml:space="preserve">Koi baat nahin, aap aaram se dhoondhiye. Main line par hoon.</t>
  </si>
  <si>
    <t xml:space="preserve">Of course, take your time. I'm still on the line.</t>
  </si>
  <si>
    <t xml:space="preserve">Is it the long number or the short one?</t>
  </si>
  <si>
    <t xml:space="preserve">It's the longer one. It starts with the letters SO and it's in the subject line of your confirmation email.</t>
  </si>
  <si>
    <t xml:space="preserve">Partner B asks for an order number. Partner A says "Hang on a sec, let me find it" and searches for a while. B reassures A, checks in once, and offers another way when A cannot find it.</t>
  </si>
  <si>
    <t xml:space="preserve">Record your reply to "Hang on a sec, let me find it", then the gentle check-in you say if the silence goes on.</t>
  </si>
  <si>
    <t xml:space="preserve">Did you sound relaxed, not rushed? · Did you understand "hang on" as "wait", not "hang up"? · Did you offer another way if they cannot find it?</t>
  </si>
  <si>
    <t xml:space="preserve">CSV-B-020</t>
  </si>
  <si>
    <t xml:space="preserve">Difficult customer</t>
  </si>
  <si>
    <t xml:space="preserve">You already asked me that.</t>
  </si>
  <si>
    <t xml:space="preserve">After a transfer, the customer is asked for their account number a second time.</t>
  </si>
  <si>
    <t xml:space="preserve">An irritated caller says you are repeating a question. What are they feeling, and what do you say next?</t>
  </si>
  <si>
    <t xml:space="preserve">you · al-READ-y · ASKED-me · THAT</t>
  </si>
  <si>
    <t xml:space="preserve">already_asked → "awl-red-ee-askt" · asked_me → "ask-mee"</t>
  </si>
  <si>
    <t xml:space="preserve">Usually flat and falling, with stress on "already"; it signals irritation. Reply more slowly and softly, without defending yourself.</t>
  </si>
  <si>
    <t xml:space="preserve">"Asked" is one syllable, "askt", ending in s-k-t; avoid "ask" or "aas-ked". Hear it in the customer's line and say it right in yours.</t>
  </si>
  <si>
    <t xml:space="preserve">Irritated, impatient</t>
  </si>
  <si>
    <t xml:space="preserve">Irritated and tired of repeating themselves; feels the company is not listening.</t>
  </si>
  <si>
    <t xml:space="preserve">Every repeated question is a stone in the customer's shoe; say sorry for the stone, then take it out.</t>
  </si>
  <si>
    <t xml:space="preserve">आप यह मुझसे पहले ही पूछ चुके/चुकी हैं।</t>
  </si>
  <si>
    <t xml:space="preserve">Aap yeh mujhse pehle hi poochh chuke/chuki hain.</t>
  </si>
  <si>
    <t xml:space="preserve">You asked me this before, and I am annoyed to answer again.</t>
  </si>
  <si>
    <t xml:space="preserve">The customer feels the company does not listen or share notes. CEB/Gartner's customer-effort research found that cutting customer effort predicts loyalty better than "delighting" customers, so apologise, use what they already gave, or give a one-line reason if you must ask again.</t>
  </si>
  <si>
    <t xml:space="preserve">You already ___ that.</t>
  </si>
  <si>
    <t xml:space="preserve">You + already + past simple (common in American English) / You have already + past participle (British)</t>
  </si>
  <si>
    <t xml:space="preserve">"Already" means it happened before now; here it carries annoyance.</t>
  </si>
  <si>
    <t xml:space="preserve">The customer is blunt because they are frustrated. "It's the process" makes it worse; a short apology and a reason sound respectful.</t>
  </si>
  <si>
    <t xml:space="preserve">✗ Sir, it is the process, you have to tell again. → ✓ You're right, I'm sorry. I can see it in the notes now.</t>
  </si>
  <si>
    <t xml:space="preserve">"It's our process to ask again." — it hides behind process and gives no reason the customer cares about.</t>
  </si>
  <si>
    <t xml:space="preserve">Instead of "It's mandatory, please tell again", say "You're right, and I'm sorry you've had to repeat it. I'll use the details you gave earlier."</t>
  </si>
  <si>
    <t xml:space="preserve">I've already told the last person this.</t>
  </si>
  <si>
    <t xml:space="preserve">Why do I keep having to repeat myself?</t>
  </si>
  <si>
    <t xml:space="preserve">I believe I have already provided that information.</t>
  </si>
  <si>
    <t xml:space="preserve">You're right, and I'm sorry you've had to repeat it. I have your account number from earlier, so let's carry on.</t>
  </si>
  <si>
    <t xml:space="preserve">Thank you. · This is the third time today! · Fine, it's 22019.</t>
  </si>
  <si>
    <t xml:space="preserve">Customer: "This is the third time today!" → Agent: "I'm sorry, that's frustrating. I'll add everything to your account notes now so the next person can see it."</t>
  </si>
  <si>
    <t xml:space="preserve">Agents sometimes answer "It's mandatory, please tell again" after a transfer. International customers may not expect this; they expect the details to travel with the transfer, or a reason in plain words if you must ask again.</t>
  </si>
  <si>
    <t xml:space="preserve">Chat version: "i already told u that" — reply: "You're right, sorry! I can see it above. Let me carry on." Email: quote what they sent instead of asking again.</t>
  </si>
  <si>
    <t xml:space="preserve">Do not ignore it and simply repeat the question; if you truly must ask again for security, say why in one sentence.</t>
  </si>
  <si>
    <t xml:space="preserve">Customer: You already asked me that. | Agent: You're right, and I'm sorry you've had to repeat it. I have your account number from earlier. | Customer: Okay. So can you fix my bill? | Agent: I'll look at your bill now and tell you what I can do.</t>
  </si>
  <si>
    <t xml:space="preserve">Reduce customer effort: do not make the customer repeat themselves (CEB/Gartner effort research).</t>
  </si>
  <si>
    <t xml:space="preserve">You're right, and I'm ____ you've had to repeat it.</t>
  </si>
  <si>
    <t xml:space="preserve">After a transfer, the customer says "You already asked me that." What is the best response?</t>
  </si>
  <si>
    <t xml:space="preserve">A) You're right, and I'm sorry you've had to repeat it. I have your details from earlier. | B) It is mandatory to ask again after every transfer, so please repeat it once more. | C) That was a different department, not me, so I have to ask you again myself now. | D) Please be patient, sir. I only need your account number one more time, then I can help.</t>
  </si>
  <si>
    <t xml:space="preserve">A agrees, apologises and uses the details already given. B hides behind a rule, C blames another team, and D asks again with no reason.</t>
  </si>
  <si>
    <t xml:space="preserve">right / You're / and / sorry / I'm</t>
  </si>
  <si>
    <t xml:space="preserve">You're right and I'm sorry</t>
  </si>
  <si>
    <t xml:space="preserve">Aap sahi keh rahe hain, maaf kijiye. Mere paas aapka number pehle se hai.</t>
  </si>
  <si>
    <t xml:space="preserve">You're right, I'm sorry. I already have your number.</t>
  </si>
  <si>
    <t xml:space="preserve">Good. So can you sort out my bill now?</t>
  </si>
  <si>
    <t xml:space="preserve">I can see an extra charge from March. I'll look at it now and tell you what I can do.</t>
  </si>
  <si>
    <t xml:space="preserve">Partner A was transferred and is asked for an account number again. A says "You already asked me that." Partner B apologises, uses the earlier details or gives a one-line security reason, and moves on.</t>
  </si>
  <si>
    <t xml:space="preserve">Record your reply to "You already asked me that" in two versions: one when you have the details, one when you must ask again for security.</t>
  </si>
  <si>
    <t xml:space="preserve">Did you agree and say sorry first? · Did you avoid "process" and "mandatory"? · Did "asked" end in a clear "kt"?</t>
  </si>
  <si>
    <t xml:space="preserve">CSV-I-001</t>
  </si>
  <si>
    <t xml:space="preserve">Intermediate</t>
  </si>
  <si>
    <t xml:space="preserve">So, if I've understood correctly, your internet stopped working after last night's update. Is that right?</t>
  </si>
  <si>
    <t xml:space="preserve">The caller has spent a minute explaining that their internet died after an update, and you want to confirm the details before you troubleshoot.</t>
  </si>
  <si>
    <t xml:space="preserve">The caller has just told you a long story about a fault. Before you try to fix anything, what do you say to check you heard it right?</t>
  </si>
  <si>
    <t xml:space="preserve">so · if-i've-un-der-STOOD-cor-RECT-ly · your-IN-ter-net-STOPPED-WORK-ing · af-ter-LAST-night's-UP-date · is-that-RIGHT</t>
  </si>
  <si>
    <t xml:space="preserve">if_I've → "i-fyv" · stopped_working → "stopt-WUR-king" · last_night's → "las-NIGHTS" · is_that → "iz-that"</t>
  </si>
  <si>
    <t xml:space="preserve">Short pause after "So," and after "correctly". Even, falling tone through the summary, then a clear rise on "Is that right?" because it is a real yes/no question. Medium pace.</t>
  </si>
  <si>
    <t xml:space="preserve">"Stopped" is one syllable, "stopt", ending in a clear /t/; do not say "stop-ped". "Working" starts with rounded lips for /w/, with no teeth on the lip as in "v".</t>
  </si>
  <si>
    <t xml:space="preserve">Careful, attentive check</t>
  </si>
  <si>
    <t xml:space="preserve">Annoyed, and hoping this agent has actually listened.</t>
  </si>
  <si>
    <t xml:space="preserve">Think of a mirror: you hold the customer's own story up to them, and they nod or correct it before you touch a single wire.</t>
  </si>
  <si>
    <t xml:space="preserve">तो अगर मैंने सही समझा है, तो कल रात के अपडेट के बाद से आपका इंटरनेट काम नहीं कर रहा है। क्या यह सही है?</t>
  </si>
  <si>
    <t xml:space="preserve">To agar maine sahi samjha hai, to kal raat ke update ke baad se aapka internet kaam nahin kar raha hai. Kya yeh sahi hai?</t>
  </si>
  <si>
    <t xml:space="preserve">Let me repeat your problem in my own words: your internet broke after the update. Did I get that right?</t>
  </si>
  <si>
    <t xml:space="preserve">It proves you listened and gives the caller a chance to correct you before you start fixing the wrong thing, which saves time for both of you.</t>
  </si>
  <si>
    <t xml:space="preserve">So, if I've understood correctly, ___. Is that right?</t>
  </si>
  <si>
    <t xml:space="preserve">So, if + I've + past participle + adverb, + summary of the problem · Is that right?</t>
  </si>
  <si>
    <t xml:space="preserve">"If I've understood" uses the present perfect because your understanding matters right now.</t>
  </si>
  <si>
    <t xml:space="preserve">It sounds careful and humble, as if any mistake would be yours. A flat "So you're saying the internet just died?" can sound as if you doubt the customer.</t>
  </si>
  <si>
    <t xml:space="preserve">✗ If I understand correct, your internet is stopped after update. → ✓ If I've understood correctly, your internet stopped working after last night's update.</t>
  </si>
  <si>
    <t xml:space="preserve">"Okay, okay, I got it." It cuts the caller off and gives them no proof that you understood anything.</t>
  </si>
  <si>
    <t xml:space="preserve">Instead of "What is your problem exactly?", say "So, if I've understood correctly, your internet stopped working after the update. Is that right?"</t>
  </si>
  <si>
    <t xml:space="preserve">So the internet dropped after last night's update, and it hasn't come back since. Have I got that right?</t>
  </si>
  <si>
    <t xml:space="preserve">Just to check I understand, the connection has been down since the update last night. Is that correct?</t>
  </si>
  <si>
    <t xml:space="preserve">To make sure I have understood you correctly, your internet service has not worked since last night's update. Is that accurate?</t>
  </si>
  <si>
    <t xml:space="preserve">Thanks for confirming. Have you restarted the router since then?</t>
  </si>
  <si>
    <t xml:space="preserve">Yes, exactly. · Not quite, it was already slow before the update. · Yes, and the TV box isn't working either.</t>
  </si>
  <si>
    <t xml:space="preserve">Customer: "I just told you all that!" → Agent: "You did, and thank you. I just want to be sure of the details, because the fix depends on exactly when it stopped."</t>
  </si>
  <si>
    <t xml:space="preserve">Many Indian agents end statements with "no?" or "isn't it?" as a check. International callers may not expect this; a clear "Is that right?" with a rising tone sounds more natural to them.</t>
  </si>
  <si>
    <t xml:space="preserve">Chat: "Just to check: your internet stopped after last night's update. Is that right?" Email: summarise the issue in the first line of your reply.</t>
  </si>
  <si>
    <t xml:space="preserve">Do not paraphrase after every sentence of a long story; wait until the caller has finished, then sum up once.</t>
  </si>
  <si>
    <t xml:space="preserve">Customer: My internet hasn't worked since the update last night. | Agent: So, if I've understood correctly, your internet stopped working after last night's update. Is that right? | Customer: Yes, exactly. | Agent: Thanks for confirming. Let's start by checking the lights on your router.</t>
  </si>
  <si>
    <t xml:space="preserve">Paraphrase before solving ("If I've understood correctly, … Is that right?") so the customer can correct you early.</t>
  </si>
  <si>
    <t xml:space="preserve">So, if I've ____ (understand) correctly, your internet stopped working after last night's update. Is that right?</t>
  </si>
  <si>
    <t xml:space="preserve">understood</t>
  </si>
  <si>
    <t xml:space="preserve">The caller has finished describing a fault. Which line best checks your understanding before you start troubleshooting?</t>
  </si>
  <si>
    <t xml:space="preserve">A) Okay, I've got the picture, so let me look at your account and fix it now. | B) Sorry, could you tell me again exactly what the problem is with your internet? | C) If I've understood correctly, your internet stopped after the update. Is that right? | D) I understand completely. There is no need to explain it again, I have noted everything.</t>
  </si>
  <si>
    <t xml:space="preserve">C repeats the problem in your own words and asks a real yes/no question, so the caller can correct you. A and D claim to understand without checking, and B makes the caller start again.</t>
  </si>
  <si>
    <t xml:space="preserve">correctly / I've / So / understood / if</t>
  </si>
  <si>
    <t xml:space="preserve">So if I've understood correctly</t>
  </si>
  <si>
    <t xml:space="preserve">Agar maine sahi samjha hai, to aapka card kal se kaam nahin kar raha. Kya yeh sahi hai?</t>
  </si>
  <si>
    <t xml:space="preserve">If I've understood correctly, your card hasn't worked since yesterday. Is that right?</t>
  </si>
  <si>
    <t xml:space="preserve">Not quite, it was slow even before the update.</t>
  </si>
  <si>
    <t xml:space="preserve">Thank you for correcting me. So it was slow first, and it stopped completely after the update?</t>
  </si>
  <si>
    <t xml:space="preserve">Partner A explains a broadband fault in three or four long sentences with one extra detail. Partner B listens without interrupting, then paraphrases the whole problem and asks "Is that right?"</t>
  </si>
  <si>
    <t xml:space="preserve">Record yourself paraphrasing two different problems that a partner reads to you, each one ending with "Is that right?"</t>
  </si>
  <si>
    <t xml:space="preserve">Did you wait until the caller had finished? · Did your voice rise on "Is that right?" · Did you say "stopped" as one syllable?</t>
  </si>
  <si>
    <t xml:space="preserve">CSV-I-002</t>
  </si>
  <si>
    <t xml:space="preserve">B2</t>
  </si>
  <si>
    <t xml:space="preserve">I can see why that's frustrating, especially after waiting all week. Let me sort this out for you right now.</t>
  </si>
  <si>
    <t xml:space="preserve">The customer has waited a week for a technician who never came and is clearly fed up when they explain it.</t>
  </si>
  <si>
    <t xml:space="preserve">A customer has waited a whole week for nothing and sounds fed up. What do you say to show you understand, and what do you do straight after?</t>
  </si>
  <si>
    <t xml:space="preserve">i-can-SEE-why-that's-frus-TRAY-ting · es-PE-cial-ly-af-ter-WAIT-ing-all-WEEK · let-me-SORT-this-OUT · for-you-RIGHT-NOW</t>
  </si>
  <si>
    <t xml:space="preserve">can_see → "kun-SEE" · that's_frustrating → "thats-frus-TRAY-ting" · sort_this_out → "sor-this-OUT" · right_now → "rye-NOW"</t>
  </si>
  <si>
    <t xml:space="preserve">Slower, warm and level on the empathy part; do not sound cheerful. Falling tone on "week". Small pause, then a firmer, confident fall on "right now".</t>
  </si>
  <si>
    <t xml:space="preserve">Stress "frustrating" on the second syllable: frus-TRAY-ting, not FRUS-tra-ting. Say "that's" with the tongue lightly between the teeth for /ð/, not "dats".</t>
  </si>
  <si>
    <t xml:space="preserve">Warm empathy, then action</t>
  </si>
  <si>
    <t xml:space="preserve">Fed up, let down and doubting anyone will help.</t>
  </si>
  <si>
    <t xml:space="preserve">Picture a hand on the shoulder followed straight away by rolled-up sleeves: feel it with them, then get to work.</t>
  </si>
  <si>
    <t xml:space="preserve">मैं समझ सकता/सकती हूँ कि यह कितना परेशान करने वाला है, ख़ासकर पूरे हफ़्ते इंतज़ार करने के बाद। मैं इसे अभी आपके लिए ठीक करता/करती हूँ।</t>
  </si>
  <si>
    <t xml:space="preserve">Main samajh sakta/sakti hoon ki yeh kitna pareshan karne wala hai, khaaskar poore hafte intezaar karne ke baad. Main ise abhi aapke liye theek karta/karti hoon.</t>
  </si>
  <si>
    <t xml:space="preserve">I understand why you are upset after waiting a whole week, and I am going to fix it now.</t>
  </si>
  <si>
    <t xml:space="preserve">It names the feeling and the real reason for it (the long wait), then moves straight to action. Empathy without action sounds like a script.</t>
  </si>
  <si>
    <t xml:space="preserve">I can see why that's ___. Let me ___ for you right now.</t>
  </si>
  <si>
    <t xml:space="preserve">I can see why + clause · especially after + verb-ing · Let me + base verb</t>
  </si>
  <si>
    <t xml:space="preserve">"Especially after waiting" uses verb-ing after a preposition, so it is not "after wait".</t>
  </si>
  <si>
    <t xml:space="preserve">Naming the customer's real reason makes it personal. "Sorry for the inconvenience" sounds scripted and does not show you heard what happened.</t>
  </si>
  <si>
    <t xml:space="preserve">✗ I can understand why it is frustrating, specially after wait all week. → ✓ I can see why that's frustrating, especially after waiting all week.</t>
  </si>
  <si>
    <t xml:space="preserve">"These things happen." It brushes off a week of waiting and offers no fix.</t>
  </si>
  <si>
    <t xml:space="preserve">Instead of "Sorry for the inconvenience, these things happen", say "I can see why that's frustrating. Let me sort this out for you right now."</t>
  </si>
  <si>
    <t xml:space="preserve">I completely understand why you're upset after a week of waiting. I'll book you a new visit now.</t>
  </si>
  <si>
    <t xml:space="preserve">That must be really frustrating after waiting all week. Let's get this sorted straight away.</t>
  </si>
  <si>
    <t xml:space="preserve">I fully understand your frustration after such a long wait, and I will arrange a new appointment for you straight away.</t>
  </si>
  <si>
    <t xml:space="preserve">I'm booking the first available technician now. Would tomorrow morning or tomorrow afternoon suit you better?</t>
  </si>
  <si>
    <t xml:space="preserve">Thank you, finally someone gets it. · I've heard that before. · I don't want sympathy, I want it fixed.</t>
  </si>
  <si>
    <t xml:space="preserve">Customer: "Everyone says they understand." → Agent: "That's fair. So here is exactly what I'm doing: I'm booking a technician for tomorrow and I'll text you the time."</t>
  </si>
  <si>
    <t xml:space="preserve">Indian agents often say "I understand, sir" quickly and repeatedly. International callers may hear that as a script; one specific empathy line, followed by action, sounds more sincere.</t>
  </si>
  <si>
    <t xml:space="preserve">Chat: "I can see why that's frustrating after a week of waiting. I'm on it now." Email: put the empathy line first, then the numbered steps you are taking.</t>
  </si>
  <si>
    <t xml:space="preserve">Do not use it when the customer is only asking a neutral question, such as how to change a password; it sounds over-the-top.</t>
  </si>
  <si>
    <t xml:space="preserve">Customer: The engineer was supposed to come on Monday and nobody showed up all week! | Agent: I can see why that's frustrating, especially after waiting all week. Let me sort this out for you right now. | Customer: Okay. What can you do? | Agent: I'm booking the first slot tomorrow and I'll send you the time by text.</t>
  </si>
  <si>
    <t xml:space="preserve">Empathy line, then action: never an empathy line on its own ("I can see why that's frustrating. Here's what I'll do.").</t>
  </si>
  <si>
    <t xml:space="preserve">I can see why that's ____ (frustrate), especially after waiting all week.</t>
  </si>
  <si>
    <t xml:space="preserve">frustrating</t>
  </si>
  <si>
    <t xml:space="preserve">An upset customer has waited a week for a technician. Which reply best shows empathy and moves the call forward?</t>
  </si>
  <si>
    <t xml:space="preserve">A) Sorry for the inconvenience caused. Your patience is much appreciated, sir. | B) I can see why that's frustrating. Let me sort this out for you right now. | C) I understand, sir. These delays happen sometimes, so please be patient. | D) I'm sorry to hear that. You can check the technician times on our website.</t>
  </si>
  <si>
    <t xml:space="preserve">B names the feeling and starts the fix now. A and C are scripted and offer no action, and D sounds sympathetic but sends the customer away to do the work.</t>
  </si>
  <si>
    <t xml:space="preserve">sort / out / Let / now / this / me / right / for / you</t>
  </si>
  <si>
    <t xml:space="preserve">Let me sort this out for you right now</t>
  </si>
  <si>
    <t xml:space="preserve">Main samajh sakta hoon ki yeh kitna pareshan karne wala hai. Main abhi ise theek karta hoon.</t>
  </si>
  <si>
    <t xml:space="preserve">I can see why that's upsetting. Let me fix this for you right now.</t>
  </si>
  <si>
    <t xml:space="preserve">Fine, but I need it done this week.</t>
  </si>
  <si>
    <t xml:space="preserve">Understood. I can see a slot tomorrow morning, between eight and twelve. Shall I book it for you?</t>
  </si>
  <si>
    <t xml:space="preserve">Partner A is angry that a fridge repair visit was missed twice. Partner B gives one specific empathy line, then offers a new visit with a clear day and time.</t>
  </si>
  <si>
    <t xml:space="preserve">Record the sentence, then record a version for a missed delivery, keeping the empathy line followed by an action.</t>
  </si>
  <si>
    <t xml:space="preserve">Did you stress frus-TRAY-ting? · Did your empathy line name the real reason? · Did you follow it with a clear action?</t>
  </si>
  <si>
    <t xml:space="preserve">CSV-I-003</t>
  </si>
  <si>
    <t xml:space="preserve">Explain</t>
  </si>
  <si>
    <t xml:space="preserve">I'll take care of this for you personally, so you won't need to explain it to anyone else.</t>
  </si>
  <si>
    <t xml:space="preserve">The customer has already been passed between two departments and worries they will have to tell the story again.</t>
  </si>
  <si>
    <t xml:space="preserve">The caller fears being passed around again. What do you say to show that you own the problem from now on?</t>
  </si>
  <si>
    <t xml:space="preserve">i'll-TAKE-CARE-of-this · for-you-PER-son-al-ly · so-you-WON'T-need-to-ex-PLAIN-it · to-an-y-one-ELSE</t>
  </si>
  <si>
    <t xml:space="preserve">take_care_of → "tay-KEH-ruv" · care_of_this → "keh-ruv-THIS" · explain_it → "ex-PLAY-nit" · anyone_else → "en-ee-wun-ELSE"</t>
  </si>
  <si>
    <t xml:space="preserve">Calm, steady and slightly slower than normal. Falling tone on "personally" and on "else", which makes it a firm promise, not a question.</t>
  </si>
  <si>
    <t xml:space="preserve">"Won't" starts with rounded lips for /w/ and has a long "oh": "wohnt", not "vont" and not "want". "This" needs /ð/ with the tongue between the teeth, not "dis".</t>
  </si>
  <si>
    <t xml:space="preserve">Confident, reassuring commitment</t>
  </si>
  <si>
    <t xml:space="preserve">Tired of being transferred and afraid of starting over again.</t>
  </si>
  <si>
    <t xml:space="preserve">Imagine taking a heavy bag from the customer's hands and saying "I've got it from here": they do not carry it to another desk.</t>
  </si>
  <si>
    <t xml:space="preserve">मैं ख़ुद इसका ध्यान रखूँगा/रखूँगी, ताकि आपको किसी और को फिर से समझाना न पड़े।</t>
  </si>
  <si>
    <t xml:space="preserve">Main khud iska dhyaan rakhoonga/rakhoongi, taaki aapko kisi aur ko phir se samjhana na pade.</t>
  </si>
  <si>
    <t xml:space="preserve">I will handle this problem myself, so you do not have to tell your story again to another person.</t>
  </si>
  <si>
    <t xml:space="preserve">It shows one person is now responsible and removes the customer's biggest worry, repeating the story. "I'll" is a promise; "we'll try" is not.</t>
  </si>
  <si>
    <t xml:space="preserve">I'll take care of this for you, so you won't need to ___.</t>
  </si>
  <si>
    <t xml:space="preserve">I'll + base verb · so + you won't need to + base verb</t>
  </si>
  <si>
    <t xml:space="preserve">"I'll" here is a promise you make now; "so" shows the result for the customer.</t>
  </si>
  <si>
    <t xml:space="preserve">Saying "I" instead of "we" or "the team" sounds accountable. "Somebody will look into it" sounds like nobody owns it.</t>
  </si>
  <si>
    <t xml:space="preserve">✗ I will take care for this, you need not explain again. → ✓ I'll take care of this for you personally, so you won't need to explain it to anyone else.</t>
  </si>
  <si>
    <t xml:space="preserve">"That's not my department." It passes the problem back to the customer and sounds like you do not care.</t>
  </si>
  <si>
    <t xml:space="preserve">Instead of "We'll try to see what can be done", say "I'll take care of this for you personally, so you won't need to explain it to anyone else."</t>
  </si>
  <si>
    <t xml:space="preserve">I'm going to handle this myself from here, so you won't have to repeat any of it.</t>
  </si>
  <si>
    <t xml:space="preserve">Leave this with me. I'll look after it, and you won't need to go over it again.</t>
  </si>
  <si>
    <t xml:space="preserve">I will take personal responsibility for your case, so there is no need to explain the details to anyone else.</t>
  </si>
  <si>
    <t xml:space="preserve">I've got all the notes here. I'll call you by five o'clock today with an update.</t>
  </si>
  <si>
    <t xml:space="preserve">Thank you, that's a relief. · That's what the last person said. · So you'll call me back yourself?</t>
  </si>
  <si>
    <t xml:space="preserve">Customer: "The last agent promised that too." → Agent: "I understand why you doubt it. I've put my name on your case, and I'll call you myself by five today."</t>
  </si>
  <si>
    <t xml:space="preserve">Indian agents often say "we will look into it" to sound polite and humble. International customers may hear "we" as vague; a clear "I'll" sounds more trustworthy.</t>
  </si>
  <si>
    <t xml:space="preserve">Chat: "I'll take care of this for you, so you won't need to explain it again." Email: add your name and a direct way to reach you.</t>
  </si>
  <si>
    <t xml:space="preserve">Do not promise this if you know the case must go to another team; tell the customer honestly and do a warm transfer instead.</t>
  </si>
  <si>
    <t xml:space="preserve">Customer: I've already explained this to two people. | Agent: I'm sorry you've had to explain this twice. I'll take care of this for you personally, so you won't need to explain it to anyone else. | Customer: Okay, thank you. | Agent: I'll call you by five today with an update.</t>
  </si>
  <si>
    <t xml:space="preserve">Use "I will" plus a time, instead of "we'll try" or "hopefully soon"; take ownership of the case.</t>
  </si>
  <si>
    <t xml:space="preserve">I'll take care ____ this for you personally, so you won't need to explain it to anyone else.</t>
  </si>
  <si>
    <t xml:space="preserve">of</t>
  </si>
  <si>
    <t xml:space="preserve">A customer has been passed between two teams. Which line takes ownership most clearly?</t>
  </si>
  <si>
    <t xml:space="preserve">A) We'll try to see what can be done and let you know as soon as possible. | B) Somebody from the billing team will look into it and get back to you. | C) I've passed your details to the right team, so they will look into it. | D) I'll take care of this personally, so you won't need to explain it again.</t>
  </si>
  <si>
    <t xml:space="preserve">D uses "I'll" and removes the need to repeat the story. A is tempting because it sounds helpful, but "try" promises nothing, and B and C hand the case to someone else.</t>
  </si>
  <si>
    <t xml:space="preserve">of / care / take / I'll / for / this / you</t>
  </si>
  <si>
    <t xml:space="preserve">I'll take care of this for you</t>
  </si>
  <si>
    <t xml:space="preserve">Main khud yeh dekh loonga, aapko kisi aur ko batana nahin padega.</t>
  </si>
  <si>
    <t xml:space="preserve">I'll look after this myself, so you won't need to tell anyone else.</t>
  </si>
  <si>
    <t xml:space="preserve">How do I know you'll actually do it?</t>
  </si>
  <si>
    <t xml:space="preserve">I've added my name to your case, and I'll call you myself by five o'clock today.</t>
  </si>
  <si>
    <t xml:space="preserve">Partner A has been transferred twice about a wrong bill and is tired. Partner B takes ownership with one clear "I'll" sentence and gives a time for the next update.</t>
  </si>
  <si>
    <t xml:space="preserve">Record the sentence, then add a follow-up promise with a specific time, as you would on a live call.</t>
  </si>
  <si>
    <t xml:space="preserve">Did you say "I'll" and not "we'll try"? · Did you pronounce "won't" with rounded lips? · Did you give a time after the promise?</t>
  </si>
  <si>
    <t xml:space="preserve">CSV-I-004</t>
  </si>
  <si>
    <t xml:space="preserve">Here's what I'm going to do now: first I'll check your last payment, and then I'll reset your account.</t>
  </si>
  <si>
    <t xml:space="preserve">The customer's account is locked after a payment issue, and you are about to start working on it while they stay on the line.</t>
  </si>
  <si>
    <t xml:space="preserve">You are about to start fixing an account. How do you tell the caller the steps you will take, in order, before you go quiet?</t>
  </si>
  <si>
    <t xml:space="preserve">HERE'S-what-i'm-GO-ing-to-do-NOW · FIRST-i'll-CHECK-your-LAST-PAY-ment · and-THEN-i'll-re-SET-your-ac-COUNT</t>
  </si>
  <si>
    <t xml:space="preserve">here's_what → "heerz-wut" · going_to → "gon-nuh" · check_your → "chek-yer" · last_payment → "las-PAY-ment"</t>
  </si>
  <si>
    <t xml:space="preserve">A short pause after "now:" so the caller knows a list is coming. Slight rise on "payment" (more to come), then a clear fall on "account" (list finished). Unhurried pace.</t>
  </si>
  <si>
    <t xml:space="preserve">Stress "reset" on the second syllable as a verb: re-SET, not REE-set. Say "first" with a clean /st/ at the end and no extra vowel: not "firstu".</t>
  </si>
  <si>
    <t xml:space="preserve">Clear, organised signposting</t>
  </si>
  <si>
    <t xml:space="preserve">Uncertain and a little anxious about what happens next.</t>
  </si>
  <si>
    <t xml:space="preserve">Picture road signs on a highway: "First exit, then second exit". The caller always knows where the call is going.</t>
  </si>
  <si>
    <t xml:space="preserve">अब मैं यह करूँगा/करूँगी: पहले आपका आख़िरी पेमेंट देखूँगा/देखूँगी, और फिर आपका अकाउंट रीसेट करूँगा/करूँगी।</t>
  </si>
  <si>
    <t xml:space="preserve">Ab main yeh karoonga/karoongi: pehle aapka aakhri payment dekhoonga/dekhoongi, aur phir aapka account reset karoonga/karoongi.</t>
  </si>
  <si>
    <t xml:space="preserve">I will tell you my plan: step one, check your payment; step two, reset your account.</t>
  </si>
  <si>
    <t xml:space="preserve">Telling the caller the steps before you start explains any silence and makes the call feel controlled. People wait more patiently when they know the plan.</t>
  </si>
  <si>
    <t xml:space="preserve">Here's what I'm going to do: first I'll ___, and then I'll ___.</t>
  </si>
  <si>
    <t xml:space="preserve">Here's what + I'm going to + base verb · first + I'll + verb · then + I'll + verb</t>
  </si>
  <si>
    <t xml:space="preserve">"Going to" shows a plan you have already made; "first" and "then" order the steps.</t>
  </si>
  <si>
    <t xml:space="preserve">It sounds organised and in control. Going silent while typing, or saying "just wait, I am doing", leaves the caller guessing.</t>
  </si>
  <si>
    <t xml:space="preserve">✗ First I will check your last payment, then I will do reset of your account. → ✓ First I'll check your last payment, and then I'll reset your account.</t>
  </si>
  <si>
    <t xml:space="preserve">"Let me do something, hold on." It gives no plan, and the silence that follows feels like being ignored.</t>
  </si>
  <si>
    <t xml:space="preserve">Instead of "Wait, I am checking something", say "Here's what I'm going to do now: first I'll check your last payment, and then I'll reset your account."</t>
  </si>
  <si>
    <t xml:space="preserve">Let me explain the next steps: I'll look at your last payment first, then reset the account.</t>
  </si>
  <si>
    <t xml:space="preserve">So the plan is this: I'll check the payment, and once that's done I'll reset your account.</t>
  </si>
  <si>
    <t xml:space="preserve">I will now take two steps: first, I will review your most recent payment, and then I will reset your account.</t>
  </si>
  <si>
    <t xml:space="preserve">It will take about a minute, and I'll tell you what I find as I go.</t>
  </si>
  <si>
    <t xml:space="preserve">Okay, go ahead. · Will I lose any data? · How long will that take?</t>
  </si>
  <si>
    <t xml:space="preserve">Customer: "Why do you need to check the payment?" → Agent: "The lock was caused by a failed payment, so checking it first helps make sure the lock doesn't come straight back."</t>
  </si>
  <si>
    <t xml:space="preserve">Indian English often uses "firstly … secondly" in speech. International callers may not expect it on the phone; "first … then" sounds more natural and lighter.</t>
  </si>
  <si>
    <t xml:space="preserve">Chat: send each step as a short line. Email: number the steps: "1. I checked your last payment. 2. I reset your account."</t>
  </si>
  <si>
    <t xml:space="preserve">Do not give a long plan when the fix is one quick step; just say "I'll reset that now."</t>
  </si>
  <si>
    <t xml:space="preserve">Customer: My account is locked and I can't pay my bill. | Agent: Here's what I'm going to do now: first I'll check your last payment, and then I'll reset your account. | Customer: Okay. | Agent: Your last payment failed because the card expired. I'm resetting the account now.</t>
  </si>
  <si>
    <t xml:space="preserve">Be specific about what will happen and when; tell the caller what you are doing so silence is never unexplained.</t>
  </si>
  <si>
    <t xml:space="preserve">Here's what I'm going to do now: first I'll check your last payment, and ____ I'll reset your account.</t>
  </si>
  <si>
    <t xml:space="preserve">then</t>
  </si>
  <si>
    <t xml:space="preserve">You need to do two things on a customer's account. Which line prepares the caller best?</t>
  </si>
  <si>
    <t xml:space="preserve">A) Here's what I'm going to do: first I'll check your last payment, then I'll reset your account. | B) Please hold the line, sir. I am checking a few things in the system for you. | C) I'll sort out your account now. It might take a little while, so thanks for your patience. | D) First checking your payment, second resetting the account, and later I will inform you.</t>
  </si>
  <si>
    <t xml:space="preserve">A gives a clear plan in order. B and C give no steps, so the silence that follows feels unexplained. D has the right idea but drops its verbs and sounds like a list read from a screen.</t>
  </si>
  <si>
    <t xml:space="preserve">then / reset / and / account / your / I'll</t>
  </si>
  <si>
    <t xml:space="preserve">and then I'll reset your account</t>
  </si>
  <si>
    <t xml:space="preserve">Pehle main aapka order dekhunga, phir main refund shuru karunga.</t>
  </si>
  <si>
    <t xml:space="preserve">First I'll check your order, and then I'll start the refund.</t>
  </si>
  <si>
    <t xml:space="preserve">Will I lose my saved settings?</t>
  </si>
  <si>
    <t xml:space="preserve">As far as I can see, no. Your saved settings stay as they are, and I'll tell you before I change anything else.</t>
  </si>
  <si>
    <t xml:space="preserve">Partner A calls because a streaming account is locked. Partner B explains two steps with "first" and "then", does them, and reports back after each step.</t>
  </si>
  <si>
    <t xml:space="preserve">Record the sentence, then record a two-step plan for a different problem, such as a wrong address on an order.</t>
  </si>
  <si>
    <t xml:space="preserve">Did you pause after "now"? · Did you stress re-SET? · Did your voice fall at the end of the list?</t>
  </si>
  <si>
    <t xml:space="preserve">CSV-I-005</t>
  </si>
  <si>
    <t xml:space="preserve">Thank you for holding, Mr Rao. I need about five more minutes. Would you like to stay on the line, or shall I call you back?</t>
  </si>
  <si>
    <t xml:space="preserve">You asked for two minutes on hold, but the check is taking longer, so you come back before the time is up.</t>
  </si>
  <si>
    <t xml:space="preserve">Your check is taking longer than you promised. When you come back to the caller, what do you say first, and what choice do you offer?</t>
  </si>
  <si>
    <t xml:space="preserve">THANK-you-for-HOLD-ing · mis-ter-RAO · i-NEED-a-BOUT-FIVE-more-MIN-utes · would-you-like-to-STAY-on-the-LINE · or-shall-i-CALL-you-BACK</t>
  </si>
  <si>
    <t xml:space="preserve">thank_you → "THANG-kyoo" · need_about → "nee-duh-BOUT" · stay_on → "stay-yon" · call_you_back → "kawl-yoo-BACK"</t>
  </si>
  <si>
    <t xml:space="preserve">Warm fall on "holding". Clear, slower delivery of "five more minutes". On the choice, rise on "line" and fall on "back", which shows these are the only two options.</t>
  </si>
  <si>
    <t xml:space="preserve">"Five" ends in /v/: top teeth lightly on the lower lip, so it is not "faiw" with rounded lips. "Would" starts with /w/: rounded lips and no teeth on the lip, not "vould".</t>
  </si>
  <si>
    <t xml:space="preserve">Polite update with choice</t>
  </si>
  <si>
    <t xml:space="preserve">Getting impatient and wondering if they have been forgotten.</t>
  </si>
  <si>
    <t xml:space="preserve">Think of a cooking timer: you come back before it rings, say "Thank you", and ask if they want to wait or have the meal delivered later.</t>
  </si>
  <si>
    <t xml:space="preserve">होल्ड करने के लिए धन्यवाद, मिस्टर राव। मुझे लगभग पाँच मिनट और चाहिए। क्या आप लाइन पर रहना चाहेंगे, या मैं आपको वापस कॉल करूँ?</t>
  </si>
  <si>
    <t xml:space="preserve">Hold karne ke liye dhanyavaad, Mister Rao. Mujhe lagbhag paanch minute aur chahiye. Kya aap line par rehna chahenge, ya main aapko wapas call karoon?</t>
  </si>
  <si>
    <t xml:space="preserve">Thanks for waiting. I need five more minutes. You can wait, or I can phone you later.</t>
  </si>
  <si>
    <t xml:space="preserve">It thanks the caller first, gives an honest new time and hands them control with a real choice. Coming back early shows they were not forgotten.</t>
  </si>
  <si>
    <t xml:space="preserve">I need about ___ more minutes. Would you like to ___, or shall I ___?</t>
  </si>
  <si>
    <t xml:space="preserve">Would you like to + base verb, or shall I + base verb?</t>
  </si>
  <si>
    <t xml:space="preserve">"Would you like to" offers a choice; "shall I" offers to do something for them.</t>
  </si>
  <si>
    <t xml:space="preserve">Giving a choice respects the caller's time. Leaving them on hold again without a word, or saying "one more minute" repeatedly, feels careless.</t>
  </si>
  <si>
    <t xml:space="preserve">✗ Please be on hold, it will take some more time. → ✓ I need about five more minutes. Would you like to stay on the line, or shall I call you back?</t>
  </si>
  <si>
    <t xml:space="preserve">"Just one more minute." said again and again. Callers stop believing it after the first time.</t>
  </si>
  <si>
    <t xml:space="preserve">Instead of "It is still taking time, please hold", say "Thank you for holding. I need about five more minutes. Would you like to stay on the line, or shall I call you back?"</t>
  </si>
  <si>
    <t xml:space="preserve">Thanks for waiting, Mr Rao. This needs about five more minutes. Are you happy to hold, or would a callback suit you better?</t>
  </si>
  <si>
    <t xml:space="preserve">Thanks for staying with me, Mr Rao, and I'm sorry it's taking longer. I need roughly five more minutes. I can keep you on hold or ring you back, whichever you prefer.</t>
  </si>
  <si>
    <t xml:space="preserve">Thank you for your patience, Mr Rao. I will need approximately five more minutes. Would you prefer to remain on the line, or may I call you back?</t>
  </si>
  <si>
    <t xml:space="preserve">Of course. Is this the best number to reach you on? I'll call by 3:20 at the latest.</t>
  </si>
  <si>
    <t xml:space="preserve">I'll hold. · Call me back, please. · Five more? Why is it taking so long?</t>
  </si>
  <si>
    <t xml:space="preserve">Customer: "Why is it taking so long?" → Agent: "I'm sorry it's taking longer than I said. The payment team's system is slow today, and I need their answer before I can confirm anything."</t>
  </si>
  <si>
    <t xml:space="preserve">In India "call you back" is the usual phrase; British callers also say "ring you back". Both are fine on international calls, as long as you add a real time.</t>
  </si>
  <si>
    <t xml:space="preserve">Chat: "Thanks for waiting. I need about five more minutes. Is that okay, or shall I email you the answer?" Email: not needed; give a reply time instead.</t>
  </si>
  <si>
    <t xml:space="preserve">Do not offer a callback if your team cannot call out; offer only choices you can really keep.</t>
  </si>
  <si>
    <t xml:space="preserve">Customer: Hello? Are you still there? | Agent: Thank you for holding, Mr Rao. I need about five more minutes. Would you like to stay on the line, or shall I call you back? | Customer: Call me back, please. | Agent: Of course. I'll call you on this number by 3:20.</t>
  </si>
  <si>
    <t xml:space="preserve">Long hold: check back before the promised time is up, thank the caller first, and offer a callback instead of a long wait.</t>
  </si>
  <si>
    <t xml:space="preserve">Would you like ____ stay on the line, or shall I call you back?</t>
  </si>
  <si>
    <t xml:space="preserve">to</t>
  </si>
  <si>
    <t xml:space="preserve">Your two-minute hold is turning into seven. What is the best thing to do?</t>
  </si>
  <si>
    <t xml:space="preserve">A) Say nothing and keep checking until you have the full answer. | B) Put the call on mute and keep checking until you have an answer. | C) Return, thank the caller, give a new time and offer a callback. | D) Return and say "just one more minute" so the caller keeps waiting.</t>
  </si>
  <si>
    <t xml:space="preserve">C keeps the caller informed and gives them a choice. D is tempting because it keeps the call moving, but a repeated "one more minute" sounds untrue. A and B leave the caller in silence.</t>
  </si>
  <si>
    <t xml:space="preserve">back / call / I / shall / you / or</t>
  </si>
  <si>
    <t xml:space="preserve">or shall I call you back</t>
  </si>
  <si>
    <t xml:space="preserve">Intezaar ke liye dhanyavaad. Mujhe paanch minute aur chahiye. Aap hold karenge ya main call back karoon?</t>
  </si>
  <si>
    <t xml:space="preserve">Thank you for waiting. I need five more minutes. Would you like to hold, or shall I call you back?</t>
  </si>
  <si>
    <t xml:space="preserve">Okay, call me back, but not after four.</t>
  </si>
  <si>
    <t xml:space="preserve">Of course. I'll call you on this number by 3:20, well before four.</t>
  </si>
  <si>
    <t xml:space="preserve">Partner A is on hold about a refund. Partner B returns just before the promised two minutes are up, thanks A, gives a new estimate and offers a choice; A picks a callback and B confirms the time.</t>
  </si>
  <si>
    <t xml:space="preserve">Record yourself returning from a hold that is running late, with the thank-you, the new time and the choice.</t>
  </si>
  <si>
    <t xml:space="preserve">Did you thank the caller before the update? · Did you give a real number of minutes? · Did your voice fall on "back" to close the choice?</t>
  </si>
  <si>
    <t xml:space="preserve">CSV-I-006</t>
  </si>
  <si>
    <t xml:space="preserve">Transfer</t>
  </si>
  <si>
    <t xml:space="preserve">I'll connect you to Anita in billing, because she can change your plan directly. I'll brief her first, so you won't need to repeat anything.</t>
  </si>
  <si>
    <t xml:space="preserve">The customer wants a plan change that only the billing team can make, so you are about to do a warm transfer.</t>
  </si>
  <si>
    <t xml:space="preserve">Only another team can fix this. Before you transfer the caller, what three things do you tell them?</t>
  </si>
  <si>
    <t xml:space="preserve">i'll-con-NECT-you-to-a-NEE-ta-in-BILL-ing · be-CAUSE-she-can-CHANGE-your-PLAN-di-RECT-ly · i'll-BRIEF-her-FIRST · so-you-WON'T-need-to-re-PEAT-an-y-thing</t>
  </si>
  <si>
    <t xml:space="preserve">connect_you → "kuh-NEK-chuh" · brief_her → "BREE-fer" · won't_need → "wohn-NEED" · repeat_anything → "ri-PEE-ten-ee-thing"</t>
  </si>
  <si>
    <t xml:space="preserve">Steady and reassuring. Fall on "directly" and on "anything". Pause briefly between the two sentences so the caller hears both the reason and the promise.</t>
  </si>
  <si>
    <t xml:space="preserve">"Connect" is stressed on the second syllable: con-NECT, not KON-nect. In "anything", the "th" is /θ/ with the tongue between the teeth, not "anyting".</t>
  </si>
  <si>
    <t xml:space="preserve">Reassuring, clear handover</t>
  </si>
  <si>
    <t xml:space="preserve">Worried about being lost in the system or starting again.</t>
  </si>
  <si>
    <t xml:space="preserve">Picture a relay race where you run alongside and place the baton firmly in the next runner's hand, instead of throwing it over a wall.</t>
  </si>
  <si>
    <t xml:space="preserve">मैं आपको बिलिंग टीम की अनीता से जोड़ रहा/रही हूँ, क्योंकि वे सीधे आपका प्लान बदल सकती हैं। मैं पहले उन्हें सब बता दूँगा/दूँगी, ताकि आपको कुछ दोहराना न पड़े।</t>
  </si>
  <si>
    <t xml:space="preserve">Main aapko billing team ki Anita se jod raha/rahi hoon, kyonki ve seedhe aapka plan badal sakti hain. Main pehle unhe sab bata doonga/doongi, taaki aapko kuch dohrana na pade.</t>
  </si>
  <si>
    <t xml:space="preserve">I am passing you to Anita because she can change your plan. I will tell her your problem first, so you do not have to say it again.</t>
  </si>
  <si>
    <t xml:space="preserve">It tells the caller who, why and what happens next, and promises a briefing, which removes the fear of repeating everything to a stranger.</t>
  </si>
  <si>
    <t xml:space="preserve">I'll connect you to ___, because ___. I'll brief her first, so ___.</t>
  </si>
  <si>
    <t xml:space="preserve">I'll + verb + person + because + reason · I'll + verb + first, so + result</t>
  </si>
  <si>
    <t xml:space="preserve">"Because" gives the reason for the transfer; "so" gives the result for the caller.</t>
  </si>
  <si>
    <t xml:space="preserve">Naming the person and the reason shows care. "I am transferring your call" with no reason feels like being passed on to get rid of you.</t>
  </si>
  <si>
    <t xml:space="preserve">✗ I will brief to her first, so you will not need to repeat again. → ✓ I'll brief her first, so you won't need to repeat anything.</t>
  </si>
  <si>
    <t xml:space="preserve">"Please hold, I am transferring your call." It gives no name, no reason and no promise about repeating the story.</t>
  </si>
  <si>
    <t xml:space="preserve">Instead of "This is not handled by me, I am transferring", say "I'll connect you to Anita in billing, because she can change your plan directly."</t>
  </si>
  <si>
    <t xml:space="preserve">The best person for this is Anita in our billing team. I'll explain your case to her before I put you through.</t>
  </si>
  <si>
    <t xml:space="preserve">Anita in billing can make this change for you. I'll give her all the details first, so you can carry on from where we are now.</t>
  </si>
  <si>
    <t xml:space="preserve">I will transfer you to my colleague Anita in Billing, who can amend your plan directly. I will brief her beforehand, so there is no need to repeat your details.</t>
  </si>
  <si>
    <t xml:space="preserve">Is it all right if I put you on a short hold of about a minute while I speak to her?</t>
  </si>
  <si>
    <t xml:space="preserve">Okay, thank you. · Can't you do it yourself? · What if I get cut off?</t>
  </si>
  <si>
    <t xml:space="preserve">Customer: "What if I get cut off?" → Agent: "I have your number, so if the call drops I'll call you straight back and connect you again."</t>
  </si>
  <si>
    <t xml:space="preserve">"Concerned department" is common in Indian English. International callers may not expect this phrase; naming the team and the person ("Anita in billing") sounds clearer.</t>
  </si>
  <si>
    <t xml:space="preserve">Chat: "I'm passing this chat to Anita in billing. She'll see everything we've written, so you won't need to repeat it." Email: copy the colleague in and introduce them by name.</t>
  </si>
  <si>
    <t xml:space="preserve">Do not promise a named person or a briefing if your system only allows a blind transfer to a queue; tell the caller honestly what will happen.</t>
  </si>
  <si>
    <t xml:space="preserve">Customer: I want to move to the cheaper plan. | Agent: I'll connect you to Anita in billing, because she can change your plan directly. I'll brief her first, so you won't need to repeat anything. | Customer: Great, thanks. | Agent: Is it all right if I put you on a short hold for about a minute while I speak to her?</t>
  </si>
  <si>
    <t xml:space="preserve">Transfer: prefer warm. Say who and why, brief the colleague, and introduce the caller and the issue so they do not repeat themselves.</t>
  </si>
  <si>
    <t xml:space="preserve">I'll ____ (starts with b) her first, so you won't need to repeat anything.</t>
  </si>
  <si>
    <t xml:space="preserve">brief</t>
  </si>
  <si>
    <t xml:space="preserve">You need to transfer a caller to the billing team. Which line is the best warm transfer?</t>
  </si>
  <si>
    <t xml:space="preserve">A) Please hold the line, sir. I am transferring your call to the billing department now. | B) I'll connect you to Anita in billing, because she can change your plan. I'll brief her first. | C) I can't change plans myself, so you will need to call the billing team on their direct line. | D) Billing handles plan changes, so I'm passing you over now. They will ask for your details again.</t>
  </si>
  <si>
    <t xml:space="preserve">B names the person, the reason and the briefing. D gives a reason but admits the caller will have to repeat everything. A gives no name and no reason, and C sends the caller away.</t>
  </si>
  <si>
    <t xml:space="preserve">Anita / connect / I'll / in / you / billing / to</t>
  </si>
  <si>
    <t xml:space="preserve">I'll connect you to Anita in billing</t>
  </si>
  <si>
    <t xml:space="preserve">Main aapko technical team ke Arjun se jodta hoon, kyonki woh yeh theek kar sakte hain.</t>
  </si>
  <si>
    <t xml:space="preserve">I'll connect you to Arjun in our technical team, because he can fix this for you.</t>
  </si>
  <si>
    <t xml:space="preserve">Can't you just do it yourself?</t>
  </si>
  <si>
    <t xml:space="preserve">I wish I could. Plan changes need billing access, and Anita can do it in a few minutes.</t>
  </si>
  <si>
    <t xml:space="preserve">Partner A wants a refund that only the payments team can approve. Partner B explains who and why, says aloud the one-sentence briefing for the colleague, then hands A over by name.</t>
  </si>
  <si>
    <t xml:space="preserve">Record the two transfer sentences, then the one-line briefing you would give Anita before connecting the caller.</t>
  </si>
  <si>
    <t xml:space="preserve">Did you name the person and the team? · Did you give the reason? · Did you stress con-NECT on the second syllable?</t>
  </si>
  <si>
    <t xml:space="preserve">CSV-I-007</t>
  </si>
  <si>
    <t xml:space="preserve">Set expectations</t>
  </si>
  <si>
    <t xml:space="preserve">Your refund will reach your account within five to seven working days, so by next Friday at the latest.</t>
  </si>
  <si>
    <t xml:space="preserve">It is Wednesday, and you have just processed a refund; your system shows the standard five to seven working days for it, and the customer wants to know when the money will arrive.</t>
  </si>
  <si>
    <t xml:space="preserve">The refund is done and the caller asks when they will get the money. How do you give a timeline they can check on a calendar?</t>
  </si>
  <si>
    <t xml:space="preserve">your-RE-fund-will-REACH-your-ac-COUNT · with-IN-FIVE-to-SEV-en-WORK-ing-DAYS · so-by-NEXT-FRI-day · at-the-LATE-est</t>
  </si>
  <si>
    <t xml:space="preserve">refund_will → "REE-fun-wil" · reach_your → "ree-chyer" · five_to_seven → "FYV-tuh-SEV-en" · at_the_latest → "a-thuh-LAY-test"</t>
  </si>
  <si>
    <t xml:space="preserve">Slow down on the numbers. Fall on "days". Small pause, then a firm fall on "at the latest", which marks the outside date.</t>
  </si>
  <si>
    <t xml:space="preserve">"Seven" has a /v/ in the middle: top teeth on the lower lip, not "sewen". "Within" has /ð/ with the tongue between the teeth, not "widin".</t>
  </si>
  <si>
    <t xml:space="preserve">Clear, confident commitment</t>
  </si>
  <si>
    <t xml:space="preserve">Wanting certainty about when the money will arrive.</t>
  </si>
  <si>
    <t xml:space="preserve">Picture circling next Friday on a wall calendar in red: the customer leaves the call with one date to watch.</t>
  </si>
  <si>
    <t xml:space="preserve">आपका रिफ़ंड पाँच से सात कामकाजी दिनों में आपके खाते में आ जाएगा, यानी ज़्यादा से ज़्यादा अगले शुक्रवार तक।</t>
  </si>
  <si>
    <t xml:space="preserve">Aapka refund paanch se saat kaamkaaji dinon mein aapke khaate mein aa jaayega, yaani zyaada se zyaada agle Shukravaar tak.</t>
  </si>
  <si>
    <t xml:space="preserve">The money will be back in your account in five to seven working days, no later than next Friday.</t>
  </si>
  <si>
    <t xml:space="preserve">It turns a vague range into one clear last date, so the customer knows exactly when to worry and when not to call again.</t>
  </si>
  <si>
    <t xml:space="preserve">Your ___ will reach your account within ___, so by ___ at the latest.</t>
  </si>
  <si>
    <t xml:space="preserve">Subject + will + verb + within + time period, + so by + day + at the latest</t>
  </si>
  <si>
    <t xml:space="preserve">"Within" means inside that time; "at the latest" means no later than that day.</t>
  </si>
  <si>
    <t xml:space="preserve">A specific date sounds honest and in control. "It will come soon" or "hopefully next week" sounds like a guess.</t>
  </si>
  <si>
    <t xml:space="preserve">✗ Your refund will reach to your account in five to seven working days, so by next Friday at latest. → ✓ Your refund will reach your account within five to seven working days, so by next Friday at the latest.</t>
  </si>
  <si>
    <t xml:space="preserve">"It will come soon, don't worry." It gives no date, so the customer will call again in two days.</t>
  </si>
  <si>
    <t xml:space="preserve">Instead of "Hopefully you will get it soon", say "Your refund will reach your account within five to seven working days, so by next Friday at the latest."</t>
  </si>
  <si>
    <t xml:space="preserve">You should see the money in your account in five to seven working days, by next Friday at the latest.</t>
  </si>
  <si>
    <t xml:space="preserve">The refund takes five to seven working days, so please expect it no later than next Friday.</t>
  </si>
  <si>
    <t xml:space="preserve">The refund will be credited to your account within five to seven working days, and no later than next Friday.</t>
  </si>
  <si>
    <t xml:space="preserve">That's Friday the twenty-third. I'll also email you a confirmation now, with your refund reference number.</t>
  </si>
  <si>
    <t xml:space="preserve">Okay, that's fine. · Can't it be faster? · What do I do if it hasn't come by then?</t>
  </si>
  <si>
    <t xml:space="preserve">Customer: "Why does it take a whole week?" → Agent: "I know a week feels long. Your bank needs that time to process it, and if it hasn't arrived by Friday, call us with your reference and we'll trace it."</t>
  </si>
  <si>
    <t xml:space="preserve">"Working days" is common in India and the UK; US customers often say "business days". Both are understood, but a named last day ("by next Friday") removes any doubt about weekends and holidays.</t>
  </si>
  <si>
    <t xml:space="preserve">Chat: "Your refund will reach your account in 5–7 working days, by Friday 23 October at the latest." Email: write the exact date, not just "next Friday".</t>
  </si>
  <si>
    <t xml:space="preserve">Do not give a date you cannot check in the system; say what you know and promise to confirm.</t>
  </si>
  <si>
    <t xml:space="preserve">Customer: When will I get my money back? | Agent: Your refund will reach your account within five to seven working days, so by next Friday at the latest. | Customer: And if it doesn't? | Agent: I'm emailing you a reference number now. If the money hasn't arrived by then, call us with it and we'll trace it straight away.</t>
  </si>
  <si>
    <t xml:space="preserve">Replace vague promises with a clear timeline, a reference number and the next step.</t>
  </si>
  <si>
    <t xml:space="preserve">Your refund will reach your account within five to seven working days, so by next Friday at the ____.</t>
  </si>
  <si>
    <t xml:space="preserve">latest</t>
  </si>
  <si>
    <t xml:space="preserve">A caller asks when their refund will arrive. Which reply sets the clearest expectation?</t>
  </si>
  <si>
    <t xml:space="preserve">A) It should come very soon, so please don't worry. I'll keep an eye on it. | B) Hopefully by early next week, but sometimes banks can be a little slow. | C) Within five to seven working days, so by next Friday at the latest. | D) It depends on your bank, so I can't give you an exact date, I'm afraid.</t>
  </si>
  <si>
    <t xml:space="preserve">C gives a range and a final date. D may be true, but it gives the customer nothing to plan around, and A and B are guesses.</t>
  </si>
  <si>
    <t xml:space="preserve">latest / by / at / Friday / the / next</t>
  </si>
  <si>
    <t xml:space="preserve">by next Friday at the latest</t>
  </si>
  <si>
    <t xml:space="preserve">Aapka naya card das din ke andar aa jaayega, yaani zyaada se zyaada agle mahine ki paanch tareekh tak.</t>
  </si>
  <si>
    <t xml:space="preserve">Your new card will arrive within ten days, so by the fifth of next month at the latest.</t>
  </si>
  <si>
    <t xml:space="preserve">What if it still hasn't come by then?</t>
  </si>
  <si>
    <t xml:space="preserve">Then please call us with your reference number, and we'll trace the payment with the bank straight away.</t>
  </si>
  <si>
    <t xml:space="preserve">Partner A has returned a jacket and asks about the money. Partner B gives a time range and a final date, then gives a reference number and says what to do if it is late.</t>
  </si>
  <si>
    <t xml:space="preserve">Record the sentence, then record a version for a replacement parcel with a different range and a final day.</t>
  </si>
  <si>
    <t xml:space="preserve">Did you give one final date? · Did you slow down on the numbers? · Did you say "seven" with a clear /v/?</t>
  </si>
  <si>
    <t xml:space="preserve">CSV-I-008</t>
  </si>
  <si>
    <t xml:space="preserve">Say no politely</t>
  </si>
  <si>
    <t xml:space="preserve">The order has already shipped, so what I can do is arrange a free return as soon as it reaches you.</t>
  </si>
  <si>
    <t xml:space="preserve">The customer wants to cancel an order, but it has already left the warehouse, so cancelling is no longer possible; your system shows it qualifies for a free return.</t>
  </si>
  <si>
    <t xml:space="preserve">A caller wants to cancel an order that is already on the way. How do you say no without using "can't", and what do you offer?</t>
  </si>
  <si>
    <t xml:space="preserve">the-OR-der-has-al-READ-y-SHIPPED · so-WHAT-i-CAN-do · is-ar-RANGE-a-FREE-re-TURN · as-SOON-as-it-REACH-es-you</t>
  </si>
  <si>
    <t xml:space="preserve">has_already → "ha-zawl-RED-ee" · what_I_can → "wuh-dye-CAN" · arrange_a → "uh-RAIN-juh" · as_soon_as → "uh-SOON-uz"</t>
  </si>
  <si>
    <t xml:space="preserve">Neutral fall on "shipped", with no apology in the voice yet. Lift and stress "CAN" in "what I can do", then a positive, falling finish on "reaches you".</t>
  </si>
  <si>
    <t xml:space="preserve">"Shipped" is one syllable ending in /pt/: "shipt", not "ship-ped". Stress "arrange" on the second syllable: a-RANGE, and keep the /dʒ/ soft at the end.</t>
  </si>
  <si>
    <t xml:space="preserve">Positive, solution-focused refusal</t>
  </si>
  <si>
    <t xml:space="preserve">Disappointed and expecting to hear a flat no.</t>
  </si>
  <si>
    <t xml:space="preserve">Picture a closed door with a bright arrow painted on it pointing to the open door next to it: the answer moves straight to the way through.</t>
  </si>
  <si>
    <t xml:space="preserve">ऑर्डर पहले ही भेजा जा चुका है, इसलिए मैं यह कर सकता/सकती हूँ कि जैसे ही यह आप तक पहुँचे, मुफ़्त वापसी का इंतज़ाम कर दूँ।</t>
  </si>
  <si>
    <t xml:space="preserve">Order pehle hi bheja ja chuka hai, isliye main yeh kar sakta/sakti hoon ki jaise hi yeh aap tak pahunche, muft wapsi ka intezaam kar doon.</t>
  </si>
  <si>
    <t xml:space="preserve">I cannot cancel it because it is already on the way, but I can set up a free return when it arrives.</t>
  </si>
  <si>
    <t xml:space="preserve">It gives the reason in plain words and moves straight to what is possible. The customer hears a solution, not a closed door.</t>
  </si>
  <si>
    <t xml:space="preserve">___, so what I can do is ___.</t>
  </si>
  <si>
    <t xml:space="preserve">Reason clause, + so what I can do is + base verb + …</t>
  </si>
  <si>
    <t xml:space="preserve">"What I can do is" puts the possible action at the end, where the listener remembers it.</t>
  </si>
  <si>
    <t xml:space="preserve">Leading with what you can do sounds helpful. "Sorry, we can't cancel it. That's the rule." sounds like you are hiding behind rules.</t>
  </si>
  <si>
    <t xml:space="preserve">✗ Cancellation is not possible as order is dispatched. → ✓ The order has already shipped, so what I can do is arrange a free return.</t>
  </si>
  <si>
    <t xml:space="preserve">"No, that's not possible." A bare no ends the conversation and leaves the customer stuck.</t>
  </si>
  <si>
    <t xml:space="preserve">Instead of "We can't cancel it now", say "The order has already shipped, so what I can do is arrange a free return as soon as it reaches you."</t>
  </si>
  <si>
    <t xml:space="preserve">It's already on its way to you, but I can set up a free return the day it arrives.</t>
  </si>
  <si>
    <t xml:space="preserve">Because it has shipped, the quickest option is a free return once it reaches you, and I can set that up now.</t>
  </si>
  <si>
    <t xml:space="preserve">As the order has already been dispatched, I am able to arrange a free return for you as soon as it is delivered.</t>
  </si>
  <si>
    <t xml:space="preserve">Would you like me to email you the return label now, so it's ready when the parcel arrives?</t>
  </si>
  <si>
    <t xml:space="preserve">Okay, that works. · But I don't want it at all. · Will I get all my money back?</t>
  </si>
  <si>
    <t xml:space="preserve">Customer: "But I cancelled within an hour!" → Agent: "I'm sorry, I can see you asked quickly. By then it had already been packed and handed to the courier. The return is free, and you'll get the full amount back."</t>
  </si>
  <si>
    <t xml:space="preserve">"Dispatched" is the usual word in India and the UK; US customers more often say "shipped". Both are understood, so use the word that appears in the customer's order email.</t>
  </si>
  <si>
    <t xml:space="preserve">Chat: "Your order has already shipped, so what I can do is set up a free return." Email: give the reason, the alternative and the next step in separate lines.</t>
  </si>
  <si>
    <t xml:space="preserve">Do not use it if the order can still be stopped; if cancelling is possible, just cancel it.</t>
  </si>
  <si>
    <t xml:space="preserve">Customer: I want to cancel my order. | Agent: The order has already shipped, so what I can do is arrange a free return as soon as it reaches you. | Customer: Will I get the full refund? | Agent: Yes, the full amount, once the item is back with us.</t>
  </si>
  <si>
    <t xml:space="preserve">Swap "can't" for "can": give the reason in plain words, then lead with what is possible ("What I can do is…").</t>
  </si>
  <si>
    <t xml:space="preserve">The order has already shipped, so what I ____ (am able to) do is arrange a free return.</t>
  </si>
  <si>
    <t xml:space="preserve">A customer asks to cancel an order that has already shipped. Which reply follows positive-language practice best?</t>
  </si>
  <si>
    <t xml:space="preserve">A) I'm sorry, but the order has already shipped, so cancelling it is not possible now. | B) Unfortunately our system does not allow cancellation after dispatch. That is how it works. | C) Sorry, I can't help with that. Once an order has shipped, nobody here can stop it. | D) It has already shipped, so what I can do is arrange a free return when it arrives.</t>
  </si>
  <si>
    <t xml:space="preserve">D explains why and offers a way forward. A is polite and gives a reason, but it ends on "not possible" with nothing for the customer to do. B hides behind the system, and C is a bare refusal.</t>
  </si>
  <si>
    <t xml:space="preserve">is / can / what / do / I / a / arrange / return / free</t>
  </si>
  <si>
    <t xml:space="preserve">what I can do is arrange a free return</t>
  </si>
  <si>
    <t xml:space="preserve">Aapki booking non-refundable hai, isliye main yeh kar sakta hoon ki aapki date badal doon.</t>
  </si>
  <si>
    <t xml:space="preserve">Your booking is non-refundable, so what I can do is change the date for you.</t>
  </si>
  <si>
    <t xml:space="preserve">But I don't want to wait for it to arrive.</t>
  </si>
  <si>
    <t xml:space="preserve">I understand. If you refuse the parcel at the door, it will come straight back to us, and I'll start your refund as soon as it arrives.</t>
  </si>
  <si>
    <t xml:space="preserve">Partner A wants a hotel booking refunded after the free-cancellation period. Partner B gives the reason in one plain sentence and offers a date change instead, without saying "can't".</t>
  </si>
  <si>
    <t xml:space="preserve">Record the sentence, then record a second refusal for a different request, again leading with "What I can do is…".</t>
  </si>
  <si>
    <t xml:space="preserve">Did you avoid "can't" and "not possible"? · Did you stress "CAN" in "what I can do"? · Did you say "shipped" as one syllable?</t>
  </si>
  <si>
    <t xml:space="preserve">CSV-I-009</t>
  </si>
  <si>
    <t xml:space="preserve">The extra twelve dollars on this bill is a roaming charge for data you used abroad on the fourteenth of March.</t>
  </si>
  <si>
    <t xml:space="preserve">The customer is calling because their monthly bill is higher than usual and they do not recognise one charge; you have their itemised bill open on your screen.</t>
  </si>
  <si>
    <t xml:space="preserve">A caller does not recognise an extra amount on their bill. How do you explain exactly what it is and when it happened?</t>
  </si>
  <si>
    <t xml:space="preserve">the-EX-tra-TWELVE-DOL-lars · on-THIS-BILL · is-a-ROAM-ing-CHARGE · for-DA-ta-you-USED-a-BROAD · on-the-four-TEENTH-of-MARCH</t>
  </si>
  <si>
    <t xml:space="preserve">extra_twelve → "ek-struh-TWELV" · charge_for → "charj-fer" · used_abroad → "yoo-zduh-BRAWD" · fourteenth_of → "four-teen-thuv"</t>
  </si>
  <si>
    <t xml:space="preserve">Calm, matter-of-fact fall on "charge". Slow down for the amount and the date, which are the parts the caller is checking. No defensive rise.</t>
  </si>
  <si>
    <t xml:space="preserve">"Fourteenth" ends in /θ/: tongue between the teeth, "four-TEENTH", not "fourteent". Stress it on the second syllable. "Twelve" ends with a /lv/ cluster: keep the /v/ voiced.</t>
  </si>
  <si>
    <t xml:space="preserve">Clear, neutral explanation</t>
  </si>
  <si>
    <t xml:space="preserve">Suspicious and worried they are being overcharged.</t>
  </si>
  <si>
    <t xml:space="preserve">Picture a shop receipt with one line circled: amount, what it was for and the date, the three things the caller needs.</t>
  </si>
  <si>
    <t xml:space="preserve">इस बिल पर जो बारह डॉलर ज़्यादा हैं, वह चौदह मार्च को विदेश में इस्तेमाल किए गए डेटा का रोमिंग चार्ज है।</t>
  </si>
  <si>
    <t xml:space="preserve">Is bill par jo barah dollar zyaada hain, woh chaudah March ko videsh mein istemaal kiye gaye data ka roaming charge hai.</t>
  </si>
  <si>
    <t xml:space="preserve">The extra twelve dollars is because you used mobile data in another country on 14 March.</t>
  </si>
  <si>
    <t xml:space="preserve">It names the amount, the reason and the date in one sentence, so the customer can match it to their own memory and stop worrying.</t>
  </si>
  <si>
    <t xml:space="preserve">The extra ___ on this bill is a ___ charge for ___ on ___.</t>
  </si>
  <si>
    <t xml:space="preserve">The extra + amount + on this bill + is + a/an + noun + charge + for + noun clause</t>
  </si>
  <si>
    <t xml:space="preserve">"Data you used" is a short relative clause; "that" is left out, which sounds natural in speech.</t>
  </si>
  <si>
    <t xml:space="preserve">A neutral, factual tone sounds honest. "You only used it, that's why it came" sounds like you are blaming the customer.</t>
  </si>
  <si>
    <t xml:space="preserve">✗ This twelve dollars has come because of roaming. → ✓ The extra twelve dollars on this bill is a roaming charge.</t>
  </si>
  <si>
    <t xml:space="preserve">"It's in the terms and conditions." It sounds defensive and does not explain the charge.</t>
  </si>
  <si>
    <t xml:space="preserve">Instead of "You used it, so you have to pay", say "The extra twelve dollars on this bill is a roaming charge for data you used abroad on the fourteenth of March."</t>
  </si>
  <si>
    <t xml:space="preserve">I can see what that is: twelve dollars for mobile data you used while you were abroad on 14 March.</t>
  </si>
  <si>
    <t xml:space="preserve">That twelve-dollar charge is for roaming data, from the fourteenth of March when your phone was outside the country.</t>
  </si>
  <si>
    <t xml:space="preserve">The additional charge of twelve dollars relates to mobile data used abroad on 14 March.</t>
  </si>
  <si>
    <t xml:space="preserve">Does that match your trip? If you'd like, I can show you travel packs that may be cheaper for your next trip.</t>
  </si>
  <si>
    <t xml:space="preserve">Oh, right, I was in Dubai that day. · I turned data off, though. · Nobody told me it would cost extra.</t>
  </si>
  <si>
    <t xml:space="preserve">Customer: "I turned roaming off!" → Agent: "Thanks for telling me. Could you stay on the line for about two minutes while I check the usage log for that day?"</t>
  </si>
  <si>
    <t xml:space="preserve">Indian agents often explain bills with "the same has been charged". International customers may not expect that; naming the amount and the reason ("the twelve dollars is…") is clearer.</t>
  </si>
  <si>
    <t xml:space="preserve">Chat: "The extra $12 is a roaming charge for data used abroad on 14 March." Email: show the charge as a line with the date and amount.</t>
  </si>
  <si>
    <t xml:space="preserve">Do not explain a charge as correct before you have checked it; if you are unsure, say you will check first.</t>
  </si>
  <si>
    <t xml:space="preserve">Customer: Why is my bill higher this month? | Agent: The extra twelve dollars on this bill is a roaming charge for data you used abroad on the fourteenth of March. | Customer: Oh, I was in Singapore then. | Agent: That explains it. If you travel again, I can tell you about our travel packs.</t>
  </si>
  <si>
    <t xml:space="preserve">Plain language: explain the charge in words the customer understands, with the amount, the reason and the date.</t>
  </si>
  <si>
    <t xml:space="preserve">The extra twelve dollars on this bill is a roaming charge ____ data you used abroad on the fourteenth of March.</t>
  </si>
  <si>
    <t xml:space="preserve">A caller asks about an unknown charge. Which explanation is clearest?</t>
  </si>
  <si>
    <t xml:space="preserve">A) It is in the terms and conditions, and I can email you a copy if that helps. | B) The extra twelve dollars is a roaming charge for data you used abroad on 14 March. | C) That is an extra usage charge from this month, added automatically by our billing system. | D) You used mobile data in another country, so you were charged extra. That is normal.</t>
  </si>
  <si>
    <t xml:space="preserve">B gives the amount, the reason and the date. C is tempting because it sounds official, but it does not say what was charged or when. A points to the rules and D blames the customer.</t>
  </si>
  <si>
    <t xml:space="preserve">charge / a / is / roaming / it</t>
  </si>
  <si>
    <t xml:space="preserve">it is a roaming charge</t>
  </si>
  <si>
    <t xml:space="preserve">Yeh extra paanch dollar late payment ka charge hai, jo das tareekh ke baad laga.</t>
  </si>
  <si>
    <t xml:space="preserve">The extra five dollars is a late payment charge, added after the tenth.</t>
  </si>
  <si>
    <t xml:space="preserve">Nobody told me it would cost extra.</t>
  </si>
  <si>
    <t xml:space="preserve">I'm sorry that wasn't clear. I can turn on roaming alerts, so you get a text before any charge starts.</t>
  </si>
  <si>
    <t xml:space="preserve">Partner A sees an unexpected $8 charge on a streaming bill. Partner B explains it in one sentence with the amount, the reason and the date, then offers a way to avoid it next time.</t>
  </si>
  <si>
    <t xml:space="preserve">Record the sentence, then record an explanation of a different charge, such as a late payment fee, with an amount and a date.</t>
  </si>
  <si>
    <t xml:space="preserve">Did you say the amount, the reason and the date? · Did you pronounce the "th" in "fourteenth"? · Did you sound neutral, not defensive?</t>
  </si>
  <si>
    <t xml:space="preserve">CSV-I-010</t>
  </si>
  <si>
    <t xml:space="preserve">Could you unplug the router, wait ten seconds and plug it back in? Then tell me which lights you can see on the front.</t>
  </si>
  <si>
    <t xml:space="preserve">The customer's Wi-Fi is down and you are guiding them through the first troubleshooting step while they stand at the router.</t>
  </si>
  <si>
    <t xml:space="preserve">You want the caller to restart a device and report back. How do you give one clear step and ask what they see?</t>
  </si>
  <si>
    <t xml:space="preserve">could-you-un-PLUG-the-ROU-ter · WAIT-TEN-SEC-onds · and-PLUG-it-BACK-IN · then-TELL-me-which-LIGHTS · you-can-SEE-on-the-FRONT</t>
  </si>
  <si>
    <t xml:space="preserve">unplug_the → "un-PLUG-thuh" · plug_it_back_in → "plu-git-ba-KIN" · tell_me → "TEL-mee" · lights_you → "lyts-yoo"</t>
  </si>
  <si>
    <t xml:space="preserve">Rise on "back in?" as a request. Pause and let them do it. Then a falling tone on "front", because this is an instruction, not a yes/no question.</t>
  </si>
  <si>
    <t xml:space="preserve">"Seconds" ends in /ndz/: "SEK-undz", not "second" or "secon". "Lights" ends in /ts/; say both sounds clearly so it is not heard as "light".</t>
  </si>
  <si>
    <t xml:space="preserve">Patient, step-by-step guidance</t>
  </si>
  <si>
    <t xml:space="preserve">Impatient and a bit unsure about the technical steps.</t>
  </si>
  <si>
    <t xml:space="preserve">Picture a doctor saying "Breathe in… now tell me what you feel": one action, then one observation, before the next step.</t>
  </si>
  <si>
    <t xml:space="preserve">क्या आप राउटर का प्लग निकालकर दस सेकंड रुकेंगे और फिर लगा देंगे? फिर मुझे बताइए कि सामने कौन-सी लाइटें दिख रही हैं।</t>
  </si>
  <si>
    <t xml:space="preserve">Kya aap router ka plug nikaalkar das second rukenge aur phir laga denge? Phir mujhe bataiye ki saamne kaun-si lights dikh rahi hain.</t>
  </si>
  <si>
    <t xml:space="preserve">Please switch the router off at the plug, count to ten, switch it on again, and then tell me which lights are on.</t>
  </si>
  <si>
    <t xml:space="preserve">It gives one clear action with a real time, then asks for a specific observation, so you can diagnose from facts instead of guessing.</t>
  </si>
  <si>
    <t xml:space="preserve">Could you ___? Then tell me what you see on ___.</t>
  </si>
  <si>
    <t xml:space="preserve">Could you + verb, + verb + and + verb? · Then tell me + which + noun + you can see</t>
  </si>
  <si>
    <t xml:space="preserve">"Which lights you can see" is an embedded question, so the word order is "you can", not "can you".</t>
  </si>
  <si>
    <t xml:space="preserve">"Could you" makes the step a request. "Do this: unplug it" sounds like an order and can feel rude to a stressed caller.</t>
  </si>
  <si>
    <t xml:space="preserve">✗ Then tell me which lights can you see. → ✓ Then tell me which lights you can see.</t>
  </si>
  <si>
    <t xml:space="preserve">"Just restart everything and call back." It sends the customer away without checking whether it worked.</t>
  </si>
  <si>
    <t xml:space="preserve">Instead of "You have to restart the router first", say "Could you unplug the router, wait ten seconds and plug it back in?"</t>
  </si>
  <si>
    <t xml:space="preserve">Let's try a restart: unplug the router, count to ten and plug it in again. What lights do you see now?</t>
  </si>
  <si>
    <t xml:space="preserve">Please switch the router off at the wall for ten seconds, then switch it back on and tell me what the lights are doing.</t>
  </si>
  <si>
    <t xml:space="preserve">Would you please disconnect the router for ten seconds, reconnect it, and then describe the lights on the front panel?</t>
  </si>
  <si>
    <t xml:space="preserve">Is the light marked "Internet" green, orange or off?</t>
  </si>
  <si>
    <t xml:space="preserve">Okay, done. They're all flashing. · There's a red light now. · Which one is the router?</t>
  </si>
  <si>
    <t xml:space="preserve">Customer: "I've already restarted it!" → Agent: "That's helpful, thank you, so we can skip that step. Could you tell me which lights you can see on the front right now?"</t>
  </si>
  <si>
    <t xml:space="preserve">Indian agents often say "do one thing, unplug the router". International callers may not expect "do one thing" as a lead-in; a direct "Could you…?" request sounds more natural to them.</t>
  </si>
  <si>
    <t xml:space="preserve">Chat: send the step on one line and the question on the next. Email: number each step and ask for a photo of the lights.</t>
  </si>
  <si>
    <t xml:space="preserve">Do not ask an older or very stressed caller to do several actions at once; give one step and wait.</t>
  </si>
  <si>
    <t xml:space="preserve">Customer: My Wi-Fi isn't working at all. | Agent: Could you unplug the router, wait ten seconds and plug it back in? Then tell me which lights you can see on the front. | Customer: Okay… the Internet light is still orange. | Agent: Thanks, that helps. An orange light usually means the router has no internet connection, so I'm going to check your line from my side.</t>
  </si>
  <si>
    <t xml:space="preserve">Swap "you have to" for guidance ("Could you…?"); give one clear step, then check the result.</t>
  </si>
  <si>
    <t xml:space="preserve">Could you unplug the router, wait ten seconds and plug it back in? Then tell me which lights you ____ see.</t>
  </si>
  <si>
    <t xml:space="preserve">You want the caller to restart the router and then describe what they see. Which line does this correctly and politely?</t>
  </si>
  <si>
    <t xml:space="preserve">A) Could you unplug the router, wait ten seconds and plug it in? Then tell me which lights can you see. | B) You have to unplug the router for ten seconds. After that, tell me what are the lights doing. | C) Could you unplug the router, wait ten seconds and plug it in? Then call us back if it still fails. | D) Could you unplug the router, wait ten seconds and plug it in? Then tell me which lights you can see.</t>
  </si>
  <si>
    <t xml:space="preserve">D is a polite request with correct embedded-question order ("which lights you can see"). A has the right idea but uses question order inside the sentence. B uses "you have to" and the same word-order mistake, and C never asks what the caller sees.</t>
  </si>
  <si>
    <t xml:space="preserve">lights / which / me / see / tell / can / you</t>
  </si>
  <si>
    <t xml:space="preserve">tell me which lights you can see</t>
  </si>
  <si>
    <t xml:space="preserve">Kya aap app band karke dobara khol sakte hain? Phir batayiye screen par kya dikh raha hai.</t>
  </si>
  <si>
    <t xml:space="preserve">Could you close the app and open it again? Then tell me what you can see on the screen.</t>
  </si>
  <si>
    <t xml:space="preserve">All the lights are flashing now.</t>
  </si>
  <si>
    <t xml:space="preserve">That's normal while it starts up. Let's give it one more minute, then tell me which ones stay on.</t>
  </si>
  <si>
    <t xml:space="preserve">Partner A has a TV box with a frozen screen. Partner B gives one restart step with a time, then asks a specific question about what A can see, and decides the next step from the answer.</t>
  </si>
  <si>
    <t xml:space="preserve">Record yourself guiding a caller through a restart in two sentences, ending with a question about what they see.</t>
  </si>
  <si>
    <t xml:space="preserve">Did you use "Could you"? · Did you say "which lights you can see" in that order? · Did you pronounce "seconds" with the final /dz/?</t>
  </si>
  <si>
    <t xml:space="preserve">CSV-I-011</t>
  </si>
  <si>
    <t xml:space="preserve">Let me read that back to you: ravi dot mehta at example dot com, with "Mehta" spelt M-E-H-T-A. Is that correct?</t>
  </si>
  <si>
    <t xml:space="preserve">The customer has just given their email address for an account update, and you need to confirm it before saving.</t>
  </si>
  <si>
    <t xml:space="preserve">A caller has just told you their email address. What do you say before you save it, and how do you say the "@" sign?</t>
  </si>
  <si>
    <t xml:space="preserve">let-me-READ-that-BACK-to-you · RA-vi-DOT-MEH-ta · at-ex-AM-ple-DOT-COM · spelt-M-E-H-T-A · is-that-cor-RECT</t>
  </si>
  <si>
    <t xml:space="preserve">read_that_back → "ree-dthat-BACK" · at_example → "a-teg-ZAM-pul" · spelt_M → "spel-TEM" · is_that → "iz-that"</t>
  </si>
  <si>
    <t xml:space="preserve">Slow and even. Pause slightly at each "dot" and "at". Read the spelling as two groups, M-E-H … T-A. Clear rise on "correct?" as a yes/no question.</t>
  </si>
  <si>
    <t xml:space="preserve">Say the /t/ in "dot" and "at" lightly, with the tongue tip just behind the top teeth and not curled back (retroflex "ḍoṭ"). Keep the final /lt/ of "spelt" crisp: "spelt", not "spell".</t>
  </si>
  <si>
    <t xml:space="preserve">Careful, precise confirmation</t>
  </si>
  <si>
    <t xml:space="preserve">Wanting it right, slightly impatient with the details.</t>
  </si>
  <si>
    <t xml:space="preserve">Picture reading a phone number off a sticky note back to its owner, letter by letter, before you stick it on the fridge.</t>
  </si>
  <si>
    <t xml:space="preserve">मैं इसे आपको दोबारा पढ़कर सुनाता/सुनाती हूँ: ravi.mehta@example.com, "Mehta" की स्पेलिंग M-E-H-T-A। क्या यह सही है?</t>
  </si>
  <si>
    <t xml:space="preserve">Main ise aapko dobara padhkar sunata/sunati hoon: ravi dot mehta at example dot com, "Mehta" ki spelling M-E-H-T-A. Kya yeh sahi hai?</t>
  </si>
  <si>
    <t xml:space="preserve">I will repeat your email address and spell the hard part. Please tell me if it is right.</t>
  </si>
  <si>
    <t xml:space="preserve">Reading back catches typing mistakes before they cause lost emails and repeat calls. Spelling the tricky part shows exactly where errors usually happen.</t>
  </si>
  <si>
    <t xml:space="preserve">Let me read that back to you: ___. Is that correct?</t>
  </si>
  <si>
    <t xml:space="preserve">Let me + base verb + that back to you · Is that correct?</t>
  </si>
  <si>
    <t xml:space="preserve">"Read that back" means repeat what you heard; "spelt" is the British past form of "spell".</t>
  </si>
  <si>
    <t xml:space="preserve">Reading back sounds careful and professional. Just saying "Okay, got it" without reading it back skips the check and sounds rushed.</t>
  </si>
  <si>
    <t xml:space="preserve">✗ Let me to read back you the email: ravi dot mehta at example dot com. Is it correct? → ✓ Let me read that back to you: ravi dot mehta at example dot com. Is that correct?</t>
  </si>
  <si>
    <t xml:space="preserve">"I've noted it down, it should be fine." If one letter is wrong, the customer never gets the email and blames you.</t>
  </si>
  <si>
    <t xml:space="preserve">Instead of "Email noted, sir", say "Let me read that back to you: ravi dot mehta at example dot com. Is that correct?"</t>
  </si>
  <si>
    <t xml:space="preserve">Just to confirm, that's ravi dot mehta at example dot com, M-E-H-T-A?</t>
  </si>
  <si>
    <t xml:space="preserve">I'll repeat that to make sure I have it: ravi, dot, mehta, at example dot com. Did I get it right?</t>
  </si>
  <si>
    <t xml:space="preserve">To confirm, I have your email address as ravi dot mehta at example dot com, spelt M-E-H-T-A. Could you tell me whether that is correct?</t>
  </si>
  <si>
    <t xml:space="preserve">Thank you. I've updated it, and you'll get a confirmation email there in a few minutes.</t>
  </si>
  <si>
    <t xml:space="preserve">Yes, that's right. · No, it's mehta with a double t. · There's an underscore, not a dot.</t>
  </si>
  <si>
    <t xml:space="preserve">Customer: "I just told you, why repeat it?" → Agent: "Sorry, I know it's an extra step. One wrong letter would stop every email reaching you, so I'd like to be sure."</t>
  </si>
  <si>
    <t xml:space="preserve">Many Indian speakers say "at the rate" for @. International customers may not expect it; "at" is the standard way to say it in an email address.</t>
  </si>
  <si>
    <t xml:space="preserve">Chat: no need to read back; ask them to check the address you typed. Email: reply to the address they gave, so it confirms itself.</t>
  </si>
  <si>
    <t xml:space="preserve">Do not use it for a full card number or any password; you should not be taking those on a call at all.</t>
  </si>
  <si>
    <t xml:space="preserve">Customer: It's ravi dot mehta at example dot com. | Agent: Let me read that back to you: ravi dot mehta at example dot com, with "Mehta" spelt M-E-H-T-A. Is that correct? | Customer: Yes, that's right. | Agent: Thank you. I've updated your account.</t>
  </si>
  <si>
    <t xml:space="preserve">Verification: confirm details by repeating them back, and ask only for what you need.</t>
  </si>
  <si>
    <t xml:space="preserve">Let me read that back to you: ravi dot mehta ____ example dot com. Is that correct?</t>
  </si>
  <si>
    <t xml:space="preserve">at</t>
  </si>
  <si>
    <t xml:space="preserve">How should you say the "@" sign when reading back an email address to an international caller?</t>
  </si>
  <si>
    <t xml:space="preserve">A) "ravi at the rate example dot com" | B) "ravi at example dot com" | C) "ravi at the rate of example dot com" | D) "ravi at sign example dot com"</t>
  </si>
  <si>
    <t xml:space="preserve">International callers say "at", as in "ravi at example dot com". A and C are common in India, so they are tempting, but callers abroad may not expect them. D is understood but sounds clumsy.</t>
  </si>
  <si>
    <t xml:space="preserve">back / you / me / that / read / to / let</t>
  </si>
  <si>
    <t xml:space="preserve">let me read that back to you</t>
  </si>
  <si>
    <t xml:space="preserve">Main aapka number dobara padhta hoon: nau-aath-saat-chhe. Kya yeh sahi hai?</t>
  </si>
  <si>
    <t xml:space="preserve">Let me read that back: nine-eight-seven-six. Is that correct?</t>
  </si>
  <si>
    <t xml:space="preserve">No, it's mehta with an underscore, not a dot.</t>
  </si>
  <si>
    <t xml:space="preserve">Thank you. So that's ravi underscore mehta at example dot com. Is that correct now?</t>
  </si>
  <si>
    <t xml:space="preserve">Partner A gives an email address with a tricky surname and an underscore. Partner B reads it back with "at" and "dot", spells the hard part, and asks A to confirm.</t>
  </si>
  <si>
    <t xml:space="preserve">Record yourself reading back three email addresses a partner gives you, spelling the hard part of each one.</t>
  </si>
  <si>
    <t xml:space="preserve">Did you say "at" for the @ sign? · Did you spell the tricky part slowly? · Did your voice rise on "correct?"</t>
  </si>
  <si>
    <t xml:space="preserve">CSV-I-012</t>
  </si>
  <si>
    <t xml:space="preserve">I'll call you back by four o'clock tomorrow with an update, even if the issue isn't fully fixed by then.</t>
  </si>
  <si>
    <t xml:space="preserve">The fault needs a technical team to investigate overnight, so you cannot solve it on this call.</t>
  </si>
  <si>
    <t xml:space="preserve">You cannot fix the problem on this call. What do you promise the caller about the next contact, and when?</t>
  </si>
  <si>
    <t xml:space="preserve">i'll-CALL-you-BACK · by-FOUR-o'-CLOCK-to-MOR-row · with-an-UP-date · E-ven-if-the-IS-sue · ISN'T-FUL-ly-FIXED-by-THEN</t>
  </si>
  <si>
    <t xml:space="preserve">call_you_back → "kawl-yoo-BACK" · four_o'clock → "faw-ruh-CLOCK" · with_an_update → "wi-thuh-NUP-date" · fixed_by → "fiks-by"</t>
  </si>
  <si>
    <t xml:space="preserve">Firm, steady fall on "tomorrow". Slight pause before "even if". Falling, honest tone at the end, not apologetic.</t>
  </si>
  <si>
    <t xml:space="preserve">"Fixed" is one syllable ending in /kst/: "fikst", not "fix-ed". "Then" starts with /ð/: tongue between the teeth, not "den".</t>
  </si>
  <si>
    <t xml:space="preserve">Honest, committed promise</t>
  </si>
  <si>
    <t xml:space="preserve">Frustrated that it is not fixed yet, but willing to wait.</t>
  </si>
  <si>
    <t xml:space="preserve">Picture an alarm clock set for 4:00 with a note "call Mrs Shah": it rings whether the news is good or not yet.</t>
  </si>
  <si>
    <t xml:space="preserve">मैं कल चार बजे तक आपको अपडेट के साथ वापस कॉल करूँगा/करूँगी, चाहे तब तक समस्या पूरी तरह ठीक न हुई हो।</t>
  </si>
  <si>
    <t xml:space="preserve">Main kal chaar baje tak aapko update ke saath wapas call karoonga/karoongi, chahe tab tak samasya poori tarah theek na hui ho.</t>
  </si>
  <si>
    <t xml:space="preserve">I will phone you tomorrow before four with news, even if the problem is not solved yet.</t>
  </si>
  <si>
    <t xml:space="preserve">It gives a real time and promises contact whatever happens, so the customer does not sit wondering. "Even if" shows honesty about what may not be done.</t>
  </si>
  <si>
    <t xml:space="preserve">I'll call you back by ___ with an update, even if ___.</t>
  </si>
  <si>
    <t xml:space="preserve">I'll + verb + by + time + with + noun · even if + present simple (negative)</t>
  </si>
  <si>
    <t xml:space="preserve">After "even if" we use the present simple for the future: "isn't fixed", not "won't be fixed".</t>
  </si>
  <si>
    <t xml:space="preserve">A fixed time and "even if" sound trustworthy. "We'll call you when it's done" leaves the customer waiting without a date.</t>
  </si>
  <si>
    <t xml:space="preserve">✗ I will call you back tomorrow till four o'clock. → ✓ I'll call you back by four o'clock tomorrow with an update.</t>
  </si>
  <si>
    <t xml:space="preserve">"We'll call you once it's resolved." The customer has no idea when that is and may never hear back.</t>
  </si>
  <si>
    <t xml:space="preserve">Instead of "Hopefully someone will call you", say "I'll call you back by four o'clock tomorrow with an update, even if the issue isn't fully fixed by then."</t>
  </si>
  <si>
    <t xml:space="preserve">I'll ring you tomorrow before four with an update, whether it's fixed or not.</t>
  </si>
  <si>
    <t xml:space="preserve">You'll hear from me by 4 p.m. tomorrow, with an update on where things stand.</t>
  </si>
  <si>
    <t xml:space="preserve">I will call you by 4 p.m. tomorrow with an update, even if the issue has not been fully resolved by that time.</t>
  </si>
  <si>
    <t xml:space="preserve">Shall I call you on this number, or is there a better one for tomorrow afternoon?</t>
  </si>
  <si>
    <t xml:space="preserve">Okay, that's fine. · Can you make it earlier? · I'm in meetings until three.</t>
  </si>
  <si>
    <t xml:space="preserve">Customer: "Why can't you fix it today?" → Agent: "I know you hoped it would be sorted today. The network team has to test the line overnight, so tomorrow I'll be able to tell you what they found."</t>
  </si>
  <si>
    <t xml:space="preserve">"I will revert" is common in Indian English, and dictionaries list it. International customers may not expect it; "I'll call you back" or "I'll get back to you" sounds clearer to them.</t>
  </si>
  <si>
    <t xml:space="preserve">Chat: "I'll email you an update by 4 p.m. tomorrow, even if it isn't fixed yet." Email: put the update time in the last line, in bold.</t>
  </si>
  <si>
    <t xml:space="preserve">Do not promise a callback if outbound calls are not allowed in your process; promise an email or SMS update instead.</t>
  </si>
  <si>
    <t xml:space="preserve">Customer: So you can't fix it today? | Agent: Not on this call. I'll call you back by four o'clock tomorrow with an update, even if the issue isn't fully fixed by then. | Customer: Okay, please do. | Agent: I will. Is this the best number for you?</t>
  </si>
  <si>
    <t xml:space="preserve">Use "I will" plus a time; offer a callback and keep it even when the fix is not finished.</t>
  </si>
  <si>
    <t xml:space="preserve">I'll call you back by four o'clock tomorrow with an update, even ____ the issue isn't fully fixed by then.</t>
  </si>
  <si>
    <t xml:space="preserve">if</t>
  </si>
  <si>
    <t xml:space="preserve">You need more time to fix a fault. Which promise sets the best expectation?</t>
  </si>
  <si>
    <t xml:space="preserve">A) We'll call you as soon as the technical team has finished their checks. | B) I'll call you back by four tomorrow with an update, even if it isn't fixed. | C) I'll get back to you soon with some news, either way, once I hear something. | D) Hopefully it will be fixed by tomorrow, and I'll call you if there is any news.</t>
  </si>
  <si>
    <t xml:space="preserve">B has a time and a promise that does not depend on the fix. A and C sound positive but give no time, and D depends on a fix nobody can promise.</t>
  </si>
  <si>
    <t xml:space="preserve">back / you / call / tomorrow / I'll</t>
  </si>
  <si>
    <t xml:space="preserve">I'll call you back tomorrow</t>
  </si>
  <si>
    <t xml:space="preserve">Main aapko kal dopahar do baje tak call karke update doonga.</t>
  </si>
  <si>
    <t xml:space="preserve">I'll call you by two o'clock tomorrow afternoon with an update.</t>
  </si>
  <si>
    <t xml:space="preserve">Can you make it earlier? I'm busy after lunch.</t>
  </si>
  <si>
    <t xml:space="preserve">Of course. I'll call you by eleven tomorrow morning instead, with whatever news I have.</t>
  </si>
  <si>
    <t xml:space="preserve">Partner A has a broken oven that needs a parts check. Partner B explains it cannot be solved today, promises a callback with a day and time, and confirms the phone number.</t>
  </si>
  <si>
    <t xml:space="preserve">Record the sentence, then record a version with an email update instead of a call, with a day and a time.</t>
  </si>
  <si>
    <t xml:space="preserve">Did you give a clear time? · Did you say "fixed" as one syllable? · Did you say "call you back" or "get back to you"?</t>
  </si>
  <si>
    <t xml:space="preserve">CSV-I-013</t>
  </si>
  <si>
    <t xml:space="preserve">So, to sum up: I've reset your password and unlocked your account, and a confirmation email is on its way. Does that sort everything out for you?</t>
  </si>
  <si>
    <t xml:space="preserve">You have fixed a locked account and are about to end the call, so you recap before checking the issue is resolved.</t>
  </si>
  <si>
    <t xml:space="preserve">The fix is done and you are ready to close. What do you say to recap the call, and what do you ask before "anything else"?</t>
  </si>
  <si>
    <t xml:space="preserve">so-to-SUM-UP · i've-re-SET-your-PASS-word · and-un-LOCKED-your-ac-COUNT · and-a-con-fir-MA-tion-E-mail-is-on-its-WAY · does-that-SORT-EV-ery-thing-OUT</t>
  </si>
  <si>
    <t xml:space="preserve">sum_up → "suh-MUP" · unlocked_your → "un-LOCK-chyer" · on_its_way → "on-its-WAY" · sort_everything_out → "sor-tev-ree-thing-OUT"</t>
  </si>
  <si>
    <t xml:space="preserve">Pause after "sum up:". List the actions with a slight rise on "password" and a fall on "way". Rise on "for you?" as a real yes/no question.</t>
  </si>
  <si>
    <t xml:space="preserve">"Unlocked" ends in /kt/: "un-LOCKT", one beat at the end, not "un-lock-ed". "Everything" has /θ/: tongue between the teeth, not "every-ting".</t>
  </si>
  <si>
    <t xml:space="preserve">Clear, satisfied recap</t>
  </si>
  <si>
    <t xml:space="preserve">Pleased the account works again, and keen to get on with their day.</t>
  </si>
  <si>
    <t xml:space="preserve">Picture a waiter reading the bill aloud before you pay: everything you got, and a pause for you to say "yes, that's right".</t>
  </si>
  <si>
    <t xml:space="preserve">तो, संक्षेप में: मैंने आपका पासवर्ड रीसेट कर दिया है और अकाउंट अनलॉक कर दिया है, और कन्फ़र्मेशन ईमेल आ रहा है। क्या इससे आपकी समस्या पूरी तरह हल हो गई?</t>
  </si>
  <si>
    <t xml:space="preserve">To, sankshep mein: maine aapka password reset kar diya hai aur account unlock kar diya hai, aur confirmation email aa raha hai. Kya isse aapki samasya poori tarah hal ho gayi?</t>
  </si>
  <si>
    <t xml:space="preserve">Here is what I did: new password, account open, email coming. Is your problem fully solved now?</t>
  </si>
  <si>
    <t xml:space="preserve">The recap shows the customer exactly what changed, and the check question confirms the issue is really solved before you move to "anything else".</t>
  </si>
  <si>
    <t xml:space="preserve">So, to sum up: I've ___. Does that sort everything out for you?</t>
  </si>
  <si>
    <t xml:space="preserve">So, to sum up: + I've + past participle … · Does that + verb + for you?</t>
  </si>
  <si>
    <t xml:space="preserve">"I've reset" uses the present perfect because the result matters now.</t>
  </si>
  <si>
    <t xml:space="preserve">Asking if it is solved respects the customer's view. Jumping straight to "Anything else?" assumes it is fixed, which may not be true.</t>
  </si>
  <si>
    <t xml:space="preserve">✗ I have done reset of your password and account is unlocked. → ✓ I've reset your password and unlocked your account.</t>
  </si>
  <si>
    <t xml:space="preserve">"Okay, done. Anything else?" It skips the recap and assumes the customer is happy.</t>
  </si>
  <si>
    <t xml:space="preserve">Instead of "That's all, anything else?", say "So, to sum up: I've reset your password and unlocked your account. Does that sort everything out for you?"</t>
  </si>
  <si>
    <t xml:space="preserve">Just to recap, your password is reset, the account is unlocked and a confirmation email is coming. Is everything working now?</t>
  </si>
  <si>
    <t xml:space="preserve">So that's your password reset and your account unlocked, with an email on the way. Has that solved it for you?</t>
  </si>
  <si>
    <t xml:space="preserve">To summarise, I have reset your password and unlocked your account, and a confirmation email has been sent. Has this fully resolved the issue?</t>
  </si>
  <si>
    <t xml:space="preserve">Great. Is there anything else I can help you with today?</t>
  </si>
  <si>
    <t xml:space="preserve">Yes, all good, thanks. · I haven't got the email yet. · Will I need to reset it again?</t>
  </si>
  <si>
    <t xml:space="preserve">Customer: "I haven't got the email." → Agent: "It can take a few minutes. Could you check your spam folder? If it's not there in ten minutes, I'll send it again."</t>
  </si>
  <si>
    <t xml:space="preserve">Indian agents often close with "anything else, sir?" straight away. International callers may expect a short recap first; it sounds more complete and caring.</t>
  </si>
  <si>
    <t xml:space="preserve">Chat: list the actions as short lines, then ask "Is everything working now?" Email: put the summary in numbered points at the top.</t>
  </si>
  <si>
    <t xml:space="preserve">Do not ask "Does that sort everything out?" when you know the issue is still open; give the next steps instead.</t>
  </si>
  <si>
    <t xml:space="preserve">Customer: Okay, I can log in now. | Agent: So, to sum up: I've reset your password and unlocked your account, and a confirmation email is on its way. Does that sort everything out for you? | Customer: Yes, thanks. | Agent: Great. Is there anything else I can help you with today?</t>
  </si>
  <si>
    <t xml:space="preserve">Close the call by summarising the next steps, checking the issue is resolved, then "Is there anything else…?"</t>
  </si>
  <si>
    <t xml:space="preserve">So, to sum up: I've reset your password and unlocked your account. Does that ____ everything out for you?</t>
  </si>
  <si>
    <t xml:space="preserve">sort</t>
  </si>
  <si>
    <t xml:space="preserve">You have fixed the customer's issue. What is the best order for the close?</t>
  </si>
  <si>
    <t xml:space="preserve">A) Recap what you did, check it is solved, then ask if there is anything else. | B) Ask if there is anything else, then recap what you did and say goodbye. | C) Say goodbye warmly, then send the customer a summary email after the call. | D) Ask for a rating first, then recap what you did and say goodbye.</t>
  </si>
  <si>
    <t xml:space="preserve">A recaps, checks the fix and only then asks about more help. B asks "anything else" before the fix is confirmed, C never checks the result, and D puts the rating before the recap.</t>
  </si>
  <si>
    <t xml:space="preserve">sort / out / that / Does / everything</t>
  </si>
  <si>
    <t xml:space="preserve">Does that sort everything out</t>
  </si>
  <si>
    <t xml:space="preserve">Toh, sankshep mein: maine aapka address badal diya hai aur order dobara bhej diya hai.</t>
  </si>
  <si>
    <t xml:space="preserve">So, to sum up: I've changed your address and sent the order again.</t>
  </si>
  <si>
    <t xml:space="preserve">Not quite, I still can't log in on my phone.</t>
  </si>
  <si>
    <t xml:space="preserve">Thank you for telling me. Let's sort that out before we finish. Which app are you using on your phone?</t>
  </si>
  <si>
    <t xml:space="preserve">Partner A called to change a delivery address and add a phone number. Partner B recaps both changes, asks if that solves everything, then asks "anything else" and closes warmly.</t>
  </si>
  <si>
    <t xml:space="preserve">Record the recap and the check question, then record a second recap for a call where you changed a delivery date.</t>
  </si>
  <si>
    <t xml:space="preserve">Did you list what you did? · Did you check it was solved before "anything else"? · Did you say "unlocked" with a clean /kt/?</t>
  </si>
  <si>
    <t xml:space="preserve">CSV-I-014</t>
  </si>
  <si>
    <t xml:space="preserve">I have a reference number for your complaint. Do you have something to write it down with? I'll say it slowly.</t>
  </si>
  <si>
    <t xml:space="preserve">You have logged a complaint and need the customer to note the reference number for any future call.</t>
  </si>
  <si>
    <t xml:space="preserve">You have just created a case. Before you read out its number, what do you check, and how do you say it?</t>
  </si>
  <si>
    <t xml:space="preserve">i-HAVE-a-REF-rence-NUM-ber-for-your-com-PLAINT · do-you-HAVE-some-thing-to-WRITE-it-DOWN-with · i'll-SAY-it-SLOW-ly</t>
  </si>
  <si>
    <t xml:space="preserve">reference_number → "REF-rens-NUM-ber" · have_something → "ha-vsum-thing" · write_it_down → "ry-dit-DOWN" · say_it → "SAY-yit"</t>
  </si>
  <si>
    <t xml:space="preserve">Fall on "complaint". Rise on "write it down with?" because it is a yes/no question, then stop and wait for the answer. Calm, falling "I'll say it slowly." When you read the code, use short groups with a pause: "C-K … 4-7 … 2-9".</t>
  </si>
  <si>
    <t xml:space="preserve">Stress "reference" on the first syllable: REF-rence, two beats, not re-FER-ence. In "something", say /θ/ with the tongue between the teeth, not "sumting".</t>
  </si>
  <si>
    <t xml:space="preserve">Patient, careful instruction</t>
  </si>
  <si>
    <t xml:space="preserve">Mildly rushed, may be looking for a pen.</t>
  </si>
  <si>
    <t xml:space="preserve">Picture a teacher dictating: "Pens ready?", then reading each part slowly and waiting for the class to catch up.</t>
  </si>
  <si>
    <t xml:space="preserve">आपकी शिकायत के लिए मेरे पास एक रेफ़रेंस नंबर है। क्या आपके पास इसे लिखने के लिए कुछ है? मैं इसे धीरे-धीरे बोलूँगा/बोलूँगी।</t>
  </si>
  <si>
    <t xml:space="preserve">Aapki shikayat ke liye mere paas ek reference number hai. Kya aapke paas ise likhne ke liye kuch hai? Main ise dheere-dheere boloonga/boloongi.</t>
  </si>
  <si>
    <t xml:space="preserve">I have a case number for you. Please get something to write with, and I will say it slowly.</t>
  </si>
  <si>
    <t xml:space="preserve">Checking that they can write first stops the number being lost. With a reference, the next agent can find the case quickly and the customer does not have to explain again.</t>
  </si>
  <si>
    <t xml:space="preserve">I have a reference number for ___. Do you have something to write it down with?</t>
  </si>
  <si>
    <t xml:space="preserve">Do you have + something + to-infinitive + with?</t>
  </si>
  <si>
    <t xml:space="preserve">"Something to write it down with" ends in "with" because you write with a pen.</t>
  </si>
  <si>
    <t xml:space="preserve">Checking for a pen shows patience. Rattling off "CK4729, okay?" fast makes the customer ask again or give up.</t>
  </si>
  <si>
    <t xml:space="preserve">✗ Note down your reference number, it is CK4729. → ✓ I have a reference number for your complaint. Do you have something to write it down with?</t>
  </si>
  <si>
    <t xml:space="preserve">"Note it down: CK4729." said at full speed. The customer hears a blur of letters and numbers.</t>
  </si>
  <si>
    <t xml:space="preserve">Instead of "Note down quickly", say "Do you have something to write it down with? I'll say it slowly."</t>
  </si>
  <si>
    <t xml:space="preserve">I'll give you a reference number for this. Have you got a pen handy?</t>
  </si>
  <si>
    <t xml:space="preserve">I've got a case number for you. Just tell me when you're ready, and I'll read it out slowly.</t>
  </si>
  <si>
    <t xml:space="preserve">I have a reference number for your complaint. Would you like a moment to find something to note it down with? I will read it slowly.</t>
  </si>
  <si>
    <t xml:space="preserve">Thank you. The number is C-K … 4-7 … 2-9. Could you read it back to me, just to make sure I said it clearly?</t>
  </si>
  <si>
    <t xml:space="preserve">Hang on, let me get a pen. · Okay, go ahead. · Can you text it to me instead?</t>
  </si>
  <si>
    <t xml:space="preserve">Customer: "Can't you just text it to me?" → Agent: "Of course. I'll send it by SMS now, and I'll still say it once so you have it straight away."</t>
  </si>
  <si>
    <t xml:space="preserve">"Double seven" and "triple two" are common in India and the UK, but some callers, especially in the US, may not expect them. In a reference code, saying each digit separately is clearest.</t>
  </si>
  <si>
    <t xml:space="preserve">Chat: paste the reference on its own line so it can be copied. Email: put it in the subject line and the first sentence.</t>
  </si>
  <si>
    <t xml:space="preserve">Do not read the number while the customer is driving or clearly cannot write; offer to text or email it instead.</t>
  </si>
  <si>
    <t xml:space="preserve">Customer: Do I get a reference for this? | Agent: Yes. I have a reference number for your complaint. Do you have something to write it down with? I'll say it slowly. | Customer: Okay, I'm ready. | Agent: C-K … 4-7 … 2-9. Could you read it back to me?</t>
  </si>
  <si>
    <t xml:space="preserve">Give a reference the customer can quote next time, and check they have noted it correctly.</t>
  </si>
  <si>
    <t xml:space="preserve">Do you have something to ____ (starts with w) it down with? I'll say it slowly.</t>
  </si>
  <si>
    <t xml:space="preserve">write</t>
  </si>
  <si>
    <t xml:space="preserve">What is the best way to give a caller a reference number?</t>
  </si>
  <si>
    <t xml:space="preserve">A) Say it once at normal speed, then ask if they have any other questions. | B) Tell them it will arrive in an email later, so there is no need to write it. | C) Say it slowly with "double" and "triple" for repeated digits, then move on. | D) Check they can write, say it slowly in groups, then ask them to read it back.</t>
  </si>
  <si>
    <t xml:space="preserve">D checks the caller can write, uses slow groups and ends with a read-back. C is slow but skips the pen check and the read-back, and A and B leave the caller to remember or hunt for the number.</t>
  </si>
  <si>
    <t xml:space="preserve">something / you / Do / have / to / write / with / it / down</t>
  </si>
  <si>
    <t xml:space="preserve">Do you have something to write it down with</t>
  </si>
  <si>
    <t xml:space="preserve">Mere paas aapke liye ek ticket number hai. Kya aapke paas pen hai?</t>
  </si>
  <si>
    <t xml:space="preserve">I have a ticket number for you. Do you have a pen handy?</t>
  </si>
  <si>
    <t xml:space="preserve">Hang on, let me find a pen.</t>
  </si>
  <si>
    <t xml:space="preserve">No rush, take your time. Just tell me when you're ready.</t>
  </si>
  <si>
    <t xml:space="preserve">Partner A has reported a lost card. Partner B checks A can write, then gives a reference number in groups and asks A to read it back; A makes one mistake to correct.</t>
  </si>
  <si>
    <t xml:space="preserve">Record yourself giving two reference numbers in groups, with the pen check and the read-back request.</t>
  </si>
  <si>
    <t xml:space="preserve">Did you check they could write it down? · Did you read it in short groups? · Did you stress REF-rence on the first syllable?</t>
  </si>
  <si>
    <t xml:space="preserve">CSV-I-015</t>
  </si>
  <si>
    <t xml:space="preserve">I've been charged twice for the same thing.</t>
  </si>
  <si>
    <t xml:space="preserve">A customer calls after checking their bank app and seeing two payments for one order.</t>
  </si>
  <si>
    <t xml:space="preserve">A caller says they paid two times for one purchase. What do they want, and what do you need to find out first?</t>
  </si>
  <si>
    <t xml:space="preserve">i've-been-CHARGED-TWICE · for-the-SAME-THING</t>
  </si>
  <si>
    <t xml:space="preserve">I've_been → "aiv-bin" · charged_twice → "charj-TWICE" · same_thing → "SAYM-thing"</t>
  </si>
  <si>
    <t xml:space="preserve">The customer usually stresses "twice" hard and falls on "thing". A rising, sharp tone means they are angry; a flat tone means they are tired or worried.</t>
  </si>
  <si>
    <t xml:space="preserve">When you repeat it back, say "charged" as one syllable, "charjd", not "char-ged". Say "thing" with /θ/, tongue between the teeth, not "ting".</t>
  </si>
  <si>
    <t xml:space="preserve">Annoyed, worried complaint</t>
  </si>
  <si>
    <t xml:space="preserve">Worried about losing money and annoyed at the mistake.</t>
  </si>
  <si>
    <t xml:space="preserve">Picture a shop till ringing up the same item twice while the customer watches: they want the second ring taken off, fast.</t>
  </si>
  <si>
    <t xml:space="preserve">एक ही चीज़ के लिए मेरे खाते से दो बार पैसे काट लिए गए हैं।</t>
  </si>
  <si>
    <t xml:space="preserve">Ek hi cheez ke liye mere khaate se do baar paise kaat liye gaye hain.</t>
  </si>
  <si>
    <t xml:space="preserve">The customer paid two times for one product or service and wants one payment back.</t>
  </si>
  <si>
    <t xml:space="preserve">The real need is reassurance that the money is safe and will come back. They may also suspect fraud, so a calm, quick check matters more than a long apology.</t>
  </si>
  <si>
    <t xml:space="preserve">I've been charged ___ for ___.</t>
  </si>
  <si>
    <t xml:space="preserve">I've been + past participle (passive present perfect) + for + noun</t>
  </si>
  <si>
    <t xml:space="preserve">"I've been charged" is passive: someone charged the customer, and the result matters now.</t>
  </si>
  <si>
    <t xml:space="preserve">The customer is not blaming you personally. Reply calmly and with a specific apology; "This is not possible, our system doesn't do that" sounds defensive.</t>
  </si>
  <si>
    <t xml:space="preserve">✗ (Agent) Sir, you might have paid two times yourself. → ✓ I'm sorry you've been charged twice. Let me check both payments for you now.</t>
  </si>
  <si>
    <t xml:space="preserve">"Our system can't charge twice." It contradicts the customer before you have checked and makes them angrier.</t>
  </si>
  <si>
    <t xml:space="preserve">Instead of "That is not possible", say "I'm sorry you've been charged twice. Let me check both payments for you now."</t>
  </si>
  <si>
    <t xml:space="preserve">You've taken the money twice for one order.</t>
  </si>
  <si>
    <t xml:space="preserve">I can see two payments for the same order on my statement.</t>
  </si>
  <si>
    <t xml:space="preserve">I would like to report a duplicate charge for a single purchase.</t>
  </si>
  <si>
    <t xml:space="preserve">I'm sorry you've been charged twice. In your bank app, do both payments say "completed", or is one still "pending"?</t>
  </si>
  <si>
    <t xml:space="preserve">Both were on Monday, 40 dollars each. · I don't know, I just saw it on my app. · Is my card hacked?</t>
  </si>
  <si>
    <t xml:space="preserve">Customer: "I want my money back right now!" → Agent: "I understand, it's your money and you want it back. I'm checking both payments now, and once I find the duplicate I'll start the refund on this call."</t>
  </si>
  <si>
    <t xml:space="preserve">Indian agents may reply "the same will be refunded". International customers may not expect "the same" used this way; naming it ("the second payment will be refunded") is clearer.</t>
  </si>
  <si>
    <t xml:space="preserve">Chat: customers often write "charged 2x!!" or "double charged". Email: they may attach a screenshot of the statement, so check it before asking for details.</t>
  </si>
  <si>
    <t xml:space="preserve">Do not treat this as fraud straight away; first check whether it is a duplicate charge or a temporary hold that will disappear.</t>
  </si>
  <si>
    <t xml:space="preserve">Customer: I've been charged twice for the same thing. | Agent: I'm sorry you've been charged twice. In your bank app, do both payments say "completed", or is one still "pending"? | Customer: Both say completed, 40 dollars each, on Monday. | Agent: Thank you. I can see both on my side too, so I'm refunding the second one now.</t>
  </si>
  <si>
    <t xml:space="preserve">Paraphrase before solving and apologise specifically; take responsibility, then offer a fix.</t>
  </si>
  <si>
    <t xml:space="preserve">I've ____ charged twice for the same thing.</t>
  </si>
  <si>
    <t xml:space="preserve">been</t>
  </si>
  <si>
    <t xml:space="preserve">A customer says "I've been charged twice for the same thing." What do they most likely want?</t>
  </si>
  <si>
    <t xml:space="preserve">A) They want the duplicate checked and the extra money returned. | B) They want to cancel the whole order and close their account. | C) They want a discount on their next order as an apology. | D) They want you to explain how the payment system works.</t>
  </si>
  <si>
    <t xml:space="preserve">They paid twice for one thing, so they want the duplicate checked and the extra money returned. B is tempting, but nothing in the sentence suggests they dislike the order; only the double payment is the problem.</t>
  </si>
  <si>
    <t xml:space="preserve">both / Let / check / payments / me / now</t>
  </si>
  <si>
    <t xml:space="preserve">Let me check both payments now</t>
  </si>
  <si>
    <t xml:space="preserve">Customer keh raha hai ki ek order ke liye do baar paisa kata. Aap maafi maangiye aur kahiye ki aap dono payment abhi check karte hain.</t>
  </si>
  <si>
    <t xml:space="preserve">I'm sorry you've been charged twice. Let me check both payments for you right now.</t>
  </si>
  <si>
    <t xml:space="preserve">Is my card hacked or something?</t>
  </si>
  <si>
    <t xml:space="preserve">I can see both payments came from our checkout, so it looks like a duplicate, not fraud. I'll start the refund for the second one now.</t>
  </si>
  <si>
    <t xml:space="preserve">Partner A was charged twice for a 30-dollar phone case. Partner B apologises, asks for the date and amounts, confirms the duplicate and explains when the refund will arrive.</t>
  </si>
  <si>
    <t xml:space="preserve">Record your reply to this customer: a short apology, the question you need answered, and what you will do next.</t>
  </si>
  <si>
    <t xml:space="preserve">Did you apologise before asking for details? · Did you avoid saying "not possible"? · Did you tell the customer what happens next?</t>
  </si>
  <si>
    <t xml:space="preserve">CSV-I-016</t>
  </si>
  <si>
    <t xml:space="preserve">This is the third time I'm calling about this.</t>
  </si>
  <si>
    <t xml:space="preserve">A customer rings again about a broken washing machine that two earlier calls failed to fix.</t>
  </si>
  <si>
    <t xml:space="preserve">A caller says they have rung several times about one problem. What are they really feeling, and what must you do first?</t>
  </si>
  <si>
    <t xml:space="preserve">THIS-is-the-THIRD-TIME · i'm-CALL-ing-a-BOUT-THIS</t>
  </si>
  <si>
    <t xml:space="preserve">this_is → "thi-siz" · third_time → "thurd-TIME" · calling_about → "kaw-lin-guh-BOUT"</t>
  </si>
  <si>
    <t xml:space="preserve">The customer often stresses "third" and slows down on it. A sharp fall at the end shows anger; a tired, low voice shows they have almost given up.</t>
  </si>
  <si>
    <t xml:space="preserve">When you repeat "third", start with /θ/, tongue between the teeth, and keep the "r" light: "thurd", not "tird" or "tard". "This" needs /ð/, not "dis".</t>
  </si>
  <si>
    <t xml:space="preserve">Frustrated, losing patience</t>
  </si>
  <si>
    <t xml:space="preserve">Fed up, ignored and close to giving up on the company.</t>
  </si>
  <si>
    <t xml:space="preserve">Picture someone knocking on the same door for the third time, louder each time: the knock is not about the door, it is about being ignored.</t>
  </si>
  <si>
    <t xml:space="preserve">इसके बारे में मैं तीसरी बार कॉल कर रहा/रही हूँ।</t>
  </si>
  <si>
    <t xml:space="preserve">Iske baare mein main teesri baar call kar raha/rahi hoon.</t>
  </si>
  <si>
    <t xml:space="preserve">I have already called two times about this problem, and it is still not fixed.</t>
  </si>
  <si>
    <t xml:space="preserve">The customer is saying "nobody has taken responsibility". They need acknowledgement of the repeat calls, proof you know the history, and one person who will own it.</t>
  </si>
  <si>
    <t xml:space="preserve">This is the ___ time I'm calling about ___.</t>
  </si>
  <si>
    <t xml:space="preserve">This is the + ordinal + time + I'm + verb-ing + about + noun</t>
  </si>
  <si>
    <t xml:space="preserve">After "This is the third time", you will hear both "I'm calling" and "I've called"; both are natural on the phone.</t>
  </si>
  <si>
    <t xml:space="preserve">It is a complaint, not a question. Replying "Okay, what is the issue?" ignores the history and sounds as if you have not listened at all.</t>
  </si>
  <si>
    <t xml:space="preserve">✗ (Agent) Sorry for the inconvenience. Please give me your complaint details. → ✓ I'm sorry you've had to call three times. I can see the notes from your earlier calls.</t>
  </si>
  <si>
    <t xml:space="preserve">"Please explain the problem from the beginning." It proves the customer's fear that nobody remembers them.</t>
  </si>
  <si>
    <t xml:space="preserve">Instead of "Please tell me your problem again", say "I'm sorry you've had to call three times. I can see the earlier notes, so let's fix it now."</t>
  </si>
  <si>
    <t xml:space="preserve">I've rung you three times now about this.</t>
  </si>
  <si>
    <t xml:space="preserve">I keep calling and nothing gets done.</t>
  </si>
  <si>
    <t xml:space="preserve">This is my third call regarding this matter, and it is still unresolved.</t>
  </si>
  <si>
    <t xml:space="preserve">I'm sorry you've had to call three times. I can see the notes from your earlier calls, and I'll take care of it personally now.</t>
  </si>
  <si>
    <t xml:space="preserve">I hope so, because I'm tired of this. · Every time someone says that. · Then why hasn't anyone fixed it?</t>
  </si>
  <si>
    <t xml:space="preserve">Customer: "Everyone says they'll fix it!" → Agent: "After two calls, I don't blame you for doubting it. I'm booking the engineer now, and I'll call you tomorrow to confirm the visit."</t>
  </si>
  <si>
    <t xml:space="preserve">Indian agents may say "sorry, sir, I will check" and start the script again. International customers may not expect a fresh start; they expect you to know the history and say so.</t>
  </si>
  <si>
    <t xml:space="preserve">Chat: often "3rd time contacting u about this!!!" Email: subject lines may say "THIRD REQUEST"; reply with the case history in the first line.</t>
  </si>
  <si>
    <t xml:space="preserve">Do not claim you can see the history if you cannot; say honestly that the notes are missing and apologise for that too.</t>
  </si>
  <si>
    <t xml:space="preserve">Customer: This is the third time I'm calling about this. | Agent: I'm sorry you've had to call three times. I can see the notes from your earlier calls, and I'll take care of it personally now. | Customer: Fine, but I want it fixed this week. | Agent: I'm booking the engineer for Thursday and I'll call you on Wednesday to confirm.</t>
  </si>
  <si>
    <t xml:space="preserve">HEARD (often credited to Disney): hear, empathise, apologise, resolve; take ownership so the customer does not repeat the story.</t>
  </si>
  <si>
    <t xml:space="preserve">This is the third ____ I'm calling about this.</t>
  </si>
  <si>
    <t xml:space="preserve">A customer says "This is the third time I'm calling about this." What is the best first reply?</t>
  </si>
  <si>
    <t xml:space="preserve">A) Thank you for calling. Could you please start from the beginning and tell me what happened? | B) I'm sorry for the inconvenience. Please bear with me while I open your account. | C) I'm sorry you've had to call three times. I can see your notes, so I'll take care of it. | D) I understand, sir. Please be patient, and I will send this to the right team.</t>
  </si>
  <si>
    <t xml:space="preserve">C acknowledges the repeat calls, shows you know the history and takes ownership. A and B make the customer start again or wait, and D passes the problem on to someone else.</t>
  </si>
  <si>
    <t xml:space="preserve">earlier / see / notes / I / your / can</t>
  </si>
  <si>
    <t xml:space="preserve">I can see your earlier notes</t>
  </si>
  <si>
    <t xml:space="preserve">Customer teesri baar call kar raha hai. Pehle maafi maangiye, phir boliye ki aapke paas pichli calls ke notes hain, taaki unhe kuch dohrana na pade.</t>
  </si>
  <si>
    <t xml:space="preserve">I'm sorry you've had to call again. I have the notes from your earlier calls, so you won't need to repeat anything.</t>
  </si>
  <si>
    <t xml:space="preserve">Then why hasn't anyone fixed it?</t>
  </si>
  <si>
    <t xml:space="preserve">That's a fair question, and I'm sorry it has taken three calls. The part was never ordered. I've ordered it now, and I'll call you on Wednesday with the delivery date.</t>
  </si>
  <si>
    <t xml:space="preserve">Partner A is calling for the third time about a router that keeps dropping. Partner B acknowledges the repeat calls, mentions the earlier notes, takes ownership and gives a date.</t>
  </si>
  <si>
    <t xml:space="preserve">Record your full reply to this customer, including the acknowledgement, the ownership line and a clear next step with a time.</t>
  </si>
  <si>
    <t xml:space="preserve">Did you acknowledge the repeat calls? · Did you avoid asking them to start again? · Did you give a clear next step?</t>
  </si>
  <si>
    <t xml:space="preserve">CSV-I-017</t>
  </si>
  <si>
    <t xml:space="preserve">It keeps freezing whenever I open it.</t>
  </si>
  <si>
    <t xml:space="preserve">A customer calls about the company's banking app on their phone, which stops responding each time it starts.</t>
  </si>
  <si>
    <t xml:space="preserve">A caller says something "keeps freezing". What exactly is happening, and what two questions do you ask next?</t>
  </si>
  <si>
    <t xml:space="preserve">it-KEEPS-FREEZ-ing · when-EV-er-i-O-pen-it</t>
  </si>
  <si>
    <t xml:space="preserve">keeps_freezing → "keep-SFREE-zing" · whenever_I → "wen-ev-ruh-RYE" · open_it → "OH-puh-nit"</t>
  </si>
  <si>
    <t xml:space="preserve">The customer often stresses "keeps" to show it happens again and again. A falling end shows frustration; a rising end may mean they are unsure what is wrong.</t>
  </si>
  <si>
    <t xml:space="preserve">When you repeat it, say "freezing" with a buzzing /z/ in the middle: "FREE-zing", not "free-sing". "Whenever" starts with /w/, rounded lips, not "venever".</t>
  </si>
  <si>
    <t xml:space="preserve">Frustrated, puzzled report</t>
  </si>
  <si>
    <t xml:space="preserve">Irritated and unable to do what they need on the app.</t>
  </si>
  <si>
    <t xml:space="preserve">Picture a video call where the other person's face freezes mid-word, every single time you dial: that is "keeps freezing".</t>
  </si>
  <si>
    <t xml:space="preserve">जब भी मैं इसे खोलता/खोलती हूँ, यह बार-बार अटक जाता है।</t>
  </si>
  <si>
    <t xml:space="preserve">Jab bhi main ise kholta/kholti hoon, yeh baar-baar atak jaata hai.</t>
  </si>
  <si>
    <t xml:space="preserve">Every time I start the app, the screen stops moving and I cannot use it.</t>
  </si>
  <si>
    <t xml:space="preserve">"Keeps" means it happens again and again, and "freezing" means the screen stops responding. The customer needs a fix, but first you need the device and the exact moment it stops.</t>
  </si>
  <si>
    <t xml:space="preserve">It keeps ___ whenever I ___.</t>
  </si>
  <si>
    <t xml:space="preserve">keep + verb-ing (repeated action) · whenever + present simple</t>
  </si>
  <si>
    <t xml:space="preserve">"Keeps freezing" means it freezes again and again; "whenever" means every time.</t>
  </si>
  <si>
    <t xml:space="preserve">The customer is frustrated with the app, not with you. "Your phone may be old" sounds like you are blaming them before checking anything.</t>
  </si>
  <si>
    <t xml:space="preserve">✗ (Agent) So your app is stopped working every time? → ✓ So the app stops responding every time you open it. Is that right?</t>
  </si>
  <si>
    <t xml:space="preserve">"Uninstall and install it again." said as the first reply. It skips the questions and may lose the customer's saved data.</t>
  </si>
  <si>
    <t xml:space="preserve">Instead of "Your phone is the problem", say "Let's find out what's causing it. What phone are you using?"</t>
  </si>
  <si>
    <t xml:space="preserve">It hangs every time I start it.</t>
  </si>
  <si>
    <t xml:space="preserve">The app gets stuck as soon as I open it.</t>
  </si>
  <si>
    <t xml:space="preserve">The application becomes unresponsive each time I launch it.</t>
  </si>
  <si>
    <t xml:space="preserve">That sounds annoying. Does it freeze straight away, or after you log in? And what phone are you using?</t>
  </si>
  <si>
    <t xml:space="preserve">Straight away, on the first screen. · After I put in my PIN. · It's an older Android phone.</t>
  </si>
  <si>
    <t xml:space="preserve">Customer: "Just fix it, I don't know the technical stuff!" → Agent: "That's fine, you don't need to. Just tell me what you see on the screen, and I'll guide you step by step."</t>
  </si>
  <si>
    <t xml:space="preserve">In Indian English, "it is hanging" is common, and "hung" is the standard past form ("it hung"). Many international customers say "freeze", "crash" or "get stuck" instead.</t>
  </si>
  <si>
    <t xml:space="preserve">Chat: often "app keeps freezing wen i open it". Email: ask for a screenshot and the phone model in your first reply.</t>
  </si>
  <si>
    <t xml:space="preserve">Do not treat "freezing" as "crashing" without checking; freezing means it stays open but stops, crashing means it closes by itself.</t>
  </si>
  <si>
    <t xml:space="preserve">Customer: It keeps freezing whenever I open it. | Agent: That sounds annoying. Does it freeze straight away, or after you log in? | Customer: Straight away, on the first screen. | Agent: Thanks. So the app freezes on the first screen every time. Let's try updating it first. Could you open your app store?</t>
  </si>
  <si>
    <t xml:space="preserve">Paraphrase before solving and ask clarifying questions, so you fix the right problem.</t>
  </si>
  <si>
    <t xml:space="preserve">It keeps ____ (freeze) whenever I open it.</t>
  </si>
  <si>
    <t xml:space="preserve">freezing</t>
  </si>
  <si>
    <t xml:space="preserve">A customer says their app "keeps freezing". What does this mean?</t>
  </si>
  <si>
    <t xml:space="preserve">A) The app closes by itself a few seconds after the customer opens it. | B) The app will not install on the customer's phone at all. | C) The app opens, but it is very slow to load the first screen. | D) The app opens, but the screen stops responding again and again.</t>
  </si>
  <si>
    <t xml:space="preserve">Freezing means the screen stops responding but the app stays open. A is tempting, but that is crashing, which needs different questions. C is slowness, not a complete stop.</t>
  </si>
  <si>
    <t xml:space="preserve">open / I / freezing / whenever / it / keeps / It</t>
  </si>
  <si>
    <t xml:space="preserve">It keeps freezing whenever I open it</t>
  </si>
  <si>
    <t xml:space="preserve">Customer bol raha hai app baar-baar atak jaata hai. Pehle afsos jataiye, phir poochhiye ki kab atakta hai aur kaun-sa phone hai.</t>
  </si>
  <si>
    <t xml:space="preserve">I'm sorry the app keeps freezing. When does it freeze, and what phone are you using?</t>
  </si>
  <si>
    <t xml:space="preserve">It's an old Android phone, about four years old.</t>
  </si>
  <si>
    <t xml:space="preserve">Thanks. Let's check for an app update first, because updates often fix freezing.</t>
  </si>
  <si>
    <t xml:space="preserve">Partner A's food-delivery app freezes on the payment screen. Partner B asks when it freezes and which phone A uses, paraphrases the answer, and gives one first step.</t>
  </si>
  <si>
    <t xml:space="preserve">Record your reply to this customer with a short empathy line and your two clarifying questions.</t>
  </si>
  <si>
    <t xml:space="preserve">Did you ask when it freezes? · Did you ask which device they use? · Did you avoid blaming the customer's phone?</t>
  </si>
  <si>
    <t xml:space="preserve">CSV-I-018</t>
  </si>
  <si>
    <t xml:space="preserve">Can you just tell me when it'll arrive?</t>
  </si>
  <si>
    <t xml:space="preserve">The agent has been explaining the courier process for a while, and the customer interrupts because they only want the delivery date, which you can see on the tracking screen.</t>
  </si>
  <si>
    <t xml:space="preserve">A caller interrupts with "can you just tell me…". What is the word "just" telling you, and how should your reply begin?</t>
  </si>
  <si>
    <t xml:space="preserve">can-you-JUST-TELL-me · WHEN-it'll-ar-RIVE</t>
  </si>
  <si>
    <t xml:space="preserve">can_you → "kuh-nyoo" · tell_me → "TEL-mee" · when_it'll → "we-NIT-ul" · it'll_arrive → "it-luh-RIVE"</t>
  </si>
  <si>
    <t xml:space="preserve">Heavy stress on "just" and "when", often with a sharp, falling end. That fall signals impatience, not a real yes/no question.</t>
  </si>
  <si>
    <t xml:space="preserve">When you answer, say "arrive" with stress on the second syllable, a-RIVE, and a clear /v/ at the end with teeth on the lip. Do not let "it'll" become "it will" with full stress; keep it short.</t>
  </si>
  <si>
    <t xml:space="preserve">Impatient, wanting a straight answer</t>
  </si>
  <si>
    <t xml:space="preserve">Impatient and tired of hearing about the process.</t>
  </si>
  <si>
    <t xml:space="preserve">Picture someone at a bus stop who does not want the route map, only the time the bus comes. Give them the time first.</t>
  </si>
  <si>
    <t xml:space="preserve">क्या आप बस इतना बता सकते/सकती हैं कि यह कब पहुँचेगा?</t>
  </si>
  <si>
    <t xml:space="preserve">Kya aap bas itna bata sakte/sakti hain ki yeh kab pahunchega?</t>
  </si>
  <si>
    <t xml:space="preserve">Stop explaining the process; I only want to know the delivery day.</t>
  </si>
  <si>
    <t xml:space="preserve">"Just" shows the customer feels the agent is talking too much. They need the answer first, in one short sentence, and details only if they ask.</t>
  </si>
  <si>
    <t xml:space="preserve">Can you just tell me ___?</t>
  </si>
  <si>
    <t xml:space="preserve">Can you just + verb + me + wh- clause (when + subject + will + verb)</t>
  </si>
  <si>
    <t xml:space="preserve">"Just" here means "only" or "simply"; it shows impatience, not rudeness.</t>
  </si>
  <si>
    <t xml:space="preserve">The customer sounds blunt but is not being rude. Giving more explanation after this sounds like you are not listening.</t>
  </si>
  <si>
    <t xml:space="preserve">✗ (Agent) Sir, first let me explain the process. → ✓ Yes, it's due on Thursday, between 9 a.m. and 1 p.m.</t>
  </si>
  <si>
    <t xml:space="preserve">"As I was saying, the courier partner will…" It ignores the request and makes the customer angrier.</t>
  </si>
  <si>
    <t xml:space="preserve">Instead of "Please listen, I am explaining", say "Of course. It's due to arrive on Thursday, between 9 a.m. and 1 p.m."</t>
  </si>
  <si>
    <t xml:space="preserve">When is it actually coming?</t>
  </si>
  <si>
    <t xml:space="preserve">I just need a date, please.</t>
  </si>
  <si>
    <t xml:space="preserve">Could you please confirm the expected delivery date?</t>
  </si>
  <si>
    <t xml:space="preserve">Of course. It's due to arrive on Thursday, between 9 a.m. and 1 p.m.</t>
  </si>
  <si>
    <t xml:space="preserve">Thursday? Not before? · Okay, thank you. · Will someone call before they come?</t>
  </si>
  <si>
    <t xml:space="preserve">Customer: "Thursday? That's too late!" → Agent: "I understand, you were hoping for sooner. Could you hold for about a minute while I check whether a faster delivery is possible for this parcel?"</t>
  </si>
  <si>
    <t xml:space="preserve">Some agents explain the whole process first to be thorough. International customers may not expect that; many prefer the answer first and the reason only if they ask.</t>
  </si>
  <si>
    <t xml:space="preserve">Chat: often "just tell me when it's coming" or "ETA??". Reply with the date in the first line. Email: put the date in the first sentence.</t>
  </si>
  <si>
    <t xml:space="preserve">Do not give a date you are unsure of just to please the customer; say what the system shows and that you will confirm.</t>
  </si>
  <si>
    <t xml:space="preserve">Customer: Can you just tell me when it'll arrive? | Agent: Of course. It's due to arrive on Thursday, between 9 a.m. and 1 p.m. | Customer: Okay, good. | Agent: You'll also get a text on Thursday morning with a tracking link.</t>
  </si>
  <si>
    <t xml:space="preserve">Reduce customer effort: give a clear timeline first; be specific about what will happen and when.</t>
  </si>
  <si>
    <t xml:space="preserve">Can you ____ (only, simply) tell me when it'll arrive?</t>
  </si>
  <si>
    <t xml:space="preserve">just</t>
  </si>
  <si>
    <t xml:space="preserve">In "Can you just tell me when it'll arrive?", what does the word "just" show?</t>
  </si>
  <si>
    <t xml:space="preserve">A) The customer is relaxed and would like to chat about the delivery. | B) The customer is asking politely and has plenty of time to listen. | C) The customer is impatient and wants only the date, not an explanation. | D) The customer is unsure about the date and wants to cancel the order.</t>
  </si>
  <si>
    <t xml:space="preserve">"Just" means "only" here and signals impatience with long explanations. D is tempting because the customer sounds annoyed, but they are asking for a date, not cancelling. A and B ignore the tone.</t>
  </si>
  <si>
    <t xml:space="preserve">Thursday / arrive / It's / on / to / due</t>
  </si>
  <si>
    <t xml:space="preserve">It's due to arrive on Thursday</t>
  </si>
  <si>
    <t xml:space="preserve">Customer sirf delivery ki date jaanna chahta hai. Seedha date aur time batayiye.</t>
  </si>
  <si>
    <t xml:space="preserve">Of course. It's due on Thursday, between 9 a.m. and 1 p.m.</t>
  </si>
  <si>
    <t xml:space="preserve">Thursday? Not before?</t>
  </si>
  <si>
    <t xml:space="preserve">I've checked, and Thursday is the earliest. I'll ask the courier to call you an hour before.</t>
  </si>
  <si>
    <t xml:space="preserve">Partner B starts explaining the warehouse process; Partner A interrupts with "Can you just tell me when it'll arrive?" Partner B stops, gives the date and time window in one sentence, and offers a tracking text.</t>
  </si>
  <si>
    <t xml:space="preserve">Record your reply to this customer: the date and time window first, then one helpful extra detail.</t>
  </si>
  <si>
    <t xml:space="preserve">Did you give the date in your first sentence? · Did you stop explaining the process? · Did you keep your reply short?</t>
  </si>
  <si>
    <t xml:space="preserve">CSV-I-019</t>
  </si>
  <si>
    <t xml:space="preserve">I never signed up for this.</t>
  </si>
  <si>
    <t xml:space="preserve">A customer has noticed a monthly subscription charge on their card and calls to dispute it.</t>
  </si>
  <si>
    <t xml:space="preserve">A caller says they never agreed to a subscription they are paying for. What might really have happened, and how do you start?</t>
  </si>
  <si>
    <t xml:space="preserve">i-NEV-er-SIGNED-UP · for-THIS</t>
  </si>
  <si>
    <t xml:space="preserve">never_signed → "NEV-er-SYND" · signed_up → "syn-DUP" · up_for → "up-fer"</t>
  </si>
  <si>
    <t xml:space="preserve">Heavy stress on "never" and often on "this", with a sharp fall. It can sound accusing; the customer may feel tricked.</t>
  </si>
  <si>
    <t xml:space="preserve">When you repeat it, say "signed" as "synd", one syllable with a soft final /d/; the "g" is silent. "Never" needs a /v/ with teeth on the lip, not "newer".</t>
  </si>
  <si>
    <t xml:space="preserve">Suspicious, accusing denial</t>
  </si>
  <si>
    <t xml:space="preserve">Feeling cheated, suspicious and worried about more charges.</t>
  </si>
  <si>
    <t xml:space="preserve">Picture finding a gym card in your wallet that you never asked for: you want to know how it got there, and you want it gone.</t>
  </si>
  <si>
    <t xml:space="preserve">मैंने इसके लिए कभी साइन अप नहीं किया।</t>
  </si>
  <si>
    <t xml:space="preserve">Maine iske liye kabhi sign up nahin kiya.</t>
  </si>
  <si>
    <t xml:space="preserve">I did not agree to join this service, so I should not be paying for it.</t>
  </si>
  <si>
    <t xml:space="preserve">The customer feels tricked and fears more money will go. They need you to take it seriously, find out how it started without blaming them, and stop or refund it.</t>
  </si>
  <si>
    <t xml:space="preserve">I never ___ for this.</t>
  </si>
  <si>
    <t xml:space="preserve">I + never + past simple verb + up + for + noun</t>
  </si>
  <si>
    <t xml:space="preserve">"Sign up for" is a phrasal verb meaning "join" or "register for".</t>
  </si>
  <si>
    <t xml:space="preserve">The customer may sound accusing. Saying "You must have clicked on it" blames them and turns the call into an argument.</t>
  </si>
  <si>
    <t xml:space="preserve">✗ (Agent) You must have done it by mistake. → ✓ I understand. Let's find out how this started, and I'll stop it if it shouldn't be there.</t>
  </si>
  <si>
    <t xml:space="preserve">"You must have subscribed yourself." It blames the customer before you have checked anything.</t>
  </si>
  <si>
    <t xml:space="preserve">Instead of "It shows you subscribed", say "Let's find out how this started. I can see it began on 3 May. Does that date mean anything to you?"</t>
  </si>
  <si>
    <t xml:space="preserve">I didn't agree to this at all.</t>
  </si>
  <si>
    <t xml:space="preserve">I don't remember joining anything like this.</t>
  </si>
  <si>
    <t xml:space="preserve">I have no record of subscribing to this service.</t>
  </si>
  <si>
    <t xml:space="preserve">I understand, and I'll look into it now. I can see it started on 3 May after a free trial. Does that ring a bell?</t>
  </si>
  <si>
    <t xml:space="preserve">No, never. · Oh, maybe that free trial? · Just cancel it and give me my money back.</t>
  </si>
  <si>
    <t xml:space="preserve">Customer: "I want all my money back!" → Agent: "I understand. I'll cancel it now so nothing more is taken, and I'll check what I can refund for the past months."</t>
  </si>
  <si>
    <t xml:space="preserve">Indian agents may say "as per our records, you have subscribed". International customers may not expect that phrase and may hear it as "you are lying"; describing what you see and asking is calmer.</t>
  </si>
  <si>
    <t xml:space="preserve">Chat: often "i never signed up for this??" or "didnt sign up for anything". Email: may include the bank statement; quote the date and amount back to them.</t>
  </si>
  <si>
    <t xml:space="preserve">Do not say "I can see you signed up" as your first line, even if it is true; it sounds like an argument before you have listened.</t>
  </si>
  <si>
    <t xml:space="preserve">Customer: I never signed up for this. | Agent: I understand, and I'll look into it now. I can see it started on 3 May after a free trial. Does that ring a bell? | Customer: Oh, maybe. But I don't want it. | Agent: Of course. I'll cancel it now, so there are no more charges.</t>
  </si>
  <si>
    <t xml:space="preserve">Don't hide behind records or policy: listen without blaming, give the facts in plain words, then offer what you can do.</t>
  </si>
  <si>
    <t xml:space="preserve">I never ____ (sign) up for this.</t>
  </si>
  <si>
    <t xml:space="preserve">signed</t>
  </si>
  <si>
    <t xml:space="preserve">A customer says "I never signed up for this." What is the best first reply?</t>
  </si>
  <si>
    <t xml:space="preserve">A) Let's find out how this started, and I'll stop it if it shouldn't be there. | B) I can see that you subscribed on 3 May, so the charge is correct, I'm afraid. | C) I'm sorry about that. Could you check whether someone else in your home signed up? | D) Our system shows your consent, so I can't cancel it without a good reason.</t>
  </si>
  <si>
    <t xml:space="preserve">A takes the customer seriously and moves to a fix without blame. B is tempting because it is factual, but it sounds like calling the customer a liar. C hands the investigation to the customer, and D hides behind the system.</t>
  </si>
  <si>
    <t xml:space="preserve">started / out / this / find / how / Let's</t>
  </si>
  <si>
    <t xml:space="preserve">Let's find out how this started</t>
  </si>
  <si>
    <t xml:space="preserve">Customer keh raha hai usne kabhi join nahin kiya. Uski baat sun kar boliye ki aap check karenge kaise shuru hua, aur agar yeh nahin hona chahiye tha to ise band kar denge.</t>
  </si>
  <si>
    <t xml:space="preserve">I understand. Let me check how this started, and I'll stop it if it shouldn't be there.</t>
  </si>
  <si>
    <t xml:space="preserve">Oh, maybe it was that free trial.</t>
  </si>
  <si>
    <t xml:space="preserve">That's likely. The trial turned into a paid plan when it ended. I can cancel it now, so nothing more is charged.</t>
  </si>
  <si>
    <t xml:space="preserve">Partner A sees a 9-dollar monthly music charge they do not recognise. Partner B listens, checks the start date without blaming A, explains the free trial and cancels it.</t>
  </si>
  <si>
    <t xml:space="preserve">Record your reply to this customer: an acknowledgement, what you can see, and a question that helps them remember, all without blame.</t>
  </si>
  <si>
    <t xml:space="preserve">Did you avoid blaming the customer? · Did you give a fact, such as the start date? · Did you offer to stop further charges?</t>
  </si>
  <si>
    <t xml:space="preserve">CSV-I-020</t>
  </si>
  <si>
    <t xml:space="preserve">I'll think about it and get back to you.</t>
  </si>
  <si>
    <t xml:space="preserve">You have offered the customer an upgrade to a faster broadband plan, and they answer at the end of the call.</t>
  </si>
  <si>
    <t xml:space="preserve">At the end of an offer, a caller says they will think about it. What might they really mean, and how do you close well?</t>
  </si>
  <si>
    <t xml:space="preserve">i'll-THINK-a-BOUT-it · and-GET-BACK-to-you</t>
  </si>
  <si>
    <t xml:space="preserve">think_about_it → "thing-kuh-BOU-tit" · get_back → "geh-BACK" · back_to_you → "BAK-tuh-yoo"</t>
  </si>
  <si>
    <t xml:space="preserve">A light, falling tone often means a polite "no for now". A slower, thoughtful tone means they are really considering it. Listen to the pace, not only the words.</t>
  </si>
  <si>
    <t xml:space="preserve">When you reply, say "think" with /θ/, tongue between the teeth, not "tink". In "about it", link the /t/ into "it": "a-bou-tit", not two separate words.</t>
  </si>
  <si>
    <t xml:space="preserve">Polite, non-committal</t>
  </si>
  <si>
    <t xml:space="preserve">Unsure, slightly pressured, wanting space to decide.</t>
  </si>
  <si>
    <t xml:space="preserve">Picture a shopper putting a shirt back on the rail and saying "maybe later": push and they walk out; hand them the tag and they may come back.</t>
  </si>
  <si>
    <t xml:space="preserve">मैं इसके बारे में सोचूँगा/सोचूँगी और फिर आपको बताऊँगा/बताऊँगी।</t>
  </si>
  <si>
    <t xml:space="preserve">Main iske baare mein sochoonga/sochoongi aur phir aapko bataoonga/bataoongi.</t>
  </si>
  <si>
    <t xml:space="preserve">I am not ready to decide now; maybe I will contact you later.</t>
  </si>
  <si>
    <t xml:space="preserve">It is often a polite way to say "not now" without saying no. The customer wants no pressure; making it easy to decide later keeps their trust and the chance of a yes.</t>
  </si>
  <si>
    <t xml:space="preserve">I'll think about it and ___.</t>
  </si>
  <si>
    <t xml:space="preserve">I'll + think about + it + and + get back to + person</t>
  </si>
  <si>
    <t xml:space="preserve">"Get back to you" means contact you again later; it is the common international form.</t>
  </si>
  <si>
    <t xml:space="preserve">The customer is polite but closing the topic. Pushing with "But this offer ends today!" sounds pushy and can damage trust.</t>
  </si>
  <si>
    <t xml:space="preserve">✗ (Agent) Okay, then you call back to us. → ✓ Of course, take your time. Shall I email you the details so you can compare?</t>
  </si>
  <si>
    <t xml:space="preserve">"But sir, this is the best offer, you should take it now." It ignores the customer's answer and feels like pressure.</t>
  </si>
  <si>
    <t xml:space="preserve">Instead of "Why don't you decide now?", say "Of course, take your time. Shall I email you the details so you can compare?"</t>
  </si>
  <si>
    <t xml:space="preserve">Let me think it over and I'll let you know.</t>
  </si>
  <si>
    <t xml:space="preserve">I'm not sure yet. I'll call you back if I decide to go ahead.</t>
  </si>
  <si>
    <t xml:space="preserve">I would like some time to consider it, and I will contact you once I have decided.</t>
  </si>
  <si>
    <t xml:space="preserve">Of course, take your time. Would it help if I emailed you the details so you can compare?</t>
  </si>
  <si>
    <t xml:space="preserve">Yes, please email it. · No, I'll look on the website. · Okay, but I probably won't change.</t>
  </si>
  <si>
    <t xml:space="preserve">Customer: "I said I'll think about it!" → Agent: "Absolutely, no pressure at all. The details will be in your email whenever you're ready."</t>
  </si>
  <si>
    <t xml:space="preserve">Indian customers often say "I will let you know" or "Let me discuss with family and revert". International customers more often say "I'll get back to you" or "Let me think it over". All of them usually mean "not yet", so answer them the same way: no pressure.</t>
  </si>
  <si>
    <t xml:space="preserve">Chat: often "ok will think n let u know". Email: "I'll consider it and come back to you." Reply with a short, no-pressure summary.</t>
  </si>
  <si>
    <t xml:space="preserve">Do not offer to call them back about it unless they agree; an unwanted sales call feels like pressure.</t>
  </si>
  <si>
    <t xml:space="preserve">Customer: I'll think about it and get back to you. | Agent: Of course, take your time. Would it help if I emailed you the details so you can compare? | Customer: Yes, please. | Agent: Done. It's in your inbox now. Is there anything else I can help you with today?</t>
  </si>
  <si>
    <t xml:space="preserve">Respect the customer's decision: avoid pressure, and leave one clear, easy next step.</t>
  </si>
  <si>
    <t xml:space="preserve">I'll think about it and get ____ to you.</t>
  </si>
  <si>
    <t xml:space="preserve">back</t>
  </si>
  <si>
    <t xml:space="preserve">After an upgrade offer, a customer says "I'll think about it and get back to you." What is the best reply?</t>
  </si>
  <si>
    <t xml:space="preserve">A) Of course, take your time. Shall I email you the details so you can compare? | B) I understand, but this offer ends today, so it would be best to decide now. | C) Okay. Please remember that prices can change, so don't wait too long. | D) Of course. May I ask what is stopping you from deciding today?</t>
  </si>
  <si>
    <t xml:space="preserve">A respects the decision and makes it easy to come back. B is tempting because it creates urgency, but it ignores what the customer said. C and D add pressure.</t>
  </si>
  <si>
    <t xml:space="preserve">details / so / Shall / you / email / compare / I / can / the / you</t>
  </si>
  <si>
    <t xml:space="preserve">Shall I email you the details so you can compare</t>
  </si>
  <si>
    <t xml:space="preserve">Customer sochna chahta hai. Usse boliye aaram se sochiye, aur details email karne ka offer kariye.</t>
  </si>
  <si>
    <t xml:space="preserve">Of course, take your time. Shall I email you the details so you can compare?</t>
  </si>
  <si>
    <t xml:space="preserve">Yes, email it, but please don't call me about it.</t>
  </si>
  <si>
    <t xml:space="preserve">Of course. I'll just send the email, and I'll note on your account that you don't want a call about it.</t>
  </si>
  <si>
    <t xml:space="preserve">Partner B offers Partner A an annual plan that saves money. Partner A says "I'll think about it and get back to you." Partner B accepts without pressure, offers an email summary and closes the call.</t>
  </si>
  <si>
    <t xml:space="preserve">Record your reply to this customer, then the closing line of the call, without any pressure to decide now.</t>
  </si>
  <si>
    <t xml:space="preserve">Did you accept the answer without pushing? · Did you offer something useful, like an email? · Did you close the call warmly?</t>
  </si>
  <si>
    <t xml:space="preserve">CSV-A-001</t>
  </si>
  <si>
    <t xml:space="preserve">Advanced</t>
  </si>
  <si>
    <t xml:space="preserve">I can hear how frustrating this has been, and you have every right to be upset. Let me find out what went wrong and put it right.</t>
  </si>
  <si>
    <t xml:space="preserve">A customer's internet has been down for three days, and they open the call by shouting at you.</t>
  </si>
  <si>
    <t xml:space="preserve">The caller is shouting about a problem that has gone on for days. How do you name their feeling and move to action without arguing back?</t>
  </si>
  <si>
    <t xml:space="preserve">i can HEAR how frus-TRAY-ting this has BEEN · you have EV-ery RIGHT to be up-SET · let me FIND out what went WRONG · and PUT it RIGHT</t>
  </si>
  <si>
    <t xml:space="preserve">has_been → "hez-bin" · and_you → "an-joo" · find_out → "fine-dout" · put_it → "pu-tit"</t>
  </si>
  <si>
    <t xml:space="preserve">Low, slow and steady; do not match the caller's volume. Falling tone on "upset", a short pause, then a firmer falling tone on "put it right" to show action is starting.</t>
  </si>
  <si>
    <t xml:space="preserve">"Frustrating" is stressed on the second syllable, frus-TRAY-ting, not with equal beats. Make the "tr" with the tongue just behind the top teeth, not a heavy retroflex ṭ.</t>
  </si>
  <si>
    <t xml:space="preserve">Calm, steady acknowledgement</t>
  </si>
  <si>
    <t xml:space="preserve">Angry, exhausted and expecting to be brushed off again.</t>
  </si>
  <si>
    <t xml:space="preserve">Think of a fire: you do not throw words at it; first you name the heat, then you pick up the hose.</t>
  </si>
  <si>
    <t xml:space="preserve">मैं समझ सकता/सकती हूँ कि यह कितना परेशान करने वाला रहा है, और आपका नाराज़ होना बिल्कुल जायज़ है। मुझे पता लगाने दीजिए कि क्या गड़बड़ हुई, और मैं उसे ठीक करूँगा/करूँगी।</t>
  </si>
  <si>
    <t xml:space="preserve">Main samajh sakta/sakti hoon ki yeh kitna pareshaan karne wala raha hai, aur aapka naraaz hona bilkul jaayaz hai. Mujhe pata lagane dijiye ki kya gadbad hui, aur main use theek karoonga/karoongi.</t>
  </si>
  <si>
    <t xml:space="preserve">I understand you are very annoyed, and you are right to feel that way. I will find the problem and fix it.</t>
  </si>
  <si>
    <t xml:space="preserve">It names the feeling instead of arguing with it, agrees the anger is fair, and moves straight to action. The caller hears that you are on their side and that something will now happen.</t>
  </si>
  <si>
    <t xml:space="preserve">I can hear how ___ this has been. Let me ___.</t>
  </si>
  <si>
    <t xml:space="preserve">I can hear + how + adjective + this has been · Let me + base verb</t>
  </si>
  <si>
    <t xml:space="preserve">"Has been" (present perfect) shows the problem started in the past and is still going on.</t>
  </si>
  <si>
    <t xml:space="preserve">Agreeing that the anger is fair lowers it. "There's no need to shout" or "Please calm down" tells the caller they are wrong to feel angry and usually makes them louder.</t>
  </si>
  <si>
    <t xml:space="preserve">✗ Sir, please calm down, I am understanding your problem. → ✓ I can hear how frustrating this has been. Let me put it right.</t>
  </si>
  <si>
    <t xml:space="preserve">"Please calm down, sir." — it tells an angry person their feeling is wrong and usually makes them angrier.</t>
  </si>
  <si>
    <t xml:space="preserve">Instead of "Calm down, there's no need to shout", say "I can hear how frustrating this has been. Let me find out what went wrong."</t>
  </si>
  <si>
    <t xml:space="preserve">Three days without internet is a long time, and I'd be annoyed too. Let me look at your line right now.</t>
  </si>
  <si>
    <t xml:space="preserve">I completely understand why you're upset. Let me see exactly what has happened and fix it.</t>
  </si>
  <si>
    <t xml:space="preserve">I fully appreciate how frustrating this has been, and your concern is entirely justified. Allow me to investigate and resolve it for you.</t>
  </si>
  <si>
    <t xml:space="preserve">So I can fix this properly, could you tell me when the connection first stopped working?</t>
  </si>
  <si>
    <t xml:space="preserve">You're the third person I've told this to. · I don't want sympathy, I want it fixed. · Fine. What are you going to do?</t>
  </si>
  <si>
    <t xml:space="preserve">Customer: "I don't need you to understand, I need it fixed!" → Agent: "You're right. I'm checking your line now, and I'll tell you exactly what I find in two minutes."</t>
  </si>
  <si>
    <t xml:space="preserve">Some agents answer an angry caller with "Sir, please listen to me first" or "Sir, sir, sir". International callers may hear this as talking over them; a short, specific acknowledgement before any explanation works better.</t>
  </si>
  <si>
    <t xml:space="preserve">Chat: "I can see why this is frustrating. Let me check your line now." Email: name the problem specifically in the first line, then list what you have already done.</t>
  </si>
  <si>
    <t xml:space="preserve">Do not use it when the caller is calm and asking a small question; strong empathy for a small issue sounds fake.</t>
  </si>
  <si>
    <t xml:space="preserve">Customer: Three days! Three days without internet, and nobody does anything! | Agent: I can hear how frustrating this has been, and you have every right to be upset. Let me find out what went wrong and put it right. | Customer: Fine, but hurry. | Agent: I'm running a line test now; it takes about a minute.</t>
  </si>
  <si>
    <t xml:space="preserve">Empathy line, then action; never say "calm down", name the feeling instead.</t>
  </si>
  <si>
    <t xml:space="preserve">I can hear how frustrating this has been. Let me find out what went wrong and put it ____.</t>
  </si>
  <si>
    <t xml:space="preserve">right</t>
  </si>
  <si>
    <t xml:space="preserve">A caller shouts that their internet has been down for three days. Which opening response is most likely to lower the tension?</t>
  </si>
  <si>
    <t xml:space="preserve">A) Please calm down, sir. Shouting will not help me fix your problem any faster. | B) I can hear how frustrating this has been. Let me find out what went wrong. | C) I'm sorry for the inconvenience, sir. Many customers are facing this problem. | D) I understand, sir. Our engineers are very busy this week, so repairs are slow.</t>
  </si>
  <si>
    <t xml:space="preserve">B names the feeling and moves to action. A tells the caller their anger is wrong, C is a script that treats the problem as ordinary, and D is an excuse that offers no help.</t>
  </si>
  <si>
    <t xml:space="preserve">what / find / Let / went / out / wrong / me</t>
  </si>
  <si>
    <t xml:space="preserve">Let me find out what went wrong</t>
  </si>
  <si>
    <t xml:space="preserve">Teen din se internet nahin hai, to aapka naraaz hona bilkul jaayaz hai. Main abhi aapki line check karta/karti hoon.</t>
  </si>
  <si>
    <t xml:space="preserve">You've had no internet for three days, so you have every right to be upset. I'll check your line right now.</t>
  </si>
  <si>
    <t xml:space="preserve">You people always say that and nothing happens.</t>
  </si>
  <si>
    <t xml:space="preserve">I can see why it feels that way after three days. This time I'm staying on the call until the line test is done, and I'll give you a ticket number.</t>
  </si>
  <si>
    <t xml:space="preserve">Partner A is a customer whose internet has been down for three days and is shouting. Partner B acknowledges the anger without arguing, agrees it is fair, and moves to a line test.</t>
  </si>
  <si>
    <t xml:space="preserve">Record yourself saying the sentence twice, once at normal speed and once slower and lower, then keep the version that sounds calmer.</t>
  </si>
  <si>
    <t xml:space="preserve">Did you keep your voice low and steady? · Did you avoid "calm down" and "sorry for the inconvenience"? · Did you move to an action in the second sentence?</t>
  </si>
  <si>
    <t xml:space="preserve">CSV-A-002</t>
  </si>
  <si>
    <t xml:space="preserve">Please go on, I'm listening. I'd like to hear everything before I suggest anything.</t>
  </si>
  <si>
    <t xml:space="preserve">A customer explaining a complicated billing mix-up stops mid-story, expecting you to interrupt like the last agent did.</t>
  </si>
  <si>
    <t xml:space="preserve">The caller pauses halfway through a long complaint and says, "Sorry, I'll let you talk." How do you invite them to finish?</t>
  </si>
  <si>
    <t xml:space="preserve">PLEASE go ON · i'm LIS-ning · i'd LIKE to HEAR EV-ery-thing · be-FORE i sug-GEST AN-y-thing</t>
  </si>
  <si>
    <t xml:space="preserve">go_on → "go-won" · I'm_listening → "aim-LIS-ning" · hear_everything → "hee-REV-ree-thing" · suggest_anything → "sug-jes-TEN-ee-thing"</t>
  </si>
  <si>
    <t xml:space="preserve">Warm and unhurried, falling tone on "listening". Leave a clear pause after the first sentence so the caller can start again; keep the second sentence soft.</t>
  </si>
  <si>
    <t xml:space="preserve">"Listening" has a silent t: LIS-ning, not "lis-ten-ing" with a hard t. In "everything" and "anything" put the tongue tip between the teeth for th; avoid "ev-ry-ting".</t>
  </si>
  <si>
    <t xml:space="preserve">Patient, attentive invitation</t>
  </si>
  <si>
    <t xml:space="preserve">Frustrated and unsure anyone will hear the whole story.</t>
  </si>
  <si>
    <t xml:space="preserve">Picture handing the caller the microphone and sitting back with a notebook; your job right now is the pen, not the voice.</t>
  </si>
  <si>
    <t xml:space="preserve">आप बोलते रहिए, मैं सुन रहा/रही हूँ। कोई सुझाव देने से पहले मैं पूरी बात सुनना चाहता/चाहती हूँ।</t>
  </si>
  <si>
    <t xml:space="preserve">Aap bolte rahiye, main sun raha/rahi hoon. Koi sujhaav dene se pehle main poori baat sunna chahta/chahti hoon.</t>
  </si>
  <si>
    <t xml:space="preserve">Keep talking; I am paying attention. I want the full story before I give you an answer.</t>
  </si>
  <si>
    <t xml:space="preserve">It hands control back to the caller and promises you will not jump in with a quick fix. Customers who feel fully heard usually argue less and give you the details you need.</t>
  </si>
  <si>
    <t xml:space="preserve">Please go on, I'm listening. I'd like to ___ before I ___.</t>
  </si>
  <si>
    <t xml:space="preserve">Please + go on · I'd like to + base verb + before + I + present verb</t>
  </si>
  <si>
    <t xml:space="preserve">After "before", use the present tense ("before I suggest") even when you mean the future.</t>
  </si>
  <si>
    <t xml:space="preserve">It sounds patient because it asks for more. Cutting in with "Yes, yes, I know, sir" sounds as if you stopped listening.</t>
  </si>
  <si>
    <t xml:space="preserve">✗ Yes yes, I am getting it, tell fast. → ✓ Please go on, I'm listening.</t>
  </si>
  <si>
    <t xml:space="preserve">"Okay, okay, I got it." while the caller is mid-sentence — it tells them you have stopped listening and want to move on.</t>
  </si>
  <si>
    <t xml:space="preserve">Instead of "Yes, yes, I know, let me tell you the solution", say "Please go on, I'm listening. I'd like to hear everything first."</t>
  </si>
  <si>
    <t xml:space="preserve">Take your time, I'm with you. Tell me the rest.</t>
  </si>
  <si>
    <t xml:space="preserve">No, please carry on. I want the full picture before I check anything.</t>
  </si>
  <si>
    <t xml:space="preserve">Please continue; I'd like to understand the full situation before I propose a solution.</t>
  </si>
  <si>
    <t xml:space="preserve">Thank you. So you moved in March, the bills kept going to your old address, and now there's a late fee. Have I got that right?</t>
  </si>
  <si>
    <t xml:space="preserve">Okay, so then in April… · That's basically it. · Sorry, it's a long story.</t>
  </si>
  <si>
    <t xml:space="preserve">Customer: "Why aren't you saying anything? Are you even there?" → Agent: "Yes, I'm here and I'm taking notes. Please go on; I don't want to miss anything."</t>
  </si>
  <si>
    <t xml:space="preserve">Some agents fill every pause with "yes sir, yes sir" or jump in with a solution to show speed. International callers often read this as impatience; short signals like "I see" and "Mm-hm" are enough.</t>
  </si>
  <si>
    <t xml:space="preserve">Chat: "Please go on, I'm reading every message." Email: not needed; instead, answer every point the customer raised.</t>
  </si>
  <si>
    <t xml:space="preserve">Do not use it when the caller has clearly finished and is waiting for your answer; then you must summarise and act.</t>
  </si>
  <si>
    <t xml:space="preserve">Customer: So I told you I'd moved, but the bills kept going to my old flat, and then… sorry, I'll let you talk. | Agent: Please go on, I'm listening. I'd like to hear everything before I suggest anything. | Customer: Then this month I got a late fee for a bill I never saw. | Agent: I see. So the bills went to your old address, and now there's a late fee on top. Is that right?</t>
  </si>
  <si>
    <t xml:space="preserve">Interrupting frustrates customers: let them finish, take notes, then paraphrase.</t>
  </si>
  <si>
    <t xml:space="preserve">Please go on, I'm ____. I'd like to hear everything before I suggest anything.</t>
  </si>
  <si>
    <t xml:space="preserve">listening</t>
  </si>
  <si>
    <t xml:space="preserve">A caller stops in the middle of a long complaint and apologises for talking so much. What is the best response?</t>
  </si>
  <si>
    <t xml:space="preserve">A) Okay, okay, I understand, sir. Let me tell you what we can do for you. | B) Please go on, I'm listening. I'd like to hear everything first. | C) That's fine, but could you give me only the main points, please? | D) Don't worry, sir. This is a common problem and the solution is simple.</t>
  </si>
  <si>
    <t xml:space="preserve">B invites the caller to finish. D sounds reassuring but jumps to a fix before you have the full story; A cuts the caller off and C asks for a shorter version, so both make the caller feel rushed.</t>
  </si>
  <si>
    <t xml:space="preserve">I'm / on / go / listening / Please</t>
  </si>
  <si>
    <t xml:space="preserve">Please go on, I'm listening</t>
  </si>
  <si>
    <t xml:space="preserve">Aap boliye, main sun raha/rahi hoon. Pehle main poori baat samajhna chahta/chahti hoon.</t>
  </si>
  <si>
    <t xml:space="preserve">Please go on, I'm listening. I'd like to understand everything first.</t>
  </si>
  <si>
    <t xml:space="preserve">That's all, really. Can you fix it?</t>
  </si>
  <si>
    <t xml:space="preserve">Thank you for explaining. Let me repeat it to make sure I have it right, and then I'll check your account.</t>
  </si>
  <si>
    <t xml:space="preserve">Partner A tells a long, messy story about bills going to an old address and a late fee, and keeps stopping. Partner B uses only short listening signals and "Please go on" until A finishes, then paraphrases.</t>
  </si>
  <si>
    <t xml:space="preserve">Record the sentence, then record a 30-second role-play where you use only "I see", "Mm-hm" and this line while your partner talks.</t>
  </si>
  <si>
    <t xml:space="preserve">Did you leave a pause after "listening"? · Did you say "listening" as two syllables, LIS-ning? · Did you avoid offering a solution in this turn?</t>
  </si>
  <si>
    <t xml:space="preserve">CSV-A-003</t>
  </si>
  <si>
    <t xml:space="preserve">I'm afraid I'm not able to refund this order, as the thirty-day return period ended last week. What I can do is give you store credit for the full amount.</t>
  </si>
  <si>
    <t xml:space="preserve">A customer wants a cash refund for shoes delivered five weeks ago, but refunds are only possible within thirty days of delivery; your system shows that full store credit is still available.</t>
  </si>
  <si>
    <t xml:space="preserve">The customer asks for a refund you are not allowed to give. What three things must your answer contain?</t>
  </si>
  <si>
    <t xml:space="preserve">i'm a-FRAID i'm NOT A-ble to re-FUND this OR-der · as the THIR-ty-day re-TURN PE-ri-od END-ed LAST week · what i CAN do · is GIVE you STORE CRED-it for the FULL a-MOUNT</t>
  </si>
  <si>
    <t xml:space="preserve">afraid_I'm → "a-FRAY-dime" · not_able → "no-TAY-bul" · full_amount → "fu-la-MOUNT" · What_I → "wha-dai"</t>
  </si>
  <si>
    <t xml:space="preserve">A soft, slightly lower tone on "I'm afraid", then a steady, falling tone on "last week" so the reason sounds final, not over-apologetic. Short pause, then a brighter, slightly higher start on "What I can do" to signal the good news.</t>
  </si>
  <si>
    <t xml:space="preserve">"Refund" as a verb is stressed re-FUND; the noun is RE-fund. Many speakers use RE-fund for both. Also say the "-ed" in "ended" as a full extra syllable: EN-did.</t>
  </si>
  <si>
    <t xml:space="preserve">Firm but helpful</t>
  </si>
  <si>
    <t xml:space="preserve">Disappointed and ready to argue that they deserve their money back.</t>
  </si>
  <si>
    <t xml:space="preserve">A closed door with a lit window beside it: you point at the door only once, then spend your words on the window.</t>
  </si>
  <si>
    <t xml:space="preserve">मुझे अफ़सोस है, मैं इस ऑर्डर का रिफ़ंड नहीं कर सकता/सकती, क्योंकि रिटर्न की तीस दिन की अवधि पिछले हफ़्ते ख़त्म हो गई। लेकिन मैं आपको पूरी रकम का स्टोर क्रेडिट दे सकता/सकती हूँ।</t>
  </si>
  <si>
    <t xml:space="preserve">Mujhe afsos hai, main is order ka refund nahin kar sakta/sakti, kyunki return ki tees din ki avadhi pichhle hafte khatam ho gayi. Lekin main aapko poori rakam ka store credit de sakta/sakti hoon.</t>
  </si>
  <si>
    <t xml:space="preserve">I'm sorry, but I cannot give your money back because the time limit for returns is over. I can give you the full value to spend with us.</t>
  </si>
  <si>
    <t xml:space="preserve">It gives the real reason in plain words, so the refusal does not sound random, and then moves straight to something the customer can actually have. The customer leaves with an option, not just a "no".</t>
  </si>
  <si>
    <t xml:space="preserve">I'm afraid I'm not able to ___, as ___. What I can do is ___.</t>
  </si>
  <si>
    <t xml:space="preserve">I'm afraid + I'm not able to + base verb · as + reason clause · What I can do is + base verb</t>
  </si>
  <si>
    <t xml:space="preserve">"I'm not able to" is softer than "I can't", and "as" gives the reason, like "because".</t>
  </si>
  <si>
    <t xml:space="preserve">"I'm afraid" shows regret before the bad news, the reason makes it fair, and "What I can do" makes it helpful. "That's not possible, it's company policy" sounds like a wall and invites an argument.</t>
  </si>
  <si>
    <t xml:space="preserve">✗ I am not able to refund this order because return period is finished last week. → ✓ I'm afraid I'm not able to refund this order, as the return period ended last week.</t>
  </si>
  <si>
    <t xml:space="preserve">"Sorry, as per policy, no refund." — it hides behind a rule, gives no reason and offers nothing.</t>
  </si>
  <si>
    <t xml:space="preserve">Instead of "We can't refund it, it's policy", say "What I can do is give you store credit for the full amount."</t>
  </si>
  <si>
    <t xml:space="preserve">Refunds are available for thirty days after delivery, so I can't refund this one, but I can offer you full store credit today.</t>
  </si>
  <si>
    <t xml:space="preserve">The refund window closed last week, unfortunately. The good news is I can add the full amount to your account as store credit.</t>
  </si>
  <si>
    <t xml:space="preserve">I regret that a refund is no longer available, as the thirty-day return period has ended. However, I would be glad to issue store credit for the full value.</t>
  </si>
  <si>
    <t xml:space="preserve">Would you like me to add the store credit to your account now, or send you a credit code by email?</t>
  </si>
  <si>
    <t xml:space="preserve">But I was travelling, I couldn't return it earlier. · I don't want credit, I want my money. · Okay, how do I use the credit?</t>
  </si>
  <si>
    <t xml:space="preserve">Customer: "That's unfair, I was away for work!" → Agent: "I understand, and I'm sorry the timing worked out badly. Let me ask my team leader whether we can make an exception; if not, the store credit is still available."</t>
  </si>
  <si>
    <t xml:space="preserve">Many agents say "As per policy" to sound official. International customers may not expect it and often hear it as hiding behind rules; a plain reason plus an alternative sounds more honest.</t>
  </si>
  <si>
    <t xml:space="preserve">Chat: split it into two messages, the reason first, then "What I can do is…". Email: reason, empathy, alternative, then a clear next step.</t>
  </si>
  <si>
    <t xml:space="preserve">Do not use it when a refund might still be possible through an exception you have not checked; check first, then refuse.</t>
  </si>
  <si>
    <t xml:space="preserve">Customer: I want a refund for these shoes. | Agent: I'm afraid I'm not able to refund this order, as the thirty-day return period ended last week. What I can do is give you store credit for the full amount. | Customer: Hmm, can I use it on anything? | Agent: Yes, on anything on our site, and I'll email you the credit code now.</t>
  </si>
  <si>
    <t xml:space="preserve">Don't hide behind policy: give the reason in plain words, then an alternative (derived advice).</t>
  </si>
  <si>
    <t xml:space="preserve">I'm afraid I'm not able to refund this order. What I can ____ is give you store credit for the full amount.</t>
  </si>
  <si>
    <t xml:space="preserve">do</t>
  </si>
  <si>
    <t xml:space="preserve">A customer wants a refund after the return period has ended. Which reply refuses in the most helpful way?</t>
  </si>
  <si>
    <t xml:space="preserve">A) I'm sorry, sir, but our policy does not allow refunds after thirty days. | B) I understand, but that is not possible now. Is there anything else I can help you with? | C) I'm afraid the return period has ended, so I can't refund it, but I can offer store credit. | D) I will do my best to get you a refund. Please give me a few days to arrange it.</t>
  </si>
  <si>
    <t xml:space="preserve">C gives a reason, shows regret and offers an alternative. D sounds kind but promises something you cannot deliver, A hides behind policy and offers nothing, and B is a bare no.</t>
  </si>
  <si>
    <t xml:space="preserve">do / can / What / is / I / store / you / give / credit</t>
  </si>
  <si>
    <t xml:space="preserve">What I can do is give you store credit</t>
  </si>
  <si>
    <t xml:space="preserve">Mujhe afsos hai, main aapko refund nahin de sakta/sakti, kyunki return ka time khatam ho gaya hai. Lekin main aapko poori rakam store credit mein de sakta/sakti hoon.</t>
  </si>
  <si>
    <t xml:space="preserve">I'm afraid I'm not able to give you a refund, as the return period has ended. What I can do is give you the full amount as store credit.</t>
  </si>
  <si>
    <t xml:space="preserve">I don't want store credit. I want my money back.</t>
  </si>
  <si>
    <t xml:space="preserve">I understand you'd prefer your money back. I'm not able to refund it myself, but I can ask my team leader to review your case, and I'll call you back by 5 pm today with the answer.</t>
  </si>
  <si>
    <t xml:space="preserve">Partner A wants a refund for shoes delivered five weeks ago. Partner B refuses with the reason, offers store credit, and handles one push-back calmly.</t>
  </si>
  <si>
    <t xml:space="preserve">Record the sentence, then record your answer when the customer says "I don't want credit, I want my money."</t>
  </si>
  <si>
    <t xml:space="preserve">Did you give a real reason, not "policy"? · Did your voice brighten on "What I can do"? · Did you stress the verb as re-FUND?</t>
  </si>
  <si>
    <t xml:space="preserve">CSV-A-004</t>
  </si>
  <si>
    <t xml:space="preserve">C1</t>
  </si>
  <si>
    <t xml:space="preserve">I want to help you with this, but I'm not able to continue if the personal insults go on. If we can keep it respectful, I'll look into your booking straight away.</t>
  </si>
  <si>
    <t xml:space="preserve">A caller whose flight booking failed has started swearing at you personally and calling you names.</t>
  </si>
  <si>
    <t xml:space="preserve">A caller keeps insulting you personally. How do you set a clear limit while still offering help?</t>
  </si>
  <si>
    <t xml:space="preserve">i WANT to HELP you with THIS · but i'm NOT A-ble to con-TIN-ue · if the PER-son-al IN-sults go ON · if we can KEEP it re-SPECT-ful · i'll LOOK in-to your BOOK-ing straight a-WAY</t>
  </si>
  <si>
    <t xml:space="preserve">want_to → "won-tuh" · help_you → "hel-pyoo" · go_on → "go-won" · look_into → "loo-kin-too"</t>
  </si>
  <si>
    <t xml:space="preserve">Slow, level and firm; avoid a rising tone, which sounds like pleading. Pause after "go on" so the caller hears the limit, then a slightly warmer fall on "straight away".</t>
  </si>
  <si>
    <t xml:space="preserve">The noun "insults" is stressed on the first syllable, IN-sults; the verb is in-SULT. Keep the final cluster "-lts" clear; do not drop it to "insul".</t>
  </si>
  <si>
    <t xml:space="preserve">Firm, respectful boundary</t>
  </si>
  <si>
    <t xml:space="preserve">Furious, feeling powerless, and taking it out on the agent.</t>
  </si>
  <si>
    <t xml:space="preserve">A fence with an open gate: the fence marks the line, and the gate shows the way to help is still open.</t>
  </si>
  <si>
    <t xml:space="preserve">मैं इसमें आपकी मदद करना चाहता/चाहती हूँ, लेकिन अगर व्यक्तिगत अपमान जारी रहा तो मैं बात आगे नहीं बढ़ा पाऊँगा/पाऊँगी। अगर हम सम्मान से बात करें, तो मैं अभी आपकी बुकिंग देखता/देखती हूँ।</t>
  </si>
  <si>
    <t xml:space="preserve">Main ismein aapki madad karna chahta/chahti hoon, lekin agar vyaktigat apmaan jaari raha to main baat aage nahin badha paaunga/paaungi. Agar hum sammaan se baat karein, to main abhi aapki booking dekhta/dekhti hoon.</t>
  </si>
  <si>
    <t xml:space="preserve">I still want to help, but I will stop the call if you keep insulting me. Talk politely and I will check your booking right away.</t>
  </si>
  <si>
    <t xml:space="preserve">It separates the caller's anger, which is allowed, from personal abuse, which is not. Starting with "I want to help" shows the limit is about behaviour, not a refusal of service, and the last sentence shows the way forward.</t>
  </si>
  <si>
    <t xml:space="preserve">I want to help you with ___, but I'm not able to continue if ___.</t>
  </si>
  <si>
    <t xml:space="preserve">I want to + base verb, but + I'm not able to + base verb + if + present clause</t>
  </si>
  <si>
    <t xml:space="preserve">First conditional: "if" + present tense, then "I'll" + verb for the result.</t>
  </si>
  <si>
    <t xml:space="preserve">It is firm without insulting back. "Don't talk to me like that!" or "You are being rude" attacks the caller and starts a fight.</t>
  </si>
  <si>
    <t xml:space="preserve">✗ Mind your language, otherwise I will disconnect. → ✓ I want to help you with this, but I'm not able to continue if the personal insults go on.</t>
  </si>
  <si>
    <t xml:space="preserve">"If you shout at me, I will cut the call." — it sounds like a threat and gives no route back to help.</t>
  </si>
  <si>
    <t xml:space="preserve">Instead of "Stop abusing me or I'll hang up", say "If we can keep it respectful, I'll look into your booking straight away."</t>
  </si>
  <si>
    <t xml:space="preserve">I understand you're angry, and I'm here to help, but I need us to keep this respectful so I can fix your booking.</t>
  </si>
  <si>
    <t xml:space="preserve">I'd really like to solve this for you. To do that, I need the personal comments to stop.</t>
  </si>
  <si>
    <t xml:space="preserve">I am keen to resolve this for you; however, I am unable to continue the call if the personal remarks persist.</t>
  </si>
  <si>
    <t xml:space="preserve">Thank you. Now, could you give me the booking reference so I can see why the payment failed?</t>
  </si>
  <si>
    <t xml:space="preserve">Fine. Just fix it. · Sorry, I'm just really stressed. · Don't tell me how to talk!</t>
  </si>
  <si>
    <t xml:space="preserve">Customer: "Don't tell me how to talk!" → Agent: "I'm not trying to stop you being angry; you have every reason to be. I just need the personal insults to stop so I can help you."</t>
  </si>
  <si>
    <t xml:space="preserve">Some agents keep saying "sorry, sir" and absorb the abuse in silence. A clear, polite boundary is a normal part of customer service; follow your company's process for warnings and for ending abusive calls.</t>
  </si>
  <si>
    <t xml:space="preserve">Chat: "I'm here to help, but I need us to keep this respectful." Email: ignore the insults and answer the problem; mention conduct only if it repeats.</t>
  </si>
  <si>
    <t xml:space="preserve">Do not use it when the caller is angry at the situation but not attacking you personally; then empathy, not a boundary, is needed.</t>
  </si>
  <si>
    <t xml:space="preserve">Customer: You people are useless idiots! | Agent: I want to help you with this, but I'm not able to continue if the personal insults go on. If we can keep it respectful, I'll look into your booking straight away. | Customer: Okay… sorry. My payment failed twice. | Agent: Thank you. Let me look at the booking now.</t>
  </si>
  <si>
    <t xml:space="preserve">Never say "calm down"; acknowledge the feeling and limit the behaviour, not the help (derived advice).</t>
  </si>
  <si>
    <t xml:space="preserve">I want to help you with this, ____ I'm not able to continue if the personal insults go on.</t>
  </si>
  <si>
    <t xml:space="preserve">but</t>
  </si>
  <si>
    <t xml:space="preserve">A caller has started calling you personal names. Which reply sets a limit without making things worse?</t>
  </si>
  <si>
    <t xml:space="preserve">A) Mind your language, sir, otherwise I will disconnect the call right now. | B) Please calm down, sir. I am also a human being and I am trying to help. | C) I want to help, but I'm not able to continue if the personal insults go on. | D) I'm very sorry, sir. Please tell me what the problem is and I will check.</t>
  </si>
  <si>
    <t xml:space="preserve">C sets a clear limit and keeps help on offer. D seems patient but sets no limit, so the abuse continues; A is a threat, and B tells the caller to calm down.</t>
  </si>
  <si>
    <t xml:space="preserve">it / keep / can / we / If / respectful</t>
  </si>
  <si>
    <t xml:space="preserve">If we can keep it respectful</t>
  </si>
  <si>
    <t xml:space="preserve">Main aapki madad karna chahta/chahti hoon, lekin agar gaali-galauj hoti rahi to main call aage jaari nahin rakh paunga/paungi.</t>
  </si>
  <si>
    <t xml:space="preserve">I want to help you, but I'm not able to continue the call if the swearing goes on.</t>
  </si>
  <si>
    <t xml:space="preserve">Whatever. Just fix my booking.</t>
  </si>
  <si>
    <t xml:space="preserve">Thank you. Could you give me your booking reference, please? I'll check why the payment failed.</t>
  </si>
  <si>
    <t xml:space="preserve">Partner A's flight booking failed and they start insulting Partner B personally. Partner B sets the boundary once, calmly, and moves back to the booking when A stops.</t>
  </si>
  <si>
    <t xml:space="preserve">Record the sentence in a slow, level voice, then record it again and check that your voice does not rise or shake.</t>
  </si>
  <si>
    <t xml:space="preserve">Did you start with "I want to help"? · Did you keep a level, non-pleading tone? · Did you say the final "-lts" in "insults"?</t>
  </si>
  <si>
    <t xml:space="preserve">CSV-A-005</t>
  </si>
  <si>
    <t xml:space="preserve">That was our mistake: we charged your card twice. I'm sorry, and I've already started a refund for the second payment.</t>
  </si>
  <si>
    <t xml:space="preserve">A customer calls because their bank statement shows two identical charges for one order, and your system confirms the error was on your side.</t>
  </si>
  <si>
    <t xml:space="preserve">Your company double-charged a customer. How do you own the error and show the fix in two short sentences?</t>
  </si>
  <si>
    <t xml:space="preserve">THAT was OUR mis-TAKE · we CHARGED your CARD TWICE · i'm SOR-ry · and i've al-READ-y STAR-ted a RE-fund · for the SEC-ond PAY-ment</t>
  </si>
  <si>
    <t xml:space="preserve">That_was → "tha-twuz" · charged_your → "charj-jer" · I've_already → "ai-vawl-RED-ee" · started_a → "star-ti-da"</t>
  </si>
  <si>
    <t xml:space="preserve">Falling, clear tone on "mistake" so it sounds sincere, not casual. Short pause after "I'm sorry", then a steady, confident fall on "second payment".</t>
  </si>
  <si>
    <t xml:space="preserve">"Charged" ends in two sounds, /dʒd/: charj-d; do not drop the final d to "charge". "Twice" ends in a clear unvoiced s, not "twaiz".</t>
  </si>
  <si>
    <t xml:space="preserve">Sincere, accountable apology</t>
  </si>
  <si>
    <t xml:space="preserve">Annoyed and worried about their money.</t>
  </si>
  <si>
    <t xml:space="preserve">Point a finger at yourself before the customer can point theirs, then open your other hand to give the money back.</t>
  </si>
  <si>
    <t xml:space="preserve">यह हमारी गलती थी: हमने आपके कार्ड से दो बार पैसे काट लिए। मुझे खेद है, और मैंने दूसरे पेमेंट का रिफ़ंड शुरू कर दिया है।</t>
  </si>
  <si>
    <t xml:space="preserve">Yeh hamaari galti thi: humne aapke card se do baar paise kaat liye. Mujhe khed hai, aur maine doosre payment ka refund shuru kar diya hai.</t>
  </si>
  <si>
    <t xml:space="preserve">We made the error and took your money twice. I apologise, and I have already begun giving back the extra payment.</t>
  </si>
  <si>
    <t xml:space="preserve">It says exactly what went wrong and who caused it, then shows the repair has already started. In Lewicki, Polin and Lount's 2016 study, admitting responsibility and offering repair were the two most important parts of an apology.</t>
  </si>
  <si>
    <t xml:space="preserve">That was our mistake: we ___. I'm sorry, and I've already ___.</t>
  </si>
  <si>
    <t xml:space="preserve">That was our mistake + colon + past simple · I've already + past participle</t>
  </si>
  <si>
    <t xml:space="preserve">"I've already started" (present perfect) shows the refund began earlier and still matters now.</t>
  </si>
  <si>
    <t xml:space="preserve">Owning the error builds trust fast. "There may have been some technical issue from the system side" sounds as if no one is responsible.</t>
  </si>
  <si>
    <t xml:space="preserve">✗ Sorry for the inconvenience, it is a system issue. → ✓ That was our mistake: we charged your card twice. I'm sorry.</t>
  </si>
  <si>
    <t xml:space="preserve">"It's a technical glitch from the backend." — it blames a machine, hides responsibility and says nothing about the fix.</t>
  </si>
  <si>
    <t xml:space="preserve">Instead of "Sorry for the inconvenience caused", say "I'm sorry we charged you twice, and I've already started your refund."</t>
  </si>
  <si>
    <t xml:space="preserve">You're right, we took the payment twice, and that's our error. I'm sorry; the refund for the extra charge is already in progress.</t>
  </si>
  <si>
    <t xml:space="preserve">I can see the double charge, and it happened on our side. I apologise, and I've already requested the refund.</t>
  </si>
  <si>
    <t xml:space="preserve">Please accept our apologies: the duplicate charge was our error. I have already initiated a refund of the second payment.</t>
  </si>
  <si>
    <t xml:space="preserve">The refund should reach your card within a week. Would you like me to email you the refund reference?</t>
  </si>
  <si>
    <t xml:space="preserve">How long will the refund take? · Thank you for admitting it. · How do I know this won't happen again?</t>
  </si>
  <si>
    <t xml:space="preserve">Customer: "How do I know this won't happen again?" → Agent: "That's a fair question. I've reported the error to our payments team, and I'll email you by Friday to tell you what they find."</t>
  </si>
  <si>
    <t xml:space="preserve">Indian English often says the error came "from our end" or "from the system side". International customers understand it, but a plain "That was our mistake" sounds more direct and accountable.</t>
  </si>
  <si>
    <t xml:space="preserve">Chat: "That was our mistake: we charged you twice. I'm sorry. The refund has already started." Email: name the error in the first line and give the refund reference clearly.</t>
  </si>
  <si>
    <t xml:space="preserve">Do not admit fault before you have checked the account; if the customer's bank caused the double charge, explain that instead.</t>
  </si>
  <si>
    <t xml:space="preserve">Customer: I've been charged twice for one order! | Agent: That was our mistake: we charged your card twice. I'm sorry, and I've already started a refund for the second payment. | Customer: Okay. When will I get it? | Agent: It should reach your card within a week, and I'll email you the refund reference now.</t>
  </si>
  <si>
    <t xml:space="preserve">Own the company's mistake in plain words, apologise once, and show the repair already under way (Lewicki, Polin &amp; Lount, 2016).</t>
  </si>
  <si>
    <t xml:space="preserve">That was our mistake: we charged your card twice. I'm sorry, and I ____ already started a refund for the second payment.</t>
  </si>
  <si>
    <t xml:space="preserve">have</t>
  </si>
  <si>
    <t xml:space="preserve">Your company charged a customer twice. Which apology is most likely to rebuild trust?</t>
  </si>
  <si>
    <t xml:space="preserve">A) I'm sorry for the inconvenience caused. Your refund will be processed soon, sir. | B) There was a technical issue from the system side, and it has now been fixed. | C) That was our mistake: we charged you twice. I've already started the refund. | D) I'm so sorry, sir, I'm so sorry. Please forgive us for this terrible mistake.</t>
  </si>
  <si>
    <t xml:space="preserve">C names the error, owns it and shows the fix. D feels sincere but only repeats apologies with no repair, A is vague and promises "soon" with no date, and B blames the system.</t>
  </si>
  <si>
    <t xml:space="preserve">refund / started / I've / a / already</t>
  </si>
  <si>
    <t xml:space="preserve">I've already started a refund</t>
  </si>
  <si>
    <t xml:space="preserve">Yeh hamaari galti thi. Humne aapse do baar charge kiya. Main refund shuru kar chuka/chuki hoon.</t>
  </si>
  <si>
    <t xml:space="preserve">That was our mistake. We charged you twice, and I've already started the refund.</t>
  </si>
  <si>
    <t xml:space="preserve">Fine. When will the money be back?</t>
  </si>
  <si>
    <t xml:space="preserve">It should be back on your card within a week. I'll email you the refund reference right after this call.</t>
  </si>
  <si>
    <t xml:space="preserve">Partner A sees two charges of 2,499 rupees for one order. Partner B checks, admits the company's error in plain words, apologises once, and explains the refund.</t>
  </si>
  <si>
    <t xml:space="preserve">Record the sentence, then record how you would answer "How do I know this won't happen again?"</t>
  </si>
  <si>
    <t xml:space="preserve">Did you name the exact mistake? · Did you say the final "d" in "charged"? · Did you apologise once, not three times?</t>
  </si>
  <si>
    <t xml:space="preserve">CSV-A-006</t>
  </si>
  <si>
    <t xml:space="preserve">I'm going to bring in my supervisor, Meera. I'll explain everything to her first, so you won't have to repeat yourself.</t>
  </si>
  <si>
    <t xml:space="preserve">After a third failed repair visit, a customer has twice asked for someone senior, and you cannot approve the compensation they want.</t>
  </si>
  <si>
    <t xml:space="preserve">The customer asks for a manager. What do you promise about the handover so they do not have to tell the story again?</t>
  </si>
  <si>
    <t xml:space="preserve">i'm GO-ing to BRING IN my SU-per-vi-sor · MEE-ra · i'll ex-PLAIN EV-ery-thing to her FIRST · so you WON'T have to re-PEAT your-SELF</t>
  </si>
  <si>
    <t xml:space="preserve">bring_in → "brin-gin" · explain_everything → "ex-play-NEV-ree-thing" · to_her → "tuh-er" · repeat_yourself → "re-pee-cher-self"</t>
  </si>
  <si>
    <t xml:space="preserve">Confident falling tone throughout; this is a plan, not a question. Slight pause after "Meera", and stress "won't" to make the promise clear.</t>
  </si>
  <si>
    <t xml:space="preserve">"Supervisor" is stressed on the first syllable: SU-per-vi-sor, not su-per-VI-sor. "Won't" has a long "oh" (wohnt); do not say "want", which changes the meaning.</t>
  </si>
  <si>
    <t xml:space="preserve">Reassuring, in control</t>
  </si>
  <si>
    <t xml:space="preserve">Fed up and doubtful that anyone senior will actually help.</t>
  </si>
  <si>
    <t xml:space="preserve">Think of a junior doctor calling in a senior one: they read out the notes at the bedside, so the patient never has to start again.</t>
  </si>
  <si>
    <t xml:space="preserve">मैं अपनी सुपरवाइज़र मीरा को कॉल पर ला रहा/रही हूँ। पहले मैं उन्हें सब कुछ समझा दूँगा/दूँगी, ताकि आपको दोबारा बताना न पड़े।</t>
  </si>
  <si>
    <t xml:space="preserve">Main apni supervisor Meera ko call par la raha/rahi hoon. Pehle main unhe sab kuch samjha doonga/doongi, taaki aapko dobaara batana na pade.</t>
  </si>
  <si>
    <t xml:space="preserve">I will bring my supervisor, Meera, into the call. I will tell her your whole problem first, so you don't need to say it again.</t>
  </si>
  <si>
    <t xml:space="preserve">It agrees to the request without a fight, names who is coming, and removes the customer's biggest fear: starting again from zero. It also keeps you responsible until the supervisor takes over.</t>
  </si>
  <si>
    <t xml:space="preserve">I'm going to bring in ___. I'll explain everything to ___ first, so ___.</t>
  </si>
  <si>
    <t xml:space="preserve">I'm going to + base verb (plan) · I'll + base verb · so + you won't have to + base verb</t>
  </si>
  <si>
    <t xml:space="preserve">"I'm going to" is for a plan you have decided; "so" introduces the result for the customer.</t>
  </si>
  <si>
    <t xml:space="preserve">It sounds like you are working for the customer. "I'm transferring you, please hold" sounds like you are passing the problem on.</t>
  </si>
  <si>
    <t xml:space="preserve">✗ I am transferring to senior, you tell them once again. → ✓ I'll explain everything to my supervisor first, so you won't have to repeat yourself.</t>
  </si>
  <si>
    <t xml:space="preserve">"There is no manager available, sir." — refusing after the customer has asked twice makes things worse; if no one is free, offer a callback with a time.</t>
  </si>
  <si>
    <t xml:space="preserve">Instead of "I'll transfer you, you can explain it to them", say "I'll explain everything to my supervisor first, so you won't have to repeat yourself."</t>
  </si>
  <si>
    <t xml:space="preserve">I'll ask my supervisor, Meera, to join us. I'll brief her on everything before she comes on the line.</t>
  </si>
  <si>
    <t xml:space="preserve">Let me get my team leader on the line. She'll hear the whole story from me before she says a word to you.</t>
  </si>
  <si>
    <t xml:space="preserve">I will escalate this to my supervisor, Meera, and brief her fully beforehand so that you need not explain the matter again.</t>
  </si>
  <si>
    <t xml:space="preserve">Meera has the authority to review your compensation request. It will take about two minutes to brief her. Is it all right if I put you on hold while I do that?</t>
  </si>
  <si>
    <t xml:space="preserve">Finally. Thank you. · How long will that take? · Will she actually be able to do something?</t>
  </si>
  <si>
    <t xml:space="preserve">Customer: "Will she actually be able to do anything?" → Agent: "She can approve compensation, which I can't. I'll make sure she knows about all three visits before she speaks to you."</t>
  </si>
  <si>
    <t xml:space="preserve">Some agents resist escalation because it feels like failure, or do a blind transfer to save time. International customers expect a warm transfer: you brief the supervisor and introduce them.</t>
  </si>
  <si>
    <t xml:space="preserve">Chat: "I'm bringing in my supervisor, Meera. She'll have the full chat history, so you won't need to repeat anything." Email: copy the supervisor in and summarise the case in three lines.</t>
  </si>
  <si>
    <t xml:space="preserve">Do not escalate a simple issue you can fix yourself just to end a difficult call; fix it first.</t>
  </si>
  <si>
    <t xml:space="preserve">Customer: I want to speak to someone senior. Now. | Agent: I'm going to bring in my supervisor, Meera. I'll explain everything to her first, so you won't have to repeat yourself. | Customer: Fine. How long? | Agent: About two minutes. Is it all right if I put you on hold while I brief her?</t>
  </si>
  <si>
    <t xml:space="preserve">Pass to a supervisor when asked (Zendesk chat-etiquette guidance), and hand over warmly: brief them first so the caller does not repeat the story.</t>
  </si>
  <si>
    <t xml:space="preserve">I'm going to bring ____ my supervisor, Meera. I'll explain everything to her first, so you won't have to repeat yourself.</t>
  </si>
  <si>
    <t xml:space="preserve">A customer asks for a supervisor after a third failed repair. Which reply best handles the escalation?</t>
  </si>
  <si>
    <t xml:space="preserve">A) I'm transferring you to our senior team now. Please explain your issue to them again. | B) I understand, but I can handle this myself. Let me try one more thing first. | C) I'll bring in my supervisor and brief her first, so you won't have to repeat yourself. | D) All our supervisors are busy right now. Please call back tomorrow and ask for one.</t>
  </si>
  <si>
    <t xml:space="preserve">C agrees, names the plan and protects the customer from repeating the story. A also agrees, but it is a cold transfer that makes the customer start again; B insists on handling it and D pushes the request to tomorrow, so both refuse.</t>
  </si>
  <si>
    <t xml:space="preserve">first / explain / I'll / to / everything / her</t>
  </si>
  <si>
    <t xml:space="preserve">I'll explain everything to her first</t>
  </si>
  <si>
    <t xml:space="preserve">Main apne supervisor ko bulata/bulati hoon. Unhe pehle main sab bata doonga/doongi, aapko phir se batana nahin padega.</t>
  </si>
  <si>
    <t xml:space="preserve">I'll bring in my supervisor. I'll tell him everything first, so you won't need to explain it again.</t>
  </si>
  <si>
    <t xml:space="preserve">Okay, but please hurry.</t>
  </si>
  <si>
    <t xml:space="preserve">I will. I'll be back with you in two minutes or less, with Meera on the line.</t>
  </si>
  <si>
    <t xml:space="preserve">Partner A has had three failed repair visits and demands a manager. Partner B agrees, asks permission to hold, briefs "Meera" in two sentences, then introduces her and the issue to A.</t>
  </si>
  <si>
    <t xml:space="preserve">Record the sentence, then record the two-sentence briefing you would give your supervisor before connecting the caller.</t>
  </si>
  <si>
    <t xml:space="preserve">Did you name the supervisor? · Did you promise the customer won't repeat the story? · Did you stress SU-per-vi-sor on the first syllable?</t>
  </si>
  <si>
    <t xml:space="preserve">CSV-A-007</t>
  </si>
  <si>
    <t xml:space="preserve">I don't want to give you the wrong answer, so let me check with our billing team. I'll get back to you within ten minutes.</t>
  </si>
  <si>
    <t xml:space="preserve">A customer asks whether cancelling an annual plan halfway through gives a part refund, and you are not sure of the rule.</t>
  </si>
  <si>
    <t xml:space="preserve">The customer asks something you cannot answer for certain. What do you say instead of guessing?</t>
  </si>
  <si>
    <t xml:space="preserve">i DON'T want to GIVE you the WRONG AN-swer · so LET me CHECK with our BILL-ing TEAM · i'll GET BACK to you with-IN TEN MIN-utes</t>
  </si>
  <si>
    <t xml:space="preserve">want_to → "won-nuh" · give_you → "gi-vyoo" · let_me → "lem-mee" · check_with → "che-kwith" · back_to → "bak-tuh"</t>
  </si>
  <si>
    <t xml:space="preserve">Honest, steady tone; fall on "wrong answer" and "billing team". Stress "ten minutes" clearly so the time sticks, and end with a confident fall.</t>
  </si>
  <si>
    <t xml:space="preserve">"Wrong" ends in /ŋ/ with no hard g after it: rong, not "wrong-g". "Answer" has a silent w: AHN-ser.</t>
  </si>
  <si>
    <t xml:space="preserve">Honest, confident</t>
  </si>
  <si>
    <t xml:space="preserve">Uncertain and hoping for a quick, clear answer.</t>
  </si>
  <si>
    <t xml:space="preserve">A pilot never guesses the fuel level; they check the gauge and then announce it. Be the pilot.</t>
  </si>
  <si>
    <t xml:space="preserve">मैं आपको गलत जवाब नहीं देना चाहता/चाहती, इसलिए मैं हमारी बिलिंग टीम से पूछ लेता/लेती हूँ। मैं दस मिनट के अंदर आपको वापस बता दूँगा/दूँगी।</t>
  </si>
  <si>
    <t xml:space="preserve">Main aapko galat jawaab nahin dena chahta/chahti, isliye main hamaari billing team se pooch leta/leti hoon. Main das minute ke andar aapko wapas bata doonga/doongi.</t>
  </si>
  <si>
    <t xml:space="preserve">I'm not sure, and I don't want to tell you something incorrect. I'll ask the right team and get back to you within ten minutes.</t>
  </si>
  <si>
    <t xml:space="preserve">It turns "I don't know" into care for the customer and gives a clear next step with a time. A confident wrong answer can cause a second complaint later; a checked answer lowers that risk.</t>
  </si>
  <si>
    <t xml:space="preserve">I don't want to give you ___, so let me ___. I'll get back to you within ___.</t>
  </si>
  <si>
    <t xml:space="preserve">I don't want to + base verb, so + let me + base verb · I'll + verb + within + time</t>
  </si>
  <si>
    <t xml:space="preserve">"Within ten minutes" means at any time up to ten minutes, not exactly at ten.</t>
  </si>
  <si>
    <t xml:space="preserve">It sounds responsible, not weak. "I think maybe it should be possible" sounds unsure and creates a promise you may break.</t>
  </si>
  <si>
    <t xml:space="preserve">✗ I think it is possible, no issue. → ✓ I don't want to give you the wrong answer, so let me check with our billing team.</t>
  </si>
  <si>
    <t xml:space="preserve">"I don't know, that's not my department." — it leaves the customer with nothing and pushes the problem away.</t>
  </si>
  <si>
    <t xml:space="preserve">Instead of "I don't know about that", say "Let me check with our billing team and get back to you within ten minutes."</t>
  </si>
  <si>
    <t xml:space="preserve">That's a good question, and I want to be sure before I answer. Let me confirm it with our billing team.</t>
  </si>
  <si>
    <t xml:space="preserve">I'd rather check than guess. Could I call you back within ten minutes with a clear answer?</t>
  </si>
  <si>
    <t xml:space="preserve">To ensure I give you accurate information, I will confirm this with our billing department and contact you within ten minutes.</t>
  </si>
  <si>
    <t xml:space="preserve">Is this the best number to call you back on, or would you prefer to hold?</t>
  </si>
  <si>
    <t xml:space="preserve">Can't you just tell me now? · Okay, I'll wait. · Shouldn't you already know this?</t>
  </si>
  <si>
    <t xml:space="preserve">Customer: "Shouldn't you already know this?" → Agent: "It's a fair point. This is an unusual case, and I'd rather get it right than give you an answer we have to change later."</t>
  </si>
  <si>
    <t xml:space="preserve">Many agents feel that saying "I don't know" makes them look bad, so they guess. International customers tend to prefer "Let me check" to a confident answer that later turns out wrong.</t>
  </si>
  <si>
    <t xml:space="preserve">Chat: "I want to be sure, so I'm checking with our billing team. It'll take about ten minutes." Email: "I'm confirming this with our billing team and will reply by 4 pm today."</t>
  </si>
  <si>
    <t xml:space="preserve">Do not use it for basic questions you are trained to answer; checking every simple fact makes you sound unprepared.</t>
  </si>
  <si>
    <t xml:space="preserve">Customer: If I cancel my annual plan now, do I get part of my money back? | Agent: I don't want to give you the wrong answer, so let me check with our billing team. I'll get back to you within ten minutes. | Customer: Okay, call me back on this number. | Agent: I will. Thank you for your patience.</t>
  </si>
  <si>
    <t xml:space="preserve">Use "I will" plus a real time instead of vague promises; be specific about what happens next.</t>
  </si>
  <si>
    <t xml:space="preserve">I don't want to give you the wrong answer, so let me check ____ our billing team. I'll get back to you within ten minutes.</t>
  </si>
  <si>
    <t xml:space="preserve">A customer asks about a rare refund rule you are not sure of. What is the best response?</t>
  </si>
  <si>
    <t xml:space="preserve">A) I think it should be possible, sir. You can apply for it and see what happens. | B) I'm sorry, sir, I don't know. That is not my department, so please contact billing. | C) I don't want to guess, so let me check and call you back within ten minutes. | D) Yes, definitely, you will get a full refund. It is automatic when you cancel.</t>
  </si>
  <si>
    <t xml:space="preserve">C is honest and gives a next step with a time. A and D sound helpful but are guesses that may be wrong, and B pushes the customer away.</t>
  </si>
  <si>
    <t xml:space="preserve">billing / me / let / with / check / team / our</t>
  </si>
  <si>
    <t xml:space="preserve">let me check with our billing team</t>
  </si>
  <si>
    <t xml:space="preserve">Main galat jawaab nahin dena chahta/chahti. Main technical team se confirm karke aapko paanch minute ke andar wapas bata doonga/doongi.</t>
  </si>
  <si>
    <t xml:space="preserve">I don't want to give you the wrong answer. I'll confirm with our technical team and get back to you within five minutes.</t>
  </si>
  <si>
    <t xml:space="preserve">Can't you just tell me now?</t>
  </si>
  <si>
    <t xml:space="preserve">I understand you'd like an answer now. It's an unusual case, so I'd rather check; I'll call you back within ten minutes.</t>
  </si>
  <si>
    <t xml:space="preserve">Partner A asks if cancelling an annual plan mid-year gives a part refund. Partner B does not know, says so honestly, promises a callback with a time, and confirms the number.</t>
  </si>
  <si>
    <t xml:space="preserve">Record the sentence, then record the callback ten minutes later where you thank the customer and give the answer.</t>
  </si>
  <si>
    <t xml:space="preserve">Did you avoid guessing? · Did you give a clear time? · Did you say "answer" with a silent w?</t>
  </si>
  <si>
    <t xml:space="preserve">CSV-A-008</t>
  </si>
  <si>
    <t xml:space="preserve">I'm afraid I have some disappointing news: your laptop won't arrive on Monday. The new delivery date is Thursday, and I'll text you as soon as it's on its way.</t>
  </si>
  <si>
    <t xml:space="preserve">A customer calls to confirm Monday delivery of a laptop they need for work, but the warehouse has reported a three-day delay.</t>
  </si>
  <si>
    <t xml:space="preserve">You must tell a caller their order will be late. How do you prepare them, give the new date and add a next step?</t>
  </si>
  <si>
    <t xml:space="preserve">i'm a-FRAID i have some dis-ap-POINT-ing NEWS · your LAP-top WON'T ar-RIVE on MON-day · the NEW de-LIV-er-y DATE is THURS-day · and i'll TEXT you as SOON as it's ON its WAY</t>
  </si>
  <si>
    <t xml:space="preserve">I'm_afraid → "ai-muh-FRAID" · won't_arrive → "wohn-tuh-RIVE" · as_soon_as → "uh-SOO-nuz" · on_its_way → "on-it-sway"</t>
  </si>
  <si>
    <t xml:space="preserve">Slow down and drop your pitch on "disappointing news" to prepare the caller, and pause before "your laptop". Then use a clearer, steadier tone for the new date and the promise.</t>
  </si>
  <si>
    <t xml:space="preserve">"Thursday" starts with /θ/: put the tongue tip between the teeth and blow; do not say "Tursday". In "laptop", keep both vowels distinct, LAP-top, not "lap-tap".</t>
  </si>
  <si>
    <t xml:space="preserve">Gentle, honest, clear</t>
  </si>
  <si>
    <t xml:space="preserve">Anxious and likely to be upset, because they planned around Monday.</t>
  </si>
  <si>
    <t xml:space="preserve">Bad news is a heavy box: warn them it is heavy, hand it over, then help them carry it with a new date and a text.</t>
  </si>
  <si>
    <t xml:space="preserve">मुझे खेद है कि मेरे पास एक निराशाजनक ख़बर है: आपका लैपटॉप सोमवार को नहीं पहुँचेगा। डिलीवरी की नई तारीख़ गुरुवार है, और जैसे ही वह रवाना होगा, मैं आपको मैसेज कर दूँगा/दूँगी।</t>
  </si>
  <si>
    <t xml:space="preserve">Mujhe khed hai ki mere paas ek niraashajanak khabar hai: aapka laptop Somvaar ko nahin pahunchega. Delivery ki nayi taareekh Guruvaar hai, aur jaise hi woh ravaana hoga, main aapko message kar doonga/doongi.</t>
  </si>
  <si>
    <t xml:space="preserve">Sorry, the news is not good: your laptop will be late. It will now come on Thursday, and I will message you when it is sent.</t>
  </si>
  <si>
    <t xml:space="preserve">"I'm afraid" warns the caller before the hit, so the news lands more softly. A specific new date and an action then replace the vague "it may take some time", which tends to frustrate people more than the delay itself.</t>
  </si>
  <si>
    <t xml:space="preserve">I'm afraid I have some ___ news: ___. The new ___ is ___, and I'll ___.</t>
  </si>
  <si>
    <t xml:space="preserve">I'm afraid + I have + news · won't + base verb · I'll + verb + as soon as + present clause</t>
  </si>
  <si>
    <t xml:space="preserve">"I'm afraid" here means "I'm sorry to say", not that you are scared.</t>
  </si>
  <si>
    <t xml:space="preserve">It is honest and specific. "Delivery may get delayed, it will come in a few days" sounds unsure and gives the customer nothing to plan with.</t>
  </si>
  <si>
    <t xml:space="preserve">✗ Your delivery is getting delayed, it will come in two-three days. → ✓ I'm afraid your laptop won't arrive on Monday. The new delivery date is Thursday.</t>
  </si>
  <si>
    <t xml:space="preserve">"There is some delay, it will come soon." — no date, no reason and no next step mean the customer will call again.</t>
  </si>
  <si>
    <t xml:space="preserve">Instead of "It won't come Monday, nothing can be done", say "The new delivery date is Thursday, and I'll text you as soon as it's on its way."</t>
  </si>
  <si>
    <t xml:space="preserve">I'm sorry to tell you there's a delay: your laptop is now due on Thursday, not Monday. I'll send you a text the moment it ships.</t>
  </si>
  <si>
    <t xml:space="preserve">Unfortunately, the warehouse has delayed your order. It will now arrive on Thursday, and I'll keep you updated by text.</t>
  </si>
  <si>
    <t xml:space="preserve">I regret to inform you that your laptop will not arrive on Monday as planned. The revised delivery date is Thursday, and we will notify you by text once it has been dispatched.</t>
  </si>
  <si>
    <t xml:space="preserve">I'm sorry about the delay, and I know you needed it for work. Would it help if I checked whether a faster delivery option is available?</t>
  </si>
  <si>
    <t xml:space="preserve">But I need it for work on Monday! · Why is it late? · Can I cancel, then?</t>
  </si>
  <si>
    <t xml:space="preserve">Customer: "But I need it for work on Monday!" → Agent: "I understand, and I'm sorry. Let me check right now whether express delivery or store pick-up can get it to you sooner."</t>
  </si>
  <si>
    <t xml:space="preserve">Some agents soften bad news by staying vague ("there is some issue, it will come"). International customers prefer a clear, polite warning followed by exact facts.</t>
  </si>
  <si>
    <t xml:space="preserve">Chat: send the bad news and the new date together in one short message, then the next step. Email: use a subject such as "Delivery update for order 4471".</t>
  </si>
  <si>
    <t xml:space="preserve">Do not give a new date you have not confirmed; if the date is unknown, say when you will have it.</t>
  </si>
  <si>
    <t xml:space="preserve">Customer: Just checking my laptop is still coming on Monday. | Agent: I'm afraid I have some disappointing news: your laptop won't arrive on Monday. The new delivery date is Thursday, and I'll text you as soon as it's on its way. | Customer: Oh no. Why? | Agent: I'm sorry it's late, especially when you need it for work. The warehouse is behind on orders this week. Let me check if there's a faster option for you.</t>
  </si>
  <si>
    <t xml:space="preserve">Replace vague promises with a clear date and next step; say "I will" plus a time.</t>
  </si>
  <si>
    <t xml:space="preserve">I'm afraid I have some disappointing ____: your laptop won't arrive on Monday.</t>
  </si>
  <si>
    <t xml:space="preserve">news</t>
  </si>
  <si>
    <t xml:space="preserve">An order will be three days late. Which line breaks the news best?</t>
  </si>
  <si>
    <t xml:space="preserve">A) There is a small delay with your order, sir, but please don't worry, it will come very soon. | B) I'm afraid it won't arrive on Monday. The new date is Thursday, and I'll text you when it ships. | C) The delay is the courier's fault, not ours, so I suggest you speak to them directly, sir. | D) Don't worry, sir. It might still come on Monday, so please keep your phone nearby just in case.</t>
  </si>
  <si>
    <t xml:space="preserve">B warns, gives a new date and a next step. D sounds kind but gives false hope, A is vague, and C blames someone else.</t>
  </si>
  <si>
    <t xml:space="preserve">is / Thursday / delivery / new / date / The</t>
  </si>
  <si>
    <t xml:space="preserve">The new delivery date is Thursday</t>
  </si>
  <si>
    <t xml:space="preserve">Maaf kijiye, aapka order Somvaar ko nahin aayega. Ab woh Guruvaar ko aayega.</t>
  </si>
  <si>
    <t xml:space="preserve">I'm afraid your order won't arrive on Monday. It will now arrive on Thursday.</t>
  </si>
  <si>
    <t xml:space="preserve">Why is it late?</t>
  </si>
  <si>
    <t xml:space="preserve">The warehouse is behind with orders this week. I'm sorry for the delay, and I'll text you as soon as it's on its way.</t>
  </si>
  <si>
    <t xml:space="preserve">Partner A calls to confirm Monday delivery of a work laptop. Partner B breaks the news of a Thursday delivery, handles "I need it on Monday", and offers to check a faster option.</t>
  </si>
  <si>
    <t xml:space="preserve">Record the sentence with a clear slow-down on the first half, then record your reply to "But I need it for work on Monday!"</t>
  </si>
  <si>
    <t xml:space="preserve">Did you slow down and drop your pitch on the bad news? · Did you give an exact new date? · Did you say "Thursday" with a real th?</t>
  </si>
  <si>
    <t xml:space="preserve">CSV-A-009</t>
  </si>
  <si>
    <t xml:space="preserve">I can certainly help you cancel. Before you decide, would it be all right if I mentioned one option that might fix the speed problem?</t>
  </si>
  <si>
    <t xml:space="preserve">A customer says their broadband has been slow for weeks and they want to cancel today; a free router upgrade could solve the issue.</t>
  </si>
  <si>
    <t xml:space="preserve">The caller says, "Just cancel my account." How do you respect that and still offer one solution without pressure?</t>
  </si>
  <si>
    <t xml:space="preserve">i can CER-tain-ly HELP you CAN-cel · be-FORE you de-CIDE · would it be ALL RIGHT if i MEN-tioned ONE OP-tion · that might FIX the SPEED PROB-lem</t>
  </si>
  <si>
    <t xml:space="preserve">help_you → "hel-pyoo" · would_it → "wu-dit" · if_I → "i-fai" · mentioned_one → "men-shun-dwun"</t>
  </si>
  <si>
    <t xml:space="preserve">Relaxed and unhurried; a rising tone on the question shows the caller can say no. Do not speed up, which sounds like a sales pitch.</t>
  </si>
  <si>
    <t xml:space="preserve">"Would" starts with a rounded w, lips pushed forward and no teeth on the lip; avoid a v-like "vood". "Cancel" is stressed CAN-cel, not can-CEL.</t>
  </si>
  <si>
    <t xml:space="preserve">Respectful, low-pressure offer</t>
  </si>
  <si>
    <t xml:space="preserve">Fed up, decided, and expecting to be pressured to stay.</t>
  </si>
  <si>
    <t xml:space="preserve">Open the exit door for the customer first, then point once at a window with a better view; never stand in the doorway.</t>
  </si>
  <si>
    <t xml:space="preserve">मैं ज़रूर कैंसल करने में आपकी मदद कर सकता/सकती हूँ। फ़ैसला करने से पहले, क्या मैं एक विकल्प बता सकता/सकती हूँ जो स्पीड की समस्या ठीक कर सकता है?</t>
  </si>
  <si>
    <t xml:space="preserve">Main zaroor cancel karne mein aapki madad kar sakta/sakti hoon. Faisla karne se pehle, kya main ek vikalp bata sakta/sakti hoon jo speed ki samasya theek kar sakta hai?</t>
  </si>
  <si>
    <t xml:space="preserve">Yes, I will help you cancel. But first, can I tell you about one thing that might solve your slow internet?</t>
  </si>
  <si>
    <t xml:space="preserve">Agreeing first removes the fight, and asking permission keeps the customer in control. The offer is tied to their actual problem, so it sounds like help, not a sales trick.</t>
  </si>
  <si>
    <t xml:space="preserve">I can certainly help you ___. Before you decide, would it be all right if I ___?</t>
  </si>
  <si>
    <t xml:space="preserve">would it be all right if + I + past simple (extra-polite request)</t>
  </si>
  <si>
    <t xml:space="preserve">After "would it be all right if I…", the past form ("mentioned") makes the request softer, not past in time.</t>
  </si>
  <si>
    <t xml:space="preserve">It respects the customer's decision. "Why do you want to cancel? You will lose all your benefits" sounds like pressure or a threat.</t>
  </si>
  <si>
    <t xml:space="preserve">✗ Sir, don't cancel, you will lose all offers. → ✓ I can certainly help you cancel. Before you decide, could I mention one option?</t>
  </si>
  <si>
    <t xml:space="preserve">"Are you sure? You'll lose all your benefits." — it sounds like a threat and makes the customer more determined to leave.</t>
  </si>
  <si>
    <t xml:space="preserve">Instead of "You shouldn't cancel", say "I can help you cancel. Before you decide, could I mention one option?"</t>
  </si>
  <si>
    <t xml:space="preserve">Of course, I can process the cancellation. Could I first tell you about a free upgrade that might solve the slow speed?</t>
  </si>
  <si>
    <t xml:space="preserve">I'll help with whatever you decide. There's one option that might fix the speed issue; would you like to hear it first?</t>
  </si>
  <si>
    <t xml:space="preserve">I would be happy to process your cancellation. Before you make a final decision, might I briefly mention an option that may resolve the speed issue?</t>
  </si>
  <si>
    <t xml:space="preserve">We can upgrade your router for free this week. Would you like to try that first, or shall I go ahead with the cancellation now?</t>
  </si>
  <si>
    <t xml:space="preserve">No, just cancel it. · Okay, what's the option? · I've heard all this before.</t>
  </si>
  <si>
    <t xml:space="preserve">Customer: "No, just cancel it." → Agent: "Of course. I'll start the cancellation now, and I'll email you the confirmation and your final bill."</t>
  </si>
  <si>
    <t xml:space="preserve">Some retention scripts push agents to ask the same question several times. International customers often find repeated pushing rude; offer once, then respect the answer.</t>
  </si>
  <si>
    <t xml:space="preserve">Chat: "I can help you cancel. Before you decide, can I share one option that might fix the speed?" Email: offer the option in one short paragraph and include the cancellation steps anyway.</t>
  </si>
  <si>
    <t xml:space="preserve">Do not use it when you have no real solution to offer; inventing an offer just to delay a cancellation damages trust.</t>
  </si>
  <si>
    <t xml:space="preserve">Customer: My internet's been slow for weeks. I want to cancel. | Agent: I can certainly help you cancel. Before you decide, would it be all right if I mentioned one option that might fix the speed problem? | Customer: Go on, quickly. | Agent: We can upgrade your router for free this week. If it doesn't help, I'll process the cancellation for you.</t>
  </si>
  <si>
    <t xml:space="preserve">Agree to the request first, offer one relevant option with permission, and leave the customer in control (derived advice).</t>
  </si>
  <si>
    <t xml:space="preserve">Before you decide, would it be all ____ if I mentioned one option?</t>
  </si>
  <si>
    <t xml:space="preserve">A customer whose broadband is slow says, "I want to cancel today." Which response respects their choice and still tries to help?</t>
  </si>
  <si>
    <t xml:space="preserve">A) Are you sure? You'll lose all your benefits if you cancel today, sir. | B) May I ask why? Nobody else has complained about our service this month. | C) Okay, I've cancelled it for you. Is there anything else I can help you with? | D) I can help you cancel. Before you decide, could I mention one option?</t>
  </si>
  <si>
    <t xml:space="preserve">D agrees, then offers once with permission. C respects the choice but makes no attempt to help, A is pressure, and B argues.</t>
  </si>
  <si>
    <t xml:space="preserve">help / cancel / certainly / can / you / I</t>
  </si>
  <si>
    <t xml:space="preserve">I can certainly help you cancel</t>
  </si>
  <si>
    <t xml:space="preserve">Main zaroor cancel kar sakta/sakti hoon. Lekin usse pehle, kya main ek option bata sakta/sakti hoon?</t>
  </si>
  <si>
    <t xml:space="preserve">I can certainly cancel it for you. Before that, could I tell you about one option?</t>
  </si>
  <si>
    <t xml:space="preserve">Fine, what's the option?</t>
  </si>
  <si>
    <t xml:space="preserve">It's a free router upgrade, which I can arrange this week. If the speed doesn't improve, I'll process the cancellation straight away.</t>
  </si>
  <si>
    <t xml:space="preserve">Partner A has had slow broadband for weeks and wants to cancel. Partner B agrees, offers the free router upgrade once, and accepts either answer politely.</t>
  </si>
  <si>
    <t xml:space="preserve">Record the sentence, then record two endings: one where the customer accepts the offer and one where they say "No, just cancel."</t>
  </si>
  <si>
    <t xml:space="preserve">Did you agree to help before offering anything? · Did your voice rise on the question? · Did you offer only once?</t>
  </si>
  <si>
    <t xml:space="preserve">CSV-A-010</t>
  </si>
  <si>
    <t xml:space="preserve">I can see why it looks that way. In fact, this charge is for last month's usage, not this month's. Let me walk you through the bill.</t>
  </si>
  <si>
    <t xml:space="preserve">A customer insists they were billed twice for April, but the second charge actually covers March usage.</t>
  </si>
  <si>
    <t xml:space="preserve">The customer is sure they were billed twice, but they are mistaken. How do you correct them without making them feel foolish?</t>
  </si>
  <si>
    <t xml:space="preserve">i can SEE WHY it LOOKS that WAY · in FACT · this CHARGE is for LAST MONTH'S USE-age · NOT THIS month's · let me WALK you through the BILL</t>
  </si>
  <si>
    <t xml:space="preserve">looks_that → "look-sthat" · charge_is → "char-jiz" · last_month's → "las-munths" · walk_you → "wo-kyoo"</t>
  </si>
  <si>
    <t xml:space="preserve">Warm and even, falling on "that way". Use contrastive stress, a strong rise-fall on "LAST" and "THIS", so the difference is clear, and slow down on the correction.</t>
  </si>
  <si>
    <t xml:space="preserve">"Month's" ends in a hard cluster, /nθs/: tongue between the teeth for th, then a clear s; avoid "mont" or "mun-tes". "Walk" has a silent l: wawk.</t>
  </si>
  <si>
    <t xml:space="preserve">Tactful, clear correction</t>
  </si>
  <si>
    <t xml:space="preserve">Irritated and convinced the company has made an error.</t>
  </si>
  <si>
    <t xml:space="preserve">Like a guide turning a map the right way up: first you agree it was confusing, then you rotate it together.</t>
  </si>
  <si>
    <t xml:space="preserve">मैं समझ सकता/सकती हूँ कि ऐसा क्यों लग रहा है। असल में, यह चार्ज पिछले महीने के इस्तेमाल का है, इस महीने का नहीं। चलिए, मैं आपको बिल समझाता/समझाती हूँ।</t>
  </si>
  <si>
    <t xml:space="preserve">Main samajh sakta/sakti hoon ki aisa kyun lag raha hai. Asal mein, yeh charge pichhle mahine ke istemaal ka hai, is mahine ka nahin. Chaliye, main aapko bill samjhata/samjhati hoon.</t>
  </si>
  <si>
    <t xml:space="preserve">I understand why you think that. But this charge is really for last month, not this month. I'll explain the bill step by step.</t>
  </si>
  <si>
    <t xml:space="preserve">It agrees the confusion is reasonable before giving the fact, so the customer saves face. "Walk you through" then offers to show them, which is usually more convincing than simply saying they are wrong.</t>
  </si>
  <si>
    <t xml:space="preserve">I can see why it looks ___. In fact, ___. Let me walk you through ___.</t>
  </si>
  <si>
    <t xml:space="preserve">I can see why + clause · In fact, + correction · Let me + walk you through + noun</t>
  </si>
  <si>
    <t xml:space="preserve">"In fact" introduces the true information gently; it is softer than "No, actually, you are wrong."</t>
  </si>
  <si>
    <t xml:space="preserve">It corrects the facts, not the person. "No sir, you are wrong, read the bill properly" makes the customer defensive.</t>
  </si>
  <si>
    <t xml:space="preserve">✗ No sir, you are wrong, it is not double charge. → ✓ I can see why it looks that way. In fact, this charge is for last month's usage.</t>
  </si>
  <si>
    <t xml:space="preserve">"You have not understood the bill." — it blames the customer's intelligence and turns a question into an argument.</t>
  </si>
  <si>
    <t xml:space="preserve">Instead of "You're wrong, there is no double charge", say "I can see why it looks that way. In fact, this charge is for last month."</t>
  </si>
  <si>
    <t xml:space="preserve">That's an easy mix-up to make. The second charge is actually for last month's usage. I'll go through it with you.</t>
  </si>
  <si>
    <t xml:space="preserve">I understand the confusion; the two charges look alike. This amount covers last month, not this month. Shall we go through it line by line?</t>
  </si>
  <si>
    <t xml:space="preserve">I can understand why it appears that way. However, this charge relates to last month's usage rather than the current month. Allow me to explain the bill in detail.</t>
  </si>
  <si>
    <t xml:space="preserve">Do you have the bill in front of you? On the second line, you'll see the dates 1 to 31 March.</t>
  </si>
  <si>
    <t xml:space="preserve">Oh, I didn't notice that. · That's still confusing. · Then why did it come so late?</t>
  </si>
  <si>
    <t xml:space="preserve">Customer: "No, I'm sure it's a double charge." → Agent: "I understand. Let's check the dates together: the first charge is for April, and the second, lower down, is for March."</t>
  </si>
  <si>
    <t xml:space="preserve">In some service cultures agents avoid correcting the customer at all ("yes sir, we will check"). International customers want the truth, said politely, more than agreement that leads nowhere.</t>
  </si>
  <si>
    <t xml:space="preserve">Chat: "I can see why it looks like a double charge. The second one is for last month. I'll send you a screenshot of the bill." Email: number the charges and give their dates.</t>
  </si>
  <si>
    <t xml:space="preserve">Do not use it before you have checked the account; if the company really did charge twice, apologise instead.</t>
  </si>
  <si>
    <t xml:space="preserve">Customer: You've billed me twice for April! | Agent: I can see why it looks that way. In fact, this charge is for last month's usage, not this month's. Let me walk you through the bill. | Customer: Oh. Go on, then. | Agent: The first line is your April plan, and the second line is extra usage from 1 to 31 March.</t>
  </si>
  <si>
    <t xml:space="preserve">Explain in plain words and be specific about what the charge is, so the customer can check it (clear-language advice).</t>
  </si>
  <si>
    <t xml:space="preserve">I can see why it looks that ____. In fact, this charge is for last month's usage.</t>
  </si>
  <si>
    <t xml:space="preserve">A customer says they were charged twice, but one charge is for the previous month. What is the best reply?</t>
  </si>
  <si>
    <t xml:space="preserve">A) I can see why it looks that way. In fact, one charge is for last month. Let me show you. | B) No, sir, you are wrong. Please read the bill carefully before you call us again. | C) I'm so sorry about that, sir. I'll refund one of the charges to your account right away. | D) Our billing system is very reliable, so there cannot be a mistake on your bill, sir.</t>
  </si>
  <si>
    <t xml:space="preserve">A corrects gently and offers to explain. C sounds kind but refunds a correct charge, B blames the customer, and D defends the system without explaining.</t>
  </si>
  <si>
    <t xml:space="preserve">through / walk / the / Let / you / bill / me</t>
  </si>
  <si>
    <t xml:space="preserve">Let me walk you through the bill</t>
  </si>
  <si>
    <t xml:space="preserve">Main samajh sakta/sakti hoon aisa kyun lag raha hai. Asal mein yeh pichhle mahine ka charge hai.</t>
  </si>
  <si>
    <t xml:space="preserve">I can see why it looks that way. In fact, this is last month's charge.</t>
  </si>
  <si>
    <t xml:space="preserve">Then why did I get it so late?</t>
  </si>
  <si>
    <t xml:space="preserve">Good question. Extra usage is billed a month later, so March usage appears on the April bill. I'll email you a short guide to reading it today.</t>
  </si>
  <si>
    <t xml:space="preserve">Partner A is sure they were billed twice for April. Partner B checks, finds one charge is for March usage, and corrects A politely while walking through the bill line by line.</t>
  </si>
  <si>
    <t xml:space="preserve">Record the sentence with clear contrast stress on "LAST" and "THIS", then record the first two lines of your bill explanation.</t>
  </si>
  <si>
    <t xml:space="preserve">Did you agree the confusion was reasonable first? · Did you stress LAST and THIS? · Did you avoid saying "you are wrong"?</t>
  </si>
  <si>
    <t xml:space="preserve">CSV-A-011</t>
  </si>
  <si>
    <t xml:space="preserve">I'm still here. I'm just opening your payment history now, so it'll be about thirty more seconds.</t>
  </si>
  <si>
    <t xml:space="preserve">You are searching a slow system during the call, the line has been silent for ten seconds, and the caller asks, "Hello? Are you there?"</t>
  </si>
  <si>
    <t xml:space="preserve">Your system is slow and the line has gone quiet. What do you say so the caller knows you are working and how long it will take?</t>
  </si>
  <si>
    <t xml:space="preserve">i'm STILL HERE · i'm JUST O-pen-ing your PAY-ment HIS-to-ry NOW · so it'll be a-BOUT THIR-ty MORE SEC-onds</t>
  </si>
  <si>
    <t xml:space="preserve">just_opening → "jus-TOH-pen-ing" · payment_history → "pay-men-HIS-tree" · it'll_be → "it-ul-bee" · about_thirty → "uh-bou-THUR-tee"</t>
  </si>
  <si>
    <t xml:space="preserve">Light and reassuring, falling on "here". Keep the second part conversational but unhurried, with clear stress on "thirty".</t>
  </si>
  <si>
    <t xml:space="preserve">"Thirty" begins with /θ/: tongue tip between the teeth and blow, so it does not sound like "dirty" or "tirty". In "history" use a light t with the tongue behind the top teeth, not a heavy retroflex one.</t>
  </si>
  <si>
    <t xml:space="preserve">Light, reassuring update</t>
  </si>
  <si>
    <t xml:space="preserve">Uneasy about the silence and wondering if the call has dropped.</t>
  </si>
  <si>
    <t xml:space="preserve">A radio presenter never leaves dead air; they tell listeners what is coming next. Be the radio host.</t>
  </si>
  <si>
    <t xml:space="preserve">मैं अभी भी लाइन पर हूँ। मैं बस आपकी पेमेंट हिस्ट्री खोल रहा/रही हूँ, लगभग तीस सेकंड और लगेंगे।</t>
  </si>
  <si>
    <t xml:space="preserve">Main abhi bhi line par hoon. Main bas aapki payment history khol raha/rahi hoon, lagbhag tees second aur lagenge.</t>
  </si>
  <si>
    <t xml:space="preserve">I haven't gone. I'm looking at your past payments, and I need about half a minute more.</t>
  </si>
  <si>
    <t xml:space="preserve">It answers the caller's real worry (have you gone?), says what you are doing, and gives a short, real time. Silence with no explanation feels much longer than it is.</t>
  </si>
  <si>
    <t xml:space="preserve">I'm still here. I'm just ___ now, so it'll be about ___.</t>
  </si>
  <si>
    <t xml:space="preserve">I'm just + -ing verb (action happening now) · it'll be + about + time</t>
  </si>
  <si>
    <t xml:space="preserve">"Just" here means "only, simply", showing the action is small and nearly done.</t>
  </si>
  <si>
    <t xml:space="preserve">It sounds present and in control. Saying nothing, or "Hold on, hold on", makes the caller feel ignored.</t>
  </si>
  <si>
    <t xml:space="preserve">✗ Yes, I am here, system is very slow, please wait. → ✓ I'm still here. I'm just opening your payment history now.</t>
  </si>
  <si>
    <t xml:space="preserve">"The system is very slow today." on its own — it is an excuse and tells the caller nothing about how long they will wait.</t>
  </si>
  <si>
    <t xml:space="preserve">Instead of "System is slow, wait", say "I'm still here. I'm just opening your payment history, so it'll be about thirty more seconds."</t>
  </si>
  <si>
    <t xml:space="preserve">Still with you. The page is loading now; it should be about thirty seconds.</t>
  </si>
  <si>
    <t xml:space="preserve">Sorry for the quiet. I'm pulling up your payment history, and it's almost there.</t>
  </si>
  <si>
    <t xml:space="preserve">Thank you for your patience; I am still on the line. I am retrieving your payment history, which should take about thirty more seconds.</t>
  </si>
  <si>
    <t xml:space="preserve">Thank you for waiting. I can see your payments now; the last one was on the 3rd of June.</t>
  </si>
  <si>
    <t xml:space="preserve">Oh, okay, no rush. · Is your system always this slow? · Can you hurry, please?</t>
  </si>
  <si>
    <t xml:space="preserve">Customer: "Can you hurry, please? I'm at work." → Agent: "Of course. If it takes more than a minute, I can call you back at a time that suits you."</t>
  </si>
  <si>
    <t xml:space="preserve">In Indian English "I am there" can mean "I'm here with you". International callers hear "there" as somewhere else, so on the phone say "I'm still here" or "I'm still with you".</t>
  </si>
  <si>
    <t xml:space="preserve">Chat: "I'm still here, just checking your payment history. About thirty seconds." Email: not needed.</t>
  </si>
  <si>
    <t xml:space="preserve">Do not use it for a wait longer than a minute or two; then ask permission and use a proper hold, or offer a callback.</t>
  </si>
  <si>
    <t xml:space="preserve">Customer: Hello? Are you still there? | Agent: I'm still here. I'm just opening your payment history now, so it'll be about thirty more seconds. | Customer: Oh, okay. | Agent: Thank you for waiting. I can see your last payment was on the 3rd of June.</t>
  </si>
  <si>
    <t xml:space="preserve">Tell the caller what you are doing during silence; for longer gaps, use a proper hold with permission.</t>
  </si>
  <si>
    <t xml:space="preserve">I'm still ____. I'm just opening your payment history now.</t>
  </si>
  <si>
    <t xml:space="preserve">here</t>
  </si>
  <si>
    <t xml:space="preserve">There has been ten seconds of silence while your system loads, and the caller says "Hello?". What should you say?</t>
  </si>
  <si>
    <t xml:space="preserve">A) Hold on, hold on, sir. I am checking your account, so please wait a little more. | B) Yes, I am here, sir. The system is very slow today, so please be patient with us. | C) Please don't disturb me while I am checking. I will tell you when I have the details. | D) I'm still here. I'm just opening your payment history; it'll be about thirty more seconds.</t>
  </si>
  <si>
    <t xml:space="preserve">D reassures, says what you are doing and gives a time. B is honest but only an excuse with no time, A is an order with no explanation, and C is rude.</t>
  </si>
  <si>
    <t xml:space="preserve">payment / opening / now / your / I'm / history / just</t>
  </si>
  <si>
    <t xml:space="preserve">I'm just opening your payment history now</t>
  </si>
  <si>
    <t xml:space="preserve">Main abhi bhi line par hoon. Bas aapka account khul raha hai, lagbhag ek minute aur lagega.</t>
  </si>
  <si>
    <t xml:space="preserve">I'm still here. Your account is just opening; it'll be about one more minute.</t>
  </si>
  <si>
    <t xml:space="preserve">Is your system always this slow?</t>
  </si>
  <si>
    <t xml:space="preserve">It's slower than usual today, and I'm sorry about that. It's open now, and I can see your payments.</t>
  </si>
  <si>
    <t xml:space="preserve">Partner B's system is slow. Partner A keeps asking "Hello?" during silences. Partner B fills each silence with a short update and a time, then thanks A when the page opens.</t>
  </si>
  <si>
    <t xml:space="preserve">Record the sentence, then record two more short "still here" updates you could use during a long search.</t>
  </si>
  <si>
    <t xml:space="preserve">Did you say what you are doing? · Did you give a real time? · Did you say "thirty" with a real th?</t>
  </si>
  <si>
    <t xml:space="preserve">CSV-A-012</t>
  </si>
  <si>
    <t xml:space="preserve">I can change the address only before the parcel leaves the warehouse; after that, it's with the courier. Instead, I can ask them to hold it at your local depot.</t>
  </si>
  <si>
    <t xml:space="preserve">A customer who has just moved house asks to change the delivery address, but the parcel left the warehouse yesterday and is now with the courier.</t>
  </si>
  <si>
    <t xml:space="preserve">A rule stops you doing what the customer asks. How do you explain the real reason without saying "policy", and still give an option?</t>
  </si>
  <si>
    <t xml:space="preserve">i can CHANGE the ad-DRESS · ON-ly be-FORE the PAR-cel LEAVES the WARE-house · AF-ter THAT · it's with the COUR-i-er · in-STEAD · i can ASK them to HOLD it at your LO-cal DEP-ot</t>
  </si>
  <si>
    <t xml:space="preserve">leaves_the → "leev-zthe" · ask_them → "as-kthem" · hold_it → "hole-dit" · at_your → "a-chyer"</t>
  </si>
  <si>
    <t xml:space="preserve">Matter-of-fact falling tone on "courier"; it is a fact, not an excuse. Pause, then a brighter start on "Instead" so the option stands out.</t>
  </si>
  <si>
    <t xml:space="preserve">"Depot" has a silent t: DEP-oh (British) or DEE-poh (American), never "de-POT". "Courier" has three syllables, KOOR-ee-er, not "kur-yar".</t>
  </si>
  <si>
    <t xml:space="preserve">Clear, factual, helpful</t>
  </si>
  <si>
    <t xml:space="preserve">Stressed about the move and worried the parcel will go to the old address.</t>
  </si>
  <si>
    <t xml:space="preserve">Explain it like a train timetable: once the train has left the station you can't board it, but you can meet it at the next stop.</t>
  </si>
  <si>
    <t xml:space="preserve">पार्सल वेयरहाउस से निकलने से पहले ही मैं पता बदल सकता/सकती हूँ; उसके बाद वह कूरियर के पास होता है। इसके बजाय, मैं उनसे कह सकता/सकती हूँ कि वे इसे आपके नज़दीकी डिपो पर रोक लें।</t>
  </si>
  <si>
    <t xml:space="preserve">Parcel warehouse se nikalne se pehle hi main pata badal sakta/sakti hoon; uske baad woh courier ke paas hota hai. Iske bajaay, main unse keh sakta/sakti hoon ki ve ise aapke nazdeeki depot par rok lein.</t>
  </si>
  <si>
    <t xml:space="preserve">Address changes are possible only before the parcel leaves us, because then another company carries it. But I can ask them to keep it at a nearby collection point.</t>
  </si>
  <si>
    <t xml:space="preserve">The customer hears the real, logical reason, which makes the "no" feel fair instead of random. They then get a practical option straight away, so the call ends with a solution.</t>
  </si>
  <si>
    <t xml:space="preserve">I can ___ only before ___; after that, ___. Instead, I can ___.</t>
  </si>
  <si>
    <t xml:space="preserve">can + base verb + only before + clause · after that, + clause · Instead, + I can + base verb</t>
  </si>
  <si>
    <t xml:space="preserve">Put "only" right before the limit it describes: "only before the parcel leaves" tells the listener exactly when the change is possible.</t>
  </si>
  <si>
    <t xml:space="preserve">A real reason sounds honest. "It's company policy, so the address cannot be changed" sounds as if the agent is hiding behind a rule.</t>
  </si>
  <si>
    <t xml:space="preserve">✗ Address can change only before parcel leave the warehouse. → ✓ I can change the address only before the parcel leaves the warehouse.</t>
  </si>
  <si>
    <t xml:space="preserve">"That's our policy, sir." — it gives no reason, so the customer feels the rule is random and argues.</t>
  </si>
  <si>
    <t xml:space="preserve">Instead of "Policy says we cannot change it", say "After it leaves the warehouse, it's with the courier, but I can ask them to hold it at your local depot."</t>
  </si>
  <si>
    <t xml:space="preserve">Once a parcel leaves our warehouse, the courier controls it, so I can't change the address now. I can ask them to keep it at a depot near you.</t>
  </si>
  <si>
    <t xml:space="preserve">The address can't be changed now because the courier already has the parcel. The good news is I can ask them to hold it for you to collect.</t>
  </si>
  <si>
    <t xml:space="preserve">Address changes are possible only before dispatch, as the parcel is then in the courier's care. I would, however, be happy to ask the courier to hold it at your local depot.</t>
  </si>
  <si>
    <t xml:space="preserve">I'm sorry the timing didn't work out. Which area have you moved to? I'll find the closest depot and give you its opening hours.</t>
  </si>
  <si>
    <t xml:space="preserve">Why can't you just call the courier? · Okay, which depot? · That's really inconvenient.</t>
  </si>
  <si>
    <t xml:space="preserve">Customer: "Why can't you just call the courier and change it?" → Agent: "I understand, you want it at your new place. Once the courier has the parcel, I can't change the address from our side. What I can do is ask them to hold it at your local depot, and I'll text you as soon as they confirm."</t>
  </si>
  <si>
    <t xml:space="preserve">In India "courier boy" or "delivery boy" is a common way to name the driver. International customers may find "boy" odd for an adult; say "the driver" or "the courier".</t>
  </si>
  <si>
    <t xml:space="preserve">Chat: give the reason in one short message and the depot option in the next. Email: explain why, offer the depot hold, and list the collection steps.</t>
  </si>
  <si>
    <t xml:space="preserve">Do not use it when you do not know the real reason for a rule; find out first rather than inventing one.</t>
  </si>
  <si>
    <t xml:space="preserve">Customer: I've moved. Can you change my delivery address? | Agent: I can change the address only before the parcel leaves the warehouse; after that, it's with the courier. Instead, I can ask them to hold it at your local depot. | Customer: Okay, that's better than nothing. | Agent: Great. Which area are you in now? I'll find the closest depot.</t>
  </si>
  <si>
    <t xml:space="preserve">Explain the real reason behind a rule instead of quoting "policy", then offer what is possible (derived advice).</t>
  </si>
  <si>
    <t xml:space="preserve">I can change the address only before the parcel leaves the warehouse; after that, it's ____ the courier.</t>
  </si>
  <si>
    <t xml:space="preserve">A customer wants to change the address of a parcel the courier already has. Which reply is best?</t>
  </si>
  <si>
    <t xml:space="preserve">A) Our policy does not allow address changes once the order has been dispatched, sir. | B) It's with the courier now, so I can't change it, but I can ask them to hold it at a depot. | C) You should have told us before the order was dispatched. Now it is too late, sir. | D) No problem, sir, I'll change the address now. The courier will deliver it to the new place.</t>
  </si>
  <si>
    <t xml:space="preserve">B gives the real reason and an option. D sounds helpful but promises what you cannot do, A hides behind policy, and C blames the customer.</t>
  </si>
  <si>
    <t xml:space="preserve">hold / to / ask / depot / I / them / local / can / your / it / at</t>
  </si>
  <si>
    <t xml:space="preserve">I can ask them to hold it at your local depot</t>
  </si>
  <si>
    <t xml:space="preserve">Parcel nikal chuka hai, isliye address nahin badal sakte. Lekin main courier se use depot par rokne ko keh sakta/sakti hoon.</t>
  </si>
  <si>
    <t xml:space="preserve">The parcel has already left the warehouse, so I can't change the address, but I can ask the courier to hold it at a depot for you.</t>
  </si>
  <si>
    <t xml:space="preserve">Okay, which depot is closest?</t>
  </si>
  <si>
    <t xml:space="preserve">The closest one is on Station Road, open 9 am to 7 pm. I'll text you the address now, and the collection code as soon as the courier confirms the hold.</t>
  </si>
  <si>
    <t xml:space="preserve">Partner A has moved and wants a parcel redirected after it has left the warehouse. Partner B explains why it can't be changed without saying "policy" and asks the courier for a depot hold.</t>
  </si>
  <si>
    <t xml:space="preserve">Record the sentence, then record your answer to "Why can't you just call the courier?"</t>
  </si>
  <si>
    <t xml:space="preserve">Did you give a real reason instead of "policy"? · Did you offer an alternative? · Did you say "depot" with a silent t?</t>
  </si>
  <si>
    <t xml:space="preserve">CSV-A-013</t>
  </si>
  <si>
    <t xml:space="preserve">Thank you for bearing with me today. To recap, your replacement ships tomorrow, and I'll call you on Friday to check it has arrived.</t>
  </si>
  <si>
    <t xml:space="preserve">After a long, tense call about a faulty dishwasher, you have arranged a replacement and the customer is calmer.</t>
  </si>
  <si>
    <t xml:space="preserve">A long, angry call is ending well. How do you thank the customer and make the next steps crystal clear?</t>
  </si>
  <si>
    <t xml:space="preserve">THANK you for BEAR-ing with me to-DAY · to re-CAP · your re-PLACE-ment SHIPS to-MOR-row · and i'll CALL you on FRI-day · to CHECK it has ar-RIVED</t>
  </si>
  <si>
    <t xml:space="preserve">Thank_you → "thang-kyoo" · ships_tomorrow → "ship-stuh-MOR-oh" · check_it → "che-kit" · has_arrived → "haz-uh-RIVED"</t>
  </si>
  <si>
    <t xml:space="preserve">Warm and slower than the rest of the call. Falling tone on "today", a pause before "To recap", then clear, measured stress on "tomorrow" and "Friday".</t>
  </si>
  <si>
    <t xml:space="preserve">"Arrived" ends in /vd/: top teeth on the lower lip for v, then a light d; do not say "arrive" or "arriwed". "Bearing" has a long "air" sound, BAIR-ing, not "bee-ring".</t>
  </si>
  <si>
    <t xml:space="preserve">Warm, clear, reassuring</t>
  </si>
  <si>
    <t xml:space="preserve">Calmer but tired and still a little doubtful the promise will be kept.</t>
  </si>
  <si>
    <t xml:space="preserve">Tie a ribbon on the parcel: thank, summarise, promise a day, so the customer carries away a neat package, not loose pieces.</t>
  </si>
  <si>
    <t xml:space="preserve">आज धैर्य रखने के लिए धन्यवाद। संक्षेप में: आपका रिप्लेसमेंट कल भेजा जाएगा, और शुक्रवार को मैं आपको कॉल करके पक्का करूँगा/करूँगी कि वह पहुँच गया है।</t>
  </si>
  <si>
    <t xml:space="preserve">Aaj dhairya rakhne ke liye dhanyavaad. Sankshep mein: aapka replacement kal bheja jaayega, aur Shukravaar ko main aapko call karke pakka karunga/karungi ki woh pahunch gaya hai.</t>
  </si>
  <si>
    <t xml:space="preserve">Thanks for being so patient. Quick summary: the new dishwasher is sent tomorrow, and I'll phone you on Friday to check you got it.</t>
  </si>
  <si>
    <t xml:space="preserve">Thanking the customer recognises a hard call, and the recap removes any doubt about what happens next. A personal follow-up on a named day shows ownership, so the customer does not need to chase you.</t>
  </si>
  <si>
    <t xml:space="preserve">Thank you for ___ today. To recap, ___, and I'll ___ on ___.</t>
  </si>
  <si>
    <t xml:space="preserve">Thank you for + -ing · To recap, + present simple for a schedule · I'll + verb + on + day</t>
  </si>
  <si>
    <t xml:space="preserve">The present simple ("ships tomorrow") is used for a fixed future schedule.</t>
  </si>
  <si>
    <t xml:space="preserve">It ends the call on progress, not on the problem. "Okay, anything else? Bye" sounds like you are rushing a difficult customer out.</t>
  </si>
  <si>
    <t xml:space="preserve">✗ Thank you for bearing me today. Your replacement will ship tomorrow, okay? → ✓ Thank you for bearing with me today. To recap, your replacement ships tomorrow.</t>
  </si>
  <si>
    <t xml:space="preserve">"Is there anything else I can do for you?" straight away — on a difficult call it assumes the problem is solved before you have checked.</t>
  </si>
  <si>
    <t xml:space="preserve">Instead of "Okay, your complaint is registered, anything else?", say "To recap, your replacement ships tomorrow, and I'll call you on Friday to check it has arrived."</t>
  </si>
  <si>
    <t xml:space="preserve">Thanks for staying with me through all that. Just to confirm, the new dishwasher goes out tomorrow and I'll ring you on Friday.</t>
  </si>
  <si>
    <t xml:space="preserve">I really appreciate your patience. So, the replacement leaves our warehouse tomorrow, and I'll call you on Friday to make sure it's arrived.</t>
  </si>
  <si>
    <t xml:space="preserve">Thank you for your patience throughout this call. To summarise, your replacement will be dispatched tomorrow, and I will telephone you on Friday to confirm its arrival.</t>
  </si>
  <si>
    <t xml:space="preserve">Does that resolve things for you today?</t>
  </si>
  <si>
    <t xml:space="preserve">Yes, thank you, that's fine. · What time on Friday? · I'll believe it when I see it.</t>
  </si>
  <si>
    <t xml:space="preserve">Customer: "I'll believe it when I see it." → Agent: "That's fair after the week you've had. I've put the Friday call in my calendar, and your case number is 58213."</t>
  </si>
  <si>
    <t xml:space="preserve">Some agents end with a fast script ("Thank you for calling, have a nice day") even after a tough call. International customers tend to value a short personal summary and a clear promise more than a formula.</t>
  </si>
  <si>
    <t xml:space="preserve">Chat: "Thanks for your patience today. To recap: the replacement ships tomorrow, and I'll message you on Friday." Email: put the summary as a short numbered list.</t>
  </si>
  <si>
    <t xml:space="preserve">Do not recap a promise you are not sure you can keep; confirm the shipping date first.</t>
  </si>
  <si>
    <t xml:space="preserve">Customer: Okay… so that's it? | Agent: Thank you for bearing with me today. To recap, your replacement ships tomorrow, and I'll call you on Friday to check it has arrived. Does that resolve things for you today? | Customer: Yes. Thanks for actually sorting it. | Agent: You're welcome. Is there anything else I can help with before you go?</t>
  </si>
  <si>
    <t xml:space="preserve">After a hard call, thank the customer, recap each next step with a day, and own the follow-up; check it is resolved before "anything else" (SQM Group).</t>
  </si>
  <si>
    <t xml:space="preserve">To recap, your replacement ships tomorrow, and I'll call you on Friday to check it has ____.</t>
  </si>
  <si>
    <t xml:space="preserve">arrived</t>
  </si>
  <si>
    <t xml:space="preserve">A long, tense call is ending with a replacement agreed. Which closing is best?</t>
  </si>
  <si>
    <t xml:space="preserve">A) Okay, your complaint is registered. Is there anything else I can help you with, sir? | B) Thank you for bearing with me. To recap, it ships tomorrow, and I'll call you on Friday. | C) Thank you for calling us today, sir. I hope you have a very nice day. | D) I've done everything I can. Hopefully the new dishwasher will reach you very soon, sir.</t>
  </si>
  <si>
    <t xml:space="preserve">B thanks, summarises and gives a follow-up day. C is polite but a script with no summary, A rushes the customer, and D is a vague hope, not a promise.</t>
  </si>
  <si>
    <t xml:space="preserve">on / call / I'll / Friday / you</t>
  </si>
  <si>
    <t xml:space="preserve">I'll call you on Friday</t>
  </si>
  <si>
    <t xml:space="preserve">Aapke dhairya ke liye shukriya. Aapka naya phone kal bheja jaayega, aur main Somvaar ko call karunga/karungi.</t>
  </si>
  <si>
    <t xml:space="preserve">Thank you for your patience. Your new phone ships tomorrow, and I'll call you on Monday.</t>
  </si>
  <si>
    <t xml:space="preserve">What time on Friday?</t>
  </si>
  <si>
    <t xml:space="preserve">Between 10 am and 12 noon. If that doesn't suit you, tell me a better time and I'll note it.</t>
  </si>
  <si>
    <t xml:space="preserve">Partner A has had a faulty dishwasher for a week and has been angry throughout. Partner B closes the call: thanks A, recaps the replacement and the Friday call, and checks the issue is resolved.</t>
  </si>
  <si>
    <t xml:space="preserve">Record the closing sentence and the resolution check, sounding warm and unhurried.</t>
  </si>
  <si>
    <t xml:space="preserve">Did you thank the customer for their patience? · Did you recap both next steps with days? · Did you check it was resolved before "anything else"?</t>
  </si>
  <si>
    <t xml:space="preserve">CSV-A-014</t>
  </si>
  <si>
    <t xml:space="preserve">I understand you're trying to help your father, but I can only discuss the account with him. If he joins the call and gives permission, I can help you both.</t>
  </si>
  <si>
    <t xml:space="preserve">A caller asks for the balance and recent transactions on her father's account, but she is not a named user on it.</t>
  </si>
  <si>
    <t xml:space="preserve">Someone asks about an account that is not theirs. How do you refuse kindly and show them a way to get help?</t>
  </si>
  <si>
    <t xml:space="preserve">i un-der-STAND you're TRY-ing to HELP your FA-ther · but i can ON-ly dis-CUSS the ac-COUNT with HIM · if he JOINS the CALL and gives per-MIS-sion · i can HELP you BOTH</t>
  </si>
  <si>
    <t xml:space="preserve">understand_you're → "un-der-stan-jor" · trying_to → "TRY-ing-tuh" · help_your → "hel-pyor" · joins_the → "join-zthe"</t>
  </si>
  <si>
    <t xml:space="preserve">Gentle, steady and firm; falling tone on "with him" so it sounds final. A warmer start on "If he joins" shows the door is still open.</t>
  </si>
  <si>
    <t xml:space="preserve">"Father" has a voiced /ð/ in the middle: tongue between the teeth; avoid "fa-dar". "Both" ends in an unvoiced /θ/: keep the tongue out, do not say "bote".</t>
  </si>
  <si>
    <t xml:space="preserve">Kind but firm</t>
  </si>
  <si>
    <t xml:space="preserve">Worried about her father and irritated by the obstacle.</t>
  </si>
  <si>
    <t xml:space="preserve">You are the guard at a locked door: you smile, keep the key in your pocket, and show where the owner can come and open it.</t>
  </si>
  <si>
    <t xml:space="preserve">मैं समझता/समझती हूँ कि आप अपने पिताजी की मदद करना चाहती हैं, लेकिन मैं इस अकाउंट के बारे में सिर्फ़ उन्हीं से बात कर सकता/सकती हूँ। अगर वे कॉल पर आकर अनुमति दें, तो मैं आप दोनों की मदद कर सकता/सकती हूँ।</t>
  </si>
  <si>
    <t xml:space="preserve">Main samajhta/samajhti hoon ki aap apne pitaji ki madad karna chahti hain, lekin main is account ke baare mein sirf unhi se baat kar sakta/sakti hoon. Agar woh call par aakar anumati dein, to main aap dono ki madad kar sakta/sakti hoon.</t>
  </si>
  <si>
    <t xml:space="preserve">I know you mean well, but I can only talk about this account with your father. If he comes on the line and agrees, I can help both of you.</t>
  </si>
  <si>
    <t xml:space="preserve">It respects the caller's good intention while protecting the account holder's privacy. Ending with a clear way forward turns a refusal into a next step instead of a dead end.</t>
  </si>
  <si>
    <t xml:space="preserve">I understand you're trying to ___, but I can only discuss ___ with ___. If ___, I can ___.</t>
  </si>
  <si>
    <t xml:space="preserve">I understand + you're + -ing · but + I can only + base verb · If + present, + I can + base verb</t>
  </si>
  <si>
    <t xml:space="preserve">"You're trying to" shows you see the caller's effort, which softens the "but" that follows.</t>
  </si>
  <si>
    <t xml:space="preserve">It refuses the information, not the person. "I can't tell you anything, you are not the account holder" sounds suspicious and cold.</t>
  </si>
  <si>
    <t xml:space="preserve">✗ You are not account holder, I cannot share. → ✓ I understand you're trying to help your father, but I can only discuss the account with him.</t>
  </si>
  <si>
    <t xml:space="preserve">"I can't tell you anything." — it sounds as if you suspect the caller, and it gives no route to help.</t>
  </si>
  <si>
    <t xml:space="preserve">Instead of "I can't share any details with you", say "If your father joins the call and gives permission, I can help you both."</t>
  </si>
  <si>
    <t xml:space="preserve">I can tell you care about your father's account. To protect his privacy, I can only go through the details with him directly.</t>
  </si>
  <si>
    <t xml:space="preserve">I'd like to help, but for his security I can only share account details with your father. Could he come to the phone for a moment?</t>
  </si>
  <si>
    <t xml:space="preserve">I appreciate that you are acting on your father's behalf; however, to protect his privacy, I am only able to discuss the account with him directly.</t>
  </si>
  <si>
    <t xml:space="preserve">Is your father nearby? To protect his account, he will need to confirm his date of birth before he gives permission for you to stay on the call.</t>
  </si>
  <si>
    <t xml:space="preserve">He's in hospital, he can't come to the phone. · I'm his daughter, I have all his details! · Okay, I'll get him.</t>
  </si>
  <si>
    <t xml:space="preserve">Customer: "I'm his daughter, I know all his details!" → Agent: "I believe you, and I know this is frustrating. It protects his account from anyone pretending to be family. If he can't come to the phone, I can explain how to add you as an authorised user."</t>
  </si>
  <si>
    <t xml:space="preserve">In many families it is common for relatives to manage each other's accounts informally. Privacy rules are strict, so explain the reason gently rather than sounding as if you suspect the caller.</t>
  </si>
  <si>
    <t xml:space="preserve">Chat: "To protect your father's privacy, I can only discuss the account with him. Could he message us from his own login?" Email: explain the authorised-user form and include the link.</t>
  </si>
  <si>
    <t xml:space="preserve">Do not use it when the caller is already a named, verified authorised user on the account.</t>
  </si>
  <si>
    <t xml:space="preserve">Customer: Can you tell me my father's balance? He asked me to check. | Agent: I understand you're trying to help your father, but I can only discuss the account with him. If he joins the call and gives permission, I can help you both. | Customer: He's right here, I'll pass him the phone. | Agent: Thank you. Hello, Mr Iyer. To protect your account, could you confirm your date of birth for me?</t>
  </si>
  <si>
    <t xml:space="preserve">Privacy: discuss an account only with the holder or an authorised user, explain why kindly, and offer a way forward.</t>
  </si>
  <si>
    <t xml:space="preserve">I understand you're trying to help your father, but I can only discuss the account ____ him.</t>
  </si>
  <si>
    <t xml:space="preserve">A woman calls for her father's account balance but is not on the account. What is the best reply?</t>
  </si>
  <si>
    <t xml:space="preserve">A) You are not the account holder, so I cannot share anything with you, madam. | B) Okay, since you're his daughter, I can tell you that the balance is 8,000 rupees. | C) Please call us from your father's registered number next time, and then I can help. | D) I understand, but I can only discuss it with him. If he joins the call, I can help.</t>
  </si>
  <si>
    <t xml:space="preserve">D protects privacy and offers a way forward. B feels helpful but breaks security, A is cold, and C does not explain how to get help now.</t>
  </si>
  <si>
    <t xml:space="preserve">help / both / I / you / can</t>
  </si>
  <si>
    <t xml:space="preserve">I can help you both</t>
  </si>
  <si>
    <t xml:space="preserve">Main samajhta/samajhti hoon aap madad karna chahti hain, lekin account ki jaankari main sirf account holder ko de sakta/sakti hoon.</t>
  </si>
  <si>
    <t xml:space="preserve">I understand you want to help, but I can only share account details with the account holder.</t>
  </si>
  <si>
    <t xml:space="preserve">He's in hospital. He can't come to the phone.</t>
  </si>
  <si>
    <t xml:space="preserve">I'm sorry to hear that. There's a form your father can sign to make you an authorised user. I'll email it to you now and explain how it works.</t>
  </si>
  <si>
    <t xml:space="preserve">Partner A calls about her father's account balance and is not on the account. Partner B refuses kindly, explains why, and offers both options: the father joins the call, or the authorised-user form.</t>
  </si>
  <si>
    <t xml:space="preserve">Record the sentence, then record your answer to "I'm his daughter, I know all his details!"</t>
  </si>
  <si>
    <t xml:space="preserve">Did you show you understand the caller's intention? · Did you give a clear way forward? · Did you say "father" and "both" with a real th?</t>
  </si>
  <si>
    <t xml:space="preserve">CSV-A-015</t>
  </si>
  <si>
    <t xml:space="preserve">This is absolutely ridiculous!</t>
  </si>
  <si>
    <t xml:space="preserve">A customer has just been told their refund will take another week, after already waiting a month.</t>
  </si>
  <si>
    <t xml:space="preserve">A customer bursts out with a strong word meaning "this makes no sense". What are they really telling you, and how do you answer?</t>
  </si>
  <si>
    <t xml:space="preserve">THIS is ab-so-LUTE-ly ri-DIC-u-lous</t>
  </si>
  <si>
    <t xml:space="preserve">This_is_absolutely → "thi-siz-ab-suh-LOOT-lee" · absolutely_ridiculous → no link, a tiny pause before "ri-DIK-yuh-lus"</t>
  </si>
  <si>
    <t xml:space="preserve">Usually loud and high, falling sharply on "-DIC-", with "absolutely" stretched for emphasis. Recognise the anger in the pitch, and answer in a lower, slower voice.</t>
  </si>
  <si>
    <t xml:space="preserve">Listen for the stress on the second syllable, ri-DIC-u-lous; if you repeat the word, do not say RI-di-ku-lus. Native speakers often squeeze "absolutely" to "ab-s'loot-lee", so it can sound shorter than you expect.</t>
  </si>
  <si>
    <t xml:space="preserve">Angry, exasperated outburst</t>
  </si>
  <si>
    <t xml:space="preserve">Exasperated and feeling the company does not respect their time.</t>
  </si>
  <si>
    <t xml:space="preserve">"Ridiculous" is a smoke alarm, not the fire: it tells you something is burning (a long wait), so look for the cause, not the noise.</t>
  </si>
  <si>
    <t xml:space="preserve">यह बिल्कुल बेतुका है! (मतलब: मैं बहुत परेशान हूँ, यह बात मुझे बिल्कुल ठीक नहीं लग रही।)</t>
  </si>
  <si>
    <t xml:space="preserve">Yeh bilkul betuka hai! (Matlab: main bahut pareshaan hoon, yeh baat mujhe bilkul theek nahin lag rahi.)</t>
  </si>
  <si>
    <t xml:space="preserve">The customer means: "This is completely unfair and makes no sense to me, and I am very annoyed."</t>
  </si>
  <si>
    <t xml:space="preserve">It is not an insult to you; it is frustration with a process that has failed them, often after a long wait. They need you to agree the situation is bad and show a concrete step, not to defend the company.</t>
  </si>
  <si>
    <t xml:space="preserve">This is absolutely ___!</t>
  </si>
  <si>
    <t xml:space="preserve">This is + absolutely + extreme adjective (ridiculous, unacceptable, outrageous)</t>
  </si>
  <si>
    <t xml:space="preserve">"Absolutely" goes with extreme adjectives; it makes "ridiculous" even stronger.</t>
  </si>
  <si>
    <t xml:space="preserve">It sounds rude, but it is a common way to express strong annoyance in English. Replying "Please don't use such words, sir" treats it as abuse and makes things worse.</t>
  </si>
  <si>
    <t xml:space="preserve">✗ Agent: It is not ridiculous, sir, it is our process. → ✓ Agent: You're right, a month is far too long. I'll look into it right now.</t>
  </si>
  <si>
    <t xml:space="preserve">"Sir, it is not ridiculous, it is the standard process." — arguing with the word tells the customer their frustration is wrong.</t>
  </si>
  <si>
    <t xml:space="preserve">Instead of "That's the process, sir", say "You're right, waiting a month is far too long. I'll look into it right now."</t>
  </si>
  <si>
    <t xml:space="preserve">I agree it's taken far too long. Let me look at why the refund is stuck.</t>
  </si>
  <si>
    <t xml:space="preserve">I understand completely; that's a long wait. Let me find out exactly where your refund is.</t>
  </si>
  <si>
    <t xml:space="preserve">I fully understand your frustration; this has taken far longer than it should. I will look into it immediately.</t>
  </si>
  <si>
    <t xml:space="preserve">You're right, a month is far too long. Could you give me the order number so I can see exactly where the refund is stuck?</t>
  </si>
  <si>
    <t xml:space="preserve">It's 6093, and I've given it three times already. · Don't just agree with me, do something. · Fine.</t>
  </si>
  <si>
    <t xml:space="preserve">Customer: "Don't just agree with me, do something!" → Agent: "Fair enough. Could you bear with me for two minutes while I open your refund record? Then I'll tell you exactly what's holding it up."</t>
  </si>
  <si>
    <t xml:space="preserve">Some learners hear "ridiculous" as a personal insult. In everyday British and American English it is a strong but common complaint word about a situation, not about you.</t>
  </si>
  <si>
    <t xml:space="preserve">Chat: often written as "this is ridiculous" or "ridiculous!!"; reply with one empathy line and an action. Email: often in the subject line; answer the specific delay in your first sentence.</t>
  </si>
  <si>
    <t xml:space="preserve">If you echo the customer, do not say "Yes, it is ridiculous"; agree with the feeling without insulting your own company.</t>
  </si>
  <si>
    <t xml:space="preserve">Customer: Another week? This is absolutely ridiculous! | Agent: You're right, a month is far too long. Could you give me the order number so I can see exactly where the refund is stuck? | Customer: It's 6093. | Agent: Thank you. I can see it's waiting for approval; I'm escalating it now.</t>
  </si>
  <si>
    <t xml:space="preserve">Never say "calm down"; name the feeling, then act (empathy line, then action).</t>
  </si>
  <si>
    <t xml:space="preserve">You're right, a month is far too ____. I'll look into it right now.</t>
  </si>
  <si>
    <t xml:space="preserve">long</t>
  </si>
  <si>
    <t xml:space="preserve">A customer shouts, "This is absolutely ridiculous!" after hearing about another delay. What does the customer most likely mean?</t>
  </si>
  <si>
    <t xml:space="preserve">A) They are very frustrated because the situation seems unfair and is taking too long. | B) They are insulting you personally because they think you are not doing your job. | C) They find the situation amusing and are laughing at how complicated it has become. | D) They want to end the call immediately because they have lost all trust in you.</t>
  </si>
  <si>
    <t xml:space="preserve">A is right: "ridiculous" here means unreasonable, not funny. C is tempting because the word is linked to laughing at something, but here it shows anger; B takes it too personally, and D guesses an action the words do not show.</t>
  </si>
  <si>
    <t xml:space="preserve">far / long / a / is / too / month</t>
  </si>
  <si>
    <t xml:space="preserve">a month is far too long</t>
  </si>
  <si>
    <t xml:space="preserve">Aap sahi keh rahe hain, ek mahina bahut zyada hai. Main abhi dekhta/dekhti hoon refund kahaan atka hai.</t>
  </si>
  <si>
    <t xml:space="preserve">You're right, a month is far too long. I'll check right now where your refund is stuck.</t>
  </si>
  <si>
    <t xml:space="preserve">Don't just agree with me. Do something!</t>
  </si>
  <si>
    <t xml:space="preserve">Understood. I'm escalating your refund to our payments team now, and I'll call you back by 4 pm with an update.</t>
  </si>
  <si>
    <t xml:space="preserve">Partner A has waited a month for a refund and shouts "This is absolutely ridiculous!" Partner B recognises the frustration, agrees the wait is too long, and moves to a concrete step.</t>
  </si>
  <si>
    <t xml:space="preserve">Record the customer's line said angrily (to train your ear), then record your calm reply and your next question.</t>
  </si>
  <si>
    <t xml:space="preserve">Did you hear it as frustration, not a personal insult? · Did you agree with the feeling without blaming your company? · Did your reply include a concrete action?</t>
  </si>
  <si>
    <t xml:space="preserve">CSV-A-016</t>
  </si>
  <si>
    <t xml:space="preserve">I'm going to post about this online.</t>
  </si>
  <si>
    <t xml:space="preserve">A customer whose damaged sofa still hasn't been replaced after two weeks threatens to write a public review.</t>
  </si>
  <si>
    <t xml:space="preserve">A customer threatens to complain publicly on social media. What do they really want, and how do you respond without panicking or warning them back?</t>
  </si>
  <si>
    <t xml:space="preserve">i'm GO-ing to POST a-BOUT this on-LINE</t>
  </si>
  <si>
    <t xml:space="preserve">going_to → "gonna" · post_about → "pohs-tuh-BOUT" · this_online → "thi-son-LINE"</t>
  </si>
  <si>
    <t xml:space="preserve">Often said slowly and coldly with a falling tone, as a warning; sometimes loudly. A quiet, slow delivery can mean the customer is more serious, not less.</t>
  </si>
  <si>
    <t xml:space="preserve">Native speakers often say "going to" as "gonna", so you may hear "I'm gonna post". "Post" has a long "oh" and a final "st", pohst; listen for the t, which is often very light.</t>
  </si>
  <si>
    <t xml:space="preserve">Cold warning, a threat</t>
  </si>
  <si>
    <t xml:space="preserve">Powerless and ignored, looking for leverage to be taken seriously.</t>
  </si>
  <si>
    <t xml:space="preserve">A threat to post online is a flare fired into the sky: it means "I feel lost and nobody is coming", so send a rescue, not a warning back.</t>
  </si>
  <si>
    <t xml:space="preserve">मैं इसके बारे में ऑनलाइन पोस्ट करने वाला/वाली हूँ। (मतलब: मुझे लगता है कोई मेरी बात नहीं सुन रहा।)</t>
  </si>
  <si>
    <t xml:space="preserve">Main iske baare mein online post karne wala/wali hoon. (Matlab: mujhe lagta hai koi meri baat nahin sun raha.)</t>
  </si>
  <si>
    <t xml:space="preserve">The customer is saying: "If you don't fix this, I will tell everyone on the internet how bad your service is."</t>
  </si>
  <si>
    <t xml:space="preserve">The threat usually means the customer feels unheard and wants the problem taken seriously. They need ownership, a specific fix and a date, not a defensive reaction or a lecture about reviews.</t>
  </si>
  <si>
    <t xml:space="preserve">I'm going to ___ about this ___.</t>
  </si>
  <si>
    <t xml:space="preserve">I'm going to + base verb (a decided plan or a warning)</t>
  </si>
  <si>
    <t xml:space="preserve">"I'm going to" shows the customer has already decided, unless something changes.</t>
  </si>
  <si>
    <t xml:space="preserve">It is a warning, not abuse. Replying "That is your choice, sir" or "Please don't do that" sounds cold or desperate; focus on fixing the problem.</t>
  </si>
  <si>
    <t xml:space="preserve">✗ Agent: Sir, please don't post, it will spoil our company name. → ✓ Agent: I understand. I'd like to put this right for you today.</t>
  </si>
  <si>
    <t xml:space="preserve">"You're free to post whatever you want." — it sounds as if you do not care and almost guarantees the post.</t>
  </si>
  <si>
    <t xml:space="preserve">Instead of "Please don't post anything online", say "I understand why you feel that way. I'd like to put this right for you today."</t>
  </si>
  <si>
    <t xml:space="preserve">You have every right to share your experience. What I'd like is to get your sofa replaced quickly.</t>
  </si>
  <si>
    <t xml:space="preserve">I understand. Two weeks is too long, and I'd like to get this sorted before you wait any longer.</t>
  </si>
  <si>
    <t xml:space="preserve">I understand your frustration entirely. I would like to take personal responsibility for resolving this today.</t>
  </si>
  <si>
    <t xml:space="preserve">I understand why you feel that way. Let me arrange your replacement now; could you confirm your delivery address?</t>
  </si>
  <si>
    <t xml:space="preserve">I'll believe it when it's done. · Fine, but I want a date. · I've already written the review.</t>
  </si>
  <si>
    <t xml:space="preserve">Customer: "I've already written the review." → Agent: "I'm sorry it came to that. Let's get your sofa replaced first. I'll text you the delivery slot by 6 pm today, and I'll call you the day after it arrives to check everything is fine."</t>
  </si>
  <si>
    <t xml:space="preserve">Some agents are told to "protect the brand" and may plead with or warn the customer. International customers tend to react better when the agent simply owns the fix, as with any other complaint.</t>
  </si>
  <si>
    <t xml:space="preserve">Chat: often written as "im going to post this on social media"; reply with ownership and a date. Email: often in the last line; answer it with the action plan, not a comment on the threat.</t>
  </si>
  <si>
    <t xml:space="preserve">Do not offer extra compensation only because of the threat; treat the customer the same as anyone else with the same problem.</t>
  </si>
  <si>
    <t xml:space="preserve">Customer: Two weeks and no sofa. I'm going to post about this online. | Agent: I understand why you feel that way. Let me arrange your replacement now; could you confirm your delivery address? | Customer: 12 Lake Road. When will it come? | Agent: I've booked it for Saturday morning, and I'll text you the time slot tonight.</t>
  </si>
  <si>
    <t xml:space="preserve">Use "I will" plus a time: take ownership with a specific next step instead of a vague promise.</t>
  </si>
  <si>
    <t xml:space="preserve">I'm going to post ____ this online.</t>
  </si>
  <si>
    <t xml:space="preserve">about</t>
  </si>
  <si>
    <t xml:space="preserve">A customer says, "I'm going to post about this online." What is the most likely reason behind it?</t>
  </si>
  <si>
    <t xml:space="preserve">A) They want to become popular on social media and gain more followers there. | B) They are asking you for advice on how to write a good online review. | C) They are joking, because people rarely mean it when they say this on a call. | D) They feel ignored and want their problem to be taken seriously and fixed.</t>
  </si>
  <si>
    <t xml:space="preserve">D is right: the threat is about feeling unheard. A is tempting because it mentions posting, but the post is a tool to get attention for the problem, not the goal; B misreads a warning as a question, and C ignores the cold tone.</t>
  </si>
  <si>
    <t xml:space="preserve">replacement / Let / arrange / now / me / your</t>
  </si>
  <si>
    <t xml:space="preserve">Let me arrange your replacement now</t>
  </si>
  <si>
    <t xml:space="preserve">Main samajh sakta/sakti hoon aap aisa kyun soch rahe hain. Main aaj hi aapka replacement arrange karta/karti hoon.</t>
  </si>
  <si>
    <t xml:space="preserve">I understand why you feel that way. I'll arrange your replacement today.</t>
  </si>
  <si>
    <t xml:space="preserve">I'll believe it when it's done.</t>
  </si>
  <si>
    <t xml:space="preserve">That's fair. I've booked it for Saturday morning, and I'll text you the confirmation within the hour.</t>
  </si>
  <si>
    <t xml:space="preserve">Partner A's damaged sofa has not been replaced for two weeks and they threaten to post online. Partner B does not react to the threat, takes ownership, and books the replacement with a date.</t>
  </si>
  <si>
    <t xml:space="preserve">Record your reply to the customer's threat, including a clear action and a day, in a steady, non-defensive voice.</t>
  </si>
  <si>
    <t xml:space="preserve">Did you avoid pleading with or warning the customer? · Did you take ownership with a specific action? · Did you give a day or time?</t>
  </si>
  <si>
    <t xml:space="preserve">CSV-A-017</t>
  </si>
  <si>
    <t xml:space="preserve">I want this sorted today. No excuses.</t>
  </si>
  <si>
    <t xml:space="preserve">A café owner's card machine stopped working this morning, and they are losing sales every hour; your system shows a courier swap can reach them by 4 pm today.</t>
  </si>
  <si>
    <t xml:space="preserve">A customer demands a same-day fix and says they will not accept excuses. What do they need from you in the next minute?</t>
  </si>
  <si>
    <t xml:space="preserve">i WANT this SORT-ed to-DAY · NO ex-CUS-es</t>
  </si>
  <si>
    <t xml:space="preserve">want_this → "won-this" · sorted_today → "sor-tid-tuh-DAY" · no_excuses → "no-wik-SKYOO-siz"</t>
  </si>
  <si>
    <t xml:space="preserve">Short, clipped and firm: two falling statements with a pause between. The flat, low pitch shows they are serious and short of time.</t>
  </si>
  <si>
    <t xml:space="preserve">The noun "excuses" has an s sound: ik-SKYOO-siz; the verb "excuse" has a z sound. Also listen for "sorted", which in British English means "fixed", not "arranged in order".</t>
  </si>
  <si>
    <t xml:space="preserve">Firm, impatient demand</t>
  </si>
  <si>
    <t xml:space="preserve">Under pressure, losing money, and out of patience.</t>
  </si>
  <si>
    <t xml:space="preserve">A shopkeeper tapping their watch: they don't want a story about the clock, they want to know what time it will be fixed.</t>
  </si>
  <si>
    <t xml:space="preserve">मुझे यह आज ही ठीक चाहिए। कोई बहाना नहीं चलेगा।</t>
  </si>
  <si>
    <t xml:space="preserve">Mujhe yeh aaj hi theek chahiye. Koi bahaana nahin chalega.</t>
  </si>
  <si>
    <t xml:space="preserve">The customer is saying: "Fix this today. I don't want to hear reasons why you can't."</t>
  </si>
  <si>
    <t xml:space="preserve">The customer is losing money and has probably heard reasons before. They need a straight answer about what you can do today, a clear action and a time; explanations can come later, if at all.</t>
  </si>
  <si>
    <t xml:space="preserve">I want this ___ today. No ___.</t>
  </si>
  <si>
    <t xml:space="preserve">want + object + past participle (want this sorted = want someone to sort it)</t>
  </si>
  <si>
    <t xml:space="preserve">"I want this sorted" means "I want someone to fix this"; the person who fixes it is not named.</t>
  </si>
  <si>
    <t xml:space="preserve">It sounds harsh, but it is a normal way to show urgency. Starting your reply with "Actually, sir, the problem is…" sounds like the excuse they just banned.</t>
  </si>
  <si>
    <t xml:space="preserve">✗ Agent: Sir, actually our technician is busy today. → ✓ Agent: Understood. Here's what I can do today: a replacement machine by 4 pm.</t>
  </si>
  <si>
    <t xml:space="preserve">"Sir, actually, the thing is our engineers are very busy…" — it is exactly the excuse they told you not to give.</t>
  </si>
  <si>
    <t xml:space="preserve">Instead of "It is not possible today, engineers are busy", say "Here's what I can do today: I can send a replacement machine by 4 pm."</t>
  </si>
  <si>
    <t xml:space="preserve">Understood, I'll keep this short. I can get a replacement machine to you by 4 pm today.</t>
  </si>
  <si>
    <t xml:space="preserve">Got it, and I know every hour counts. The fastest option is a courier swap this afternoon; shall I book it?</t>
  </si>
  <si>
    <t xml:space="preserve">I understand the urgency. I am able to arrange a replacement device for delivery by 4 pm today.</t>
  </si>
  <si>
    <t xml:space="preserve">Understood. I can send a replacement machine by 4 pm today. Is someone at the café to receive it?</t>
  </si>
  <si>
    <t xml:space="preserve">4 pm? I need it by noon. · Fine, book it. · What do I do until then?</t>
  </si>
  <si>
    <t xml:space="preserve">Customer: "4 pm is too late, I need it by noon!" → Agent: "I understand. 4 pm is the earliest delivery, but I can switch on payment links for you right now, so you can still take payments until then."</t>
  </si>
  <si>
    <t xml:space="preserve">"No excuses" can sound very rude if you are not used to it. In British and American service calls it is a common way to show urgency, not a personal attack.</t>
  </si>
  <si>
    <t xml:space="preserve">Chat: often "need this fixed today, no excuses"; reply with one line of empathy and the time you can deliver. Email: often marked "Urgent"; give the time in your first line.</t>
  </si>
  <si>
    <t xml:space="preserve">Do not promise "today" if it is not possible; give the honest earliest time and a workaround instead.</t>
  </si>
  <si>
    <t xml:space="preserve">Customer: My card machine's dead. I want this sorted today. No excuses. | Agent: Understood. I can send a replacement machine by 4 pm today. Is someone at the café to receive it? | Customer: Yes, me. | Agent: Great, it's booked, and I'll text you the courier's tracking link in ten minutes.</t>
  </si>
  <si>
    <t xml:space="preserve">Lead with what you can do and give a specific time; make no excuses for delays (Zendesk chat-etiquette guidance).</t>
  </si>
  <si>
    <t xml:space="preserve">Understood. I can send a replacement machine by 4 pm ____, so you can take card payments again this afternoon.</t>
  </si>
  <si>
    <t xml:space="preserve">today</t>
  </si>
  <si>
    <t xml:space="preserve">A café owner says, "I want this sorted today. No excuses." What should your answer start with?</t>
  </si>
  <si>
    <t xml:space="preserve">A) What you can do for them today, and by what time you can do it. | B) A clear explanation of why the machine failed and what caused the fault. | C) A sincere apology that you repeat several times until they calm down. | D) A question about when they bought the machine and where they bought it.</t>
  </si>
  <si>
    <t xml:space="preserve">A is right: the customer wants an action and a time. B seems helpful but is the explanation they called an excuse; C wastes time, and D delays the fix.</t>
  </si>
  <si>
    <t xml:space="preserve">by / send / machine / a / I / 4 / replacement / can / pm</t>
  </si>
  <si>
    <t xml:space="preserve">I can send a replacement machine by 4 pm</t>
  </si>
  <si>
    <t xml:space="preserve">Main samajhta/samajhti hoon. Main aaj shaam paanch baje tak nayi machine bhej sakta/sakti hoon.</t>
  </si>
  <si>
    <t xml:space="preserve">I understand. I can send a new machine by 5 pm today.</t>
  </si>
  <si>
    <t xml:space="preserve">What do I do until then?</t>
  </si>
  <si>
    <t xml:space="preserve">I can switch on payment links for you now, so you can send customers a link and still get paid until the machine arrives.</t>
  </si>
  <si>
    <t xml:space="preserve">Partner A runs a café whose card machine stopped this morning and demands a same-day fix with no excuses. Partner B gives the earliest real time and a workaround without explaining or blaming.</t>
  </si>
  <si>
    <t xml:space="preserve">Record your reply to the customer's line: one short empathy phrase, what you can do today, and by when.</t>
  </si>
  <si>
    <t xml:space="preserve">Did you avoid starting with "actually" or a reason? · Did you give a specific time? · Did you offer a workaround in case the time is not soon enough?</t>
  </si>
  <si>
    <t xml:space="preserve">CSV-A-018</t>
  </si>
  <si>
    <t xml:space="preserve">Don't read me a script.</t>
  </si>
  <si>
    <t xml:space="preserve">You have just said "I apologise for the inconvenience caused, your concern is valuable to us" for the second time in the call.</t>
  </si>
  <si>
    <t xml:space="preserve">A customer accuses you of sounding like a robot reading lines. What are they asking for, and how do you change your style?</t>
  </si>
  <si>
    <t xml:space="preserve">DON'T READ me a SCRIPT</t>
  </si>
  <si>
    <t xml:space="preserve">Don't_read → "dohn-REED" (the t almost disappears) · me_a → "mee-uh" · a_script → "uh-SKRIPT" (weak a, then the s-cluster)</t>
  </si>
  <si>
    <t xml:space="preserve">Usually sharp and falling, often with every word stressed, and sometimes after a sigh. Hear it as "talk to me like a person".</t>
  </si>
  <si>
    <t xml:space="preserve">"Script" begins with an s-cluster: say it straight, skript, without an added vowel ("is-kript"). Listen for the strong stress on "SCRIPT", the key word.</t>
  </si>
  <si>
    <t xml:space="preserve">Irritated, sharp complaint</t>
  </si>
  <si>
    <t xml:space="preserve">Annoyed and feeling they are talking to a machine, not a person.</t>
  </si>
  <si>
    <t xml:space="preserve">Put the script down and look up from the page: the customer wants to see your face, even on the phone.</t>
  </si>
  <si>
    <t xml:space="preserve">मुझे रटी-रटाई लाइनें मत सुनाइए। (मतलब: मुझसे इंसान की तरह सीधे बात कीजिए।)</t>
  </si>
  <si>
    <t xml:space="preserve">Mujhe rati-rataayi lines mat sunaaiye. (Matlab: mujhse insaan ki tarah seedhe baat kijiye.)</t>
  </si>
  <si>
    <t xml:space="preserve">The customer means: "Stop repeating fixed company phrases. Talk to me normally and answer my real question."</t>
  </si>
  <si>
    <t xml:space="preserve">Repeated formal phrases make customers feel processed rather than helped. They want plain, personal language and a direct answer; changing your style at once shows you were listening.</t>
  </si>
  <si>
    <t xml:space="preserve">Don't ___ me a ___.</t>
  </si>
  <si>
    <t xml:space="preserve">Don't + base verb + me + noun (negative imperative)</t>
  </si>
  <si>
    <t xml:space="preserve">"Don't + verb" is a direct instruction; here it is a complaint about how you are speaking.</t>
  </si>
  <si>
    <t xml:space="preserve">It is blunt but fair feedback. Defending the script ("Sir, this is the standard process") proves the customer's point.</t>
  </si>
  <si>
    <t xml:space="preserve">✗ Agent: Sir, I am not reading, your concern is valuable to us. → ✓ Agent: Fair enough. Let me tell you straight what's happening.</t>
  </si>
  <si>
    <t xml:space="preserve">"I apologise for the inconvenience caused, your concern is very valuable to us." — repeating it after this complaint confirms you are reading a script.</t>
  </si>
  <si>
    <t xml:space="preserve">Instead of "I apologise for the inconvenience caused", say "Fair enough. Here's exactly what's happening with your order."</t>
  </si>
  <si>
    <t xml:space="preserve">You're right, that sounded rehearsed. Here's the straight answer: your order is stuck at customs.</t>
  </si>
  <si>
    <t xml:space="preserve">Sorry, let me put it simply. Your order is held at customs, and I'll chase it today.</t>
  </si>
  <si>
    <t xml:space="preserve">That's a fair point, and I apologise. To be direct: your order is currently held at customs, and I will follow it up today.</t>
  </si>
  <si>
    <t xml:space="preserve">Fair enough. Let me tell you straight: your order is held at customs, and I'll chase it today.</t>
  </si>
  <si>
    <t xml:space="preserve">Thank you. That's all I wanted. · So when will it arrive? · Better.</t>
  </si>
  <si>
    <t xml:space="preserve">Customer: "And stop saying 'I understand'." → Agent: "Okay. Simply put: it's stuck at customs, I'm calling them today, and I'll text you by 6 pm."</t>
  </si>
  <si>
    <t xml:space="preserve">Some centres require agents to use fixed phrases word for word. International customers often find over-scripted service annoying; keep the meaning of the script but use your own natural words.</t>
  </si>
  <si>
    <t xml:space="preserve">Chat: often "stop sending me copy paste replies"; answer with one personal, specific line. Email: "please don't send me a template"; write a short reply that mentions their exact order and problem.</t>
  </si>
  <si>
    <t xml:space="preserve">Do not drop required wording such as legal or security statements; say them in a natural voice instead.</t>
  </si>
  <si>
    <t xml:space="preserve">Customer: Don't read me a script. Just tell me where my parcel is. | Agent: Fair enough. Let me tell you straight: your order is held at customs, and I'll chase it today. | Customer: Okay. When will I know more? | Agent: I'll text you by 6 pm with what customs say.</t>
  </si>
  <si>
    <t xml:space="preserve">Over-scripting backfires: use canned wording only when it fully fits, and personalise it.</t>
  </si>
  <si>
    <t xml:space="preserve">Fair enough. Let me ____ you straight: your order is held at customs.</t>
  </si>
  <si>
    <t xml:space="preserve">A customer says, "Don't read me a script." What is the best change to make?</t>
  </si>
  <si>
    <t xml:space="preserve">A) Use plain, personal words and answer their actual question directly. | B) Read the same script more slowly and clearly so that they understand it. | C) Tell them politely that you are not reading a script and it is just the process. | D) Transfer the call to a supervisor who can speak without a script.</t>
  </si>
  <si>
    <t xml:space="preserve">A gives the customer what they asked for: a real, direct answer. C sounds honest but argues and keeps the same style, B changes nothing, and D avoids the issue.</t>
  </si>
  <si>
    <t xml:space="preserve">tell / Let / straight / me / you</t>
  </si>
  <si>
    <t xml:space="preserve">Let me tell you straight</t>
  </si>
  <si>
    <t xml:space="preserve">Theek hai, main seedhi baat bataata/bataati hoon: aapka parcel customs mein ruka hua hai.</t>
  </si>
  <si>
    <t xml:space="preserve">Fair enough, let me tell you straight: your parcel is held at customs.</t>
  </si>
  <si>
    <t xml:space="preserve">So when will it actually arrive?</t>
  </si>
  <si>
    <t xml:space="preserve">I'll have a firm date once customs reply. I'm calling them today, and I'll text you by 6 pm with what they say.</t>
  </si>
  <si>
    <t xml:space="preserve">Partner B answers with formal script phrases until Partner A says "Don't read me a script." Partner B then switches to plain, personal language and gives a direct answer about the parcel.</t>
  </si>
  <si>
    <t xml:space="preserve">Record your reply to the customer's line in a natural, conversational voice, as if you were talking to a neighbour.</t>
  </si>
  <si>
    <t xml:space="preserve">Did you avoid repeating any script phrase? · Did you answer the actual question? · Did you sound like yourself, not a recording?</t>
  </si>
  <si>
    <t xml:space="preserve">CSV-A-019</t>
  </si>
  <si>
    <t xml:space="preserve">Oh great, another hold.</t>
  </si>
  <si>
    <t xml:space="preserve">You have just asked the customer to hold for the third time in one call while you check with another team.</t>
  </si>
  <si>
    <t xml:space="preserve">The customer says "great" but means the opposite. What are they telling you about the call so far, and what should you offer?</t>
  </si>
  <si>
    <t xml:space="preserve">OH GREAT · a-NOTH-er HOLD</t>
  </si>
  <si>
    <t xml:space="preserve">great_another → "gray-tuh-NUH-ther" · another_hold → "uh-NUH-ther HOLD" (no link, keep the h clear)</t>
  </si>
  <si>
    <t xml:space="preserve">Flat or falling, slow and heavy on "great", often with a sigh. That flat tone is what turns "great" into sarcasm; a real "Great!" rises and sounds bright.</t>
  </si>
  <si>
    <t xml:space="preserve">The sarcasm is in the tone, not the words: a low, flat "great" means the opposite. "Another" has a voiced /ð/ in the middle, uh-NUH-ther; if you repeat it, avoid "a-no-dar".</t>
  </si>
  <si>
    <t xml:space="preserve">Sarcastic, tired complaint</t>
  </si>
  <si>
    <t xml:space="preserve">Tired, annoyed and feeling their time is being wasted.</t>
  </si>
  <si>
    <t xml:space="preserve">Imagine the word "great" said with an eye-roll: same letters, opposite meaning. Listen to the face, not the word.</t>
  </si>
  <si>
    <t xml:space="preserve">वाह, बहुत बढ़िया, फिर से होल्ड। (व्यंग्य है; मतलब: मैं इंतज़ार करके तंग आ गया/गई हूँ।)</t>
  </si>
  <si>
    <t xml:space="preserve">Waah, bahut badhiya, phir se hold. (Vyangya hai; matlab: main intezaar karke tang aa gaya/gayi hoon.)</t>
  </si>
  <si>
    <t xml:space="preserve">The customer does not think it is great. They mean: "I am tired of being put on hold again and again."</t>
  </si>
  <si>
    <t xml:space="preserve">Sarcasm hides real frustration about lost time. The customer needs you to notice it, apologise for the repeated waits, and either avoid the hold or offer a callback with a time.</t>
  </si>
  <si>
    <t xml:space="preserve">Oh great, another ___.</t>
  </si>
  <si>
    <t xml:space="preserve">Oh great + another + noun (sarcastic complaint)</t>
  </si>
  <si>
    <t xml:space="preserve">"Another" means "one more"; with sarcasm it means "one more bad thing".</t>
  </si>
  <si>
    <t xml:space="preserve">It is sarcastic, not happy. Answering "Thank you, sir!" as if they agreed sounds as if you did not listen.</t>
  </si>
  <si>
    <t xml:space="preserve">✗ Agent: Thank you so much, sir, please hold. → ✓ Agent: I know, that's the third time, and I'm sorry. Would a callback in 15 minutes be easier?</t>
  </si>
  <si>
    <t xml:space="preserve">"Great, thank you for holding!" — it takes the sarcasm literally and makes the customer feel unheard.</t>
  </si>
  <si>
    <t xml:space="preserve">Instead of "Please hold the line again", say "I know you've waited a lot today. Would a callback in 15 minutes be easier?"</t>
  </si>
  <si>
    <t xml:space="preserve">I'm sorry, I know you've already held twice. Instead of another hold, can I call you back within 15 minutes?</t>
  </si>
  <si>
    <t xml:space="preserve">I'm sorry, you've waited long enough already. Let me message the team instead, so you don't need to hold again.</t>
  </si>
  <si>
    <t xml:space="preserve">I apologise for the repeated holds. Rather than ask you to wait again, may I call you back within 15 minutes with an update?</t>
  </si>
  <si>
    <t xml:space="preserve">I know, that's the third time, and I'm sorry. Would it be easier if I called you back within 15 minutes instead?</t>
  </si>
  <si>
    <t xml:space="preserve">Yes, call me back. · No, I'll hold, just be quick. · Why does everything need a hold?</t>
  </si>
  <si>
    <t xml:space="preserve">Customer: "Why does everything need a hold?" → Agent: "Fair question. The billing team has to approve this. A callback means you won't have to sit on hold."</t>
  </si>
  <si>
    <t xml:space="preserve">Sarcasm is hard to catch on the phone, so learners may hear only the words and miss the tone. In British English especially, a flat "Oh great" or "Brilliant" usually means the opposite.</t>
  </si>
  <si>
    <t xml:space="preserve">Chat: often written as "oh great another wait" or with an eye-roll emoji; reply with an apology and a time. Email: rare; written sarcasm often appears as "Thanks for nothing".</t>
  </si>
  <si>
    <t xml:space="preserve">If the customer says "Great!" in a bright, rising tone after good news, it is genuine; do not treat it as sarcasm.</t>
  </si>
  <si>
    <t xml:space="preserve">Customer: Oh great, another hold. | Agent: I know, that's the third time, and I'm sorry. Would it be easier if I called you back within 15 minutes instead? | Customer: Yes, please. | Agent: I'll call you on this number by 3:45 with an update from the billing team.</t>
  </si>
  <si>
    <t xml:space="preserve">Offer a callback instead of another long hold, and listen to the tone, not just the words, to notice frustration.</t>
  </si>
  <si>
    <t xml:space="preserve">I know, that's the third time, and I'm ____. Would a callback in 15 minutes be easier?</t>
  </si>
  <si>
    <t xml:space="preserve">After a third hold request, a customer says in a flat, tired voice: "Oh great, another hold." What do they mean?</t>
  </si>
  <si>
    <t xml:space="preserve">A) They are fed up with waiting and would like a quicker solution this time. | B) They are pleased that you are checking carefully and are happy to wait again. | C) They are asking you to hold the call yourself while they find some information. | D) They are thanking you for finding a team that can answer the question.</t>
  </si>
  <si>
    <t xml:space="preserve">A is right: the flat tone makes "great" sarcastic. B is tempting because "great" is a positive word, but here the tone reverses its meaning; C and D read the words too literally.</t>
  </si>
  <si>
    <t xml:space="preserve">callback / easier / a / Would / in / minutes / 15 / be</t>
  </si>
  <si>
    <t xml:space="preserve">Would a callback in 15 minutes be easier</t>
  </si>
  <si>
    <t xml:space="preserve">Main samajhta/samajhti hoon aap teesri baar wait kar rahe hain. Kya main aapko pandrah minute mein call back kar doon?</t>
  </si>
  <si>
    <t xml:space="preserve">I know this is the third time you've waited. Could I call you back in 15 minutes instead?</t>
  </si>
  <si>
    <t xml:space="preserve">No, I'll hold. Just be quick.</t>
  </si>
  <si>
    <t xml:space="preserve">Thank you. I'll be back within two minutes, with an answer or an update.</t>
  </si>
  <si>
    <t xml:space="preserve">Partner A has already been asked to hold twice and replies "Oh great, another hold" in a flat voice. Partner B recognises the sarcasm, apologises and offers a callback with a time.</t>
  </si>
  <si>
    <t xml:space="preserve">Record the customer line twice, once sarcastic and once genuinely happy, then record your reply to the sarcastic version.</t>
  </si>
  <si>
    <t xml:space="preserve">Did you notice the flat, sarcastic tone? · Did you apologise for the repeated holds? · Did you offer a callback with a specific time?</t>
  </si>
  <si>
    <t xml:space="preserve">CSV-A-020</t>
  </si>
  <si>
    <t xml:space="preserve">I'll take my business elsewhere.</t>
  </si>
  <si>
    <t xml:space="preserve">A customer of six years is upset that their insurance premium rose without warning and says they will move to a competitor.</t>
  </si>
  <si>
    <t xml:space="preserve">A loyal customer says they will move to a competitor. What are they really telling you, and what is your first move?</t>
  </si>
  <si>
    <t xml:space="preserve">i'll TAKE my BIZ-nis else-WHERE</t>
  </si>
  <si>
    <t xml:space="preserve">take_my → "tay-kmy" (no gap between k and m) · my_business → "mai-BIZ-nis" · business_elsewhere → "biz-ni-sels-WAIR" (the s joins the e)</t>
  </si>
  <si>
    <t xml:space="preserve">Usually calm, slow and final, falling on "elsewhere"; a quiet delivery can mean the decision is close. A loud one may be a bargaining move.</t>
  </si>
  <si>
    <t xml:space="preserve">"Business" has two syllables, BIZ-nis, with a z sound, not "bi-zi-ness" in three beats. Listen for "elsewhere": British speakers stress the second part, els-WHERE (American speakers often say ELS-wair).</t>
  </si>
  <si>
    <t xml:space="preserve">Calm, final warning</t>
  </si>
  <si>
    <t xml:space="preserve">Disappointed, feeling unvalued after years of loyalty.</t>
  </si>
  <si>
    <t xml:space="preserve">A customer with one foot out of the door: you don't block the door, you ask what made them stand up.</t>
  </si>
  <si>
    <t xml:space="preserve">मैं किसी और कंपनी के पास चला/चली जाऊँगा/जाऊँगी। (मतलब: मुझे लगता है यहाँ मेरी कद्र नहीं है।)</t>
  </si>
  <si>
    <t xml:space="preserve">Main kisi aur company ke paas chala/chali jaaunga/jaaungi. (Matlab: mujhe lagta hai yahaan meri kadar nahin hai.)</t>
  </si>
  <si>
    <t xml:space="preserve">The customer means: "I will stop buying from you and use another company instead."</t>
  </si>
  <si>
    <t xml:space="preserve">It often signals that a loyal customer feels taken for granted and may still stay if someone listens. They need you to acknowledge their loyalty, ask what went wrong, and offer something real, without pressure.</t>
  </si>
  <si>
    <t xml:space="preserve">I'll take my ___ elsewhere.</t>
  </si>
  <si>
    <t xml:space="preserve">I'll + take + my business + elsewhere (a decision made now)</t>
  </si>
  <si>
    <t xml:space="preserve">"Business" here means "the money I spend with you", not a company the customer owns.</t>
  </si>
  <si>
    <t xml:space="preserve">It is a serious warning, not an insult. Replying "Okay, that's your choice" sounds as if the customer does not matter.</t>
  </si>
  <si>
    <t xml:space="preserve">✗ Agent: Okay sir, it is your wish. → ✓ Agent: I'd be sorry to lose you after six years. Could you tell me what's changed?</t>
  </si>
  <si>
    <t xml:space="preserve">"Okay, that's your decision, sir." — it lets a loyal customer walk away without even asking why.</t>
  </si>
  <si>
    <t xml:space="preserve">Instead of "If you want to go, you can go", say "I'd be sorry to lose you. Could you tell me what's made you feel this way?"</t>
  </si>
  <si>
    <t xml:space="preserve">You've been with us for six years, and I'd hate to lose you. Can you tell me what went wrong with the renewal?</t>
  </si>
  <si>
    <t xml:space="preserve">I understand, and I'd like to see if I can fix this first. What would make you want to stay?</t>
  </si>
  <si>
    <t xml:space="preserve">We greatly value your six years with us, and I would be sorry to lose you as a customer. Could you tell me what prompted this?</t>
  </si>
  <si>
    <t xml:space="preserve">I'd be sorry to lose you after six years. Could you tell me what's changed, so I can see what I can do?</t>
  </si>
  <si>
    <t xml:space="preserve">My premium went up by 3,000 rupees with no warning. · Nothing you say will change my mind. · Another company has offered me a better price.</t>
  </si>
  <si>
    <t xml:space="preserve">Customer: "Nothing you say will change my mind." → Agent: "That's completely your choice, and I'll help either way. If you're happy for me to, I can check whether the increase was a mistake; it will take two minutes."</t>
  </si>
  <si>
    <t xml:space="preserve">Some learners may hear "business" and think the customer owns a company. In this phrase it simply means "my custom", and it is a common way to threaten to switch providers.</t>
  </si>
  <si>
    <t xml:space="preserve">Chat: often "ill go to another company" or "switching provider"; acknowledge, then ask one question. Email: often the last line of a complaint; answer the complaint fully and mention their loyalty.</t>
  </si>
  <si>
    <t xml:space="preserve">Do not keep trying to hold on to a customer who has clearly confirmed they want to leave; respect the decision and make leaving easy.</t>
  </si>
  <si>
    <t xml:space="preserve">Customer: My premium's gone up again. I'll take my business elsewhere. | Agent: I'd be sorry to lose you after six years. Could you tell me what's changed, so I can see what I can do? | Customer: It went up by 3,000 rupees without any warning. | Agent: I'm sorry you weren't told in advance. Let me review the renewal now and see if a better plan fits you.</t>
  </si>
  <si>
    <t xml:space="preserve">Listen, acknowledge, then act: one common version is LATTE (credited to Starbucks).</t>
  </si>
  <si>
    <t xml:space="preserve">I'd be sorry to ____ you after six years. Could you tell me what's changed?</t>
  </si>
  <si>
    <t xml:space="preserve">lose</t>
  </si>
  <si>
    <t xml:space="preserve">A long-time customer says, "I'll take my business elsewhere." What do they mean?</t>
  </si>
  <si>
    <t xml:space="preserve">A) They are planning to open their own company somewhere else in the city. | B) They want to move their registered business address to another place. | C) They want to be transferred to the business team in another department. | D) They plan to stop using your company and buy from a competitor instead.</t>
  </si>
  <si>
    <t xml:space="preserve">D is right: "take my business elsewhere" means spend money with another company. A and B are tempting because "business" often means a company, but here it means the customer's custom; C confuses it with a department.</t>
  </si>
  <si>
    <t xml:space="preserve">what's / me / you / Could / changed / tell</t>
  </si>
  <si>
    <t xml:space="preserve">Could you tell me what's changed</t>
  </si>
  <si>
    <t xml:space="preserve">Aap chhe saal se hamare saath hain, mujhe aapko khona achha nahin lagega. Kya aap bata sakte hain kya badla?</t>
  </si>
  <si>
    <t xml:space="preserve">You've been with us for six years, and I'd be sorry to lose you. Could you tell me what's changed?</t>
  </si>
  <si>
    <t xml:space="preserve">Another company has offered me a cheaper price.</t>
  </si>
  <si>
    <t xml:space="preserve">Thank you for telling me. Let me review your plan now; if I can match that cover for less, I'll tell you before you decide.</t>
  </si>
  <si>
    <t xml:space="preserve">Partner A, a customer for six years, is angry about a surprise premium increase and says they will switch. Partner B acknowledges their loyalty, asks what changed, and offers one real option without pressure.</t>
  </si>
  <si>
    <t xml:space="preserve">Record your reply to the customer's line in a sincere voice, then record what you would say if they answer "Nothing will change my mind."</t>
  </si>
  <si>
    <t xml:space="preserve">Did you understand "business" as the customer's custom? · Did you mention their loyalty? · Did you ask a question before offering anything?</t>
  </si>
  <si>
    <t xml:space="preserve">CSC-B-001</t>
  </si>
  <si>
    <t xml:space="preserve">Chat</t>
  </si>
  <si>
    <t xml:space="preserve">Hi, thanks for contacting [Company]. I'm Ananya. How can I help you today?</t>
  </si>
  <si>
    <t xml:space="preserve">A new chat window opens on the website and you send the first message to the customer.</t>
  </si>
  <si>
    <t xml:space="preserve">A customer has just opened a chat with your company. What three things does your first message give them?</t>
  </si>
  <si>
    <t xml:space="preserve">HI · thanks-for-con-TACT-ing-[COM-pa-ny] · i'm-a-NAN-ya · how-can-i-HELP-you-to-DAY</t>
  </si>
  <si>
    <t xml:space="preserve">If read aloud: thanks_for → "thanks-fer" · help_you → "hel-pyoo" · I'm_Ananya → "ai-ma-NAN-ya" (the "m" joins the next vowel)</t>
  </si>
  <si>
    <t xml:space="preserve">If read aloud: a friendly lift on "Hi", a short pause after the company name, and a falling tone on "How can I help you today?" because it is a wh- question.</t>
  </si>
  <si>
    <t xml:space="preserve">If read aloud: "thanks" starts with a soft "th" (tongue lightly between the teeth), not a hard "t" as in "tanks". Keep the final "s".</t>
  </si>
  <si>
    <t xml:space="preserve">Warm, welcoming, ready to help</t>
  </si>
  <si>
    <t xml:space="preserve">Hopeful but unsure whether a real person is on the other side.</t>
  </si>
  <si>
    <t xml:space="preserve">Think of a shop door bell: hello, the shop's name, your name tag and "how can I help?", all in one ring.</t>
  </si>
  <si>
    <t xml:space="preserve">नमस्ते, [Company] से संपर्क करने के लिए धन्यवाद। मैं अनन्या हूँ। आज मैं आपकी कैसे मदद कर सकता/सकती हूँ?</t>
  </si>
  <si>
    <t xml:space="preserve">Namaste, [Company] se sampark karne ke liye dhanyavaad. Main Ananya hoon. Aaj main aapki kaise madad kar sakta/sakti hoon?</t>
  </si>
  <si>
    <t xml:space="preserve">Hello, thank you for writing to us. My name is Ananya. What do you need help with?</t>
  </si>
  <si>
    <t xml:space="preserve">It tells the customer a real person has joined, gives a name they can use, and ends with an open question so they can explain the problem in their own words.</t>
  </si>
  <si>
    <t xml:space="preserve">Hi, thanks for contacting ___. I'm ___.</t>
  </si>
  <si>
    <t xml:space="preserve">Thanks + for + verb-ing · How + can + I + base verb + you …?</t>
  </si>
  <si>
    <t xml:space="preserve">After "thanks for", use the -ing form: "thanks for contacting", not "thanks for contact".</t>
  </si>
  <si>
    <t xml:space="preserve">"Hi" and "thanks" sound human and friendly. "Dear Customer, state your query" sounds like a robot and makes the customer write back coldly.</t>
  </si>
  <si>
    <t xml:space="preserve">✗ Hi, thanks for contact [Company]. How I can help you? → ✓ Hi, thanks for contacting [Company]. How can I help you today?</t>
  </si>
  <si>
    <t xml:space="preserve">"Hello Dear Customer, please state your query." — it is cold, sounds automated and gives no name.</t>
  </si>
  <si>
    <t xml:space="preserve">Instead of "State your query", say "How can I help you today?"</t>
  </si>
  <si>
    <t xml:space="preserve">Hello and welcome to [Company]. My name's Ananya. What can I help you with?</t>
  </si>
  <si>
    <t xml:space="preserve">Hi there, you're chatting with Ananya from [Company]. How can I help?</t>
  </si>
  <si>
    <t xml:space="preserve">Good morning, and thank you for contacting [Company]. My name is Ananya. How may I help you today?</t>
  </si>
  <si>
    <t xml:space="preserve">Thanks, Sarah. Could you share your order number so I can take a look?</t>
  </si>
  <si>
    <t xml:space="preserve">Hi, my parcel hasn't arrived. · I want to change my delivery address. · is this a bot?</t>
  </si>
  <si>
    <t xml:space="preserve">Customer: "Is this a bot?" → Agent: "No, I'm Ananya, a real person on the [Company] support team. How can I help you today?"</t>
  </si>
  <si>
    <t xml:space="preserve">Many Indian agents introduce themselves with "Myself Ananya"; international customers may not expect this, so switch to "I'm Ananya" or "My name's Ananya" in chat.</t>
  </si>
  <si>
    <t xml:space="preserve">Voice: "Thank you for calling [Company]. This is Ananya." Email: "Hi Sarah, thanks for getting in touch," with your name in the sign-off.</t>
  </si>
  <si>
    <t xml:space="preserve">Do not send the full greeting if a colleague has already greeted the customer and passed the chat to you; write "Hi Sarah, I'm Ananya from billing" instead.</t>
  </si>
  <si>
    <t xml:space="preserve">Customer: hello | Agent: Hi, thanks for contacting [Company]. I'm Ananya. How can I help you today? | Customer: my parcel is late | Agent: I'm sorry it's late. Could you share your order number so I can check?</t>
  </si>
  <si>
    <t xml:space="preserve">Chat: greet with your name, as you would on a call, and ask an open question.</t>
  </si>
  <si>
    <t xml:space="preserve">Hi, thanks for ____ [Company]. I'm Ananya. How can I help you today? (Hint: the verb "contact")</t>
  </si>
  <si>
    <t xml:space="preserve">contacting</t>
  </si>
  <si>
    <t xml:space="preserve">Which first chat message sounds the most natural to an international customer?</t>
  </si>
  <si>
    <t xml:space="preserve">A) Hello. What is your problem? Please tell me your order number first. | B) Dear Customer, welcome to [Company]. Please state your query so we can help. | C) Hi, thanks for contacting [Company]. I'm Ananya. How can I help you today? | D) HELLO!! WELCOME TO [Company]!! HOW CAN I HELP YOU TODAY?? 😊</t>
  </si>
  <si>
    <t xml:space="preserve">C gives thanks, a name and an open question in plain English. A is blunt and asks for a number before offering help, B reads like a robot template, and D shouts in capitals.</t>
  </si>
  <si>
    <t xml:space="preserve">help / today / can / How / you / I</t>
  </si>
  <si>
    <t xml:space="preserve">Namaste, main Ananya hoon. Bataiye, aaj main aapki kya madad kar sakti hoon?</t>
  </si>
  <si>
    <t xml:space="preserve">Hi, I'm Ananya. How can I help you today?</t>
  </si>
  <si>
    <t xml:space="preserve">hi, my refund hasn't come yet</t>
  </si>
  <si>
    <t xml:space="preserve">I'm sorry your refund hasn't arrived yet. Could you share your order number so I can check it for you?</t>
  </si>
  <si>
    <t xml:space="preserve">Partner A opens a chat about a late parcel. Partner B sends the greeting with their own name and an open question, then asks for the order number in the next message.</t>
  </si>
  <si>
    <t xml:space="preserve">Record yourself reading aloud the opening message you would send, with your own name, and then your reply when the customer writes "my parcel is late".</t>
  </si>
  <si>
    <t xml:space="preserve">Did you say your own name with "I'm"? · Did you end with an open question? · Did you thank the customer for contacting you?</t>
  </si>
  <si>
    <t xml:space="preserve">CSC-B-002</t>
  </si>
  <si>
    <t xml:space="preserve">Could you type your order number here, please? It's in your confirmation email.</t>
  </si>
  <si>
    <t xml:space="preserve">The customer says there is a problem with an order, and you need the number to find it.</t>
  </si>
  <si>
    <t xml:space="preserve">You need to find the customer's purchase in the system. What do you ask for, and where do you tell them to look?</t>
  </si>
  <si>
    <t xml:space="preserve">could-you-TYPE-your-OR-der-NUM-ber-HERE · PLEASE · it's-in-your-con-fir-MA-tion-E-mail</t>
  </si>
  <si>
    <t xml:space="preserve">If read aloud: could_you → "cud-joo" · it's_in → "it-sin" · confirmation_email → "con-fir-MAY-shu-nee-mail"</t>
  </si>
  <si>
    <t xml:space="preserve">If read aloud: rise on "please?" because it is a yes/no request, then a falling, helpful tone on the second sentence.</t>
  </si>
  <si>
    <t xml:space="preserve">If read aloud: say "order" as OR-der with the tongue just behind the top teeth for "d", not curled back; "confirmation" is con-fir-MA-tion, with the stress on MA.</t>
  </si>
  <si>
    <t xml:space="preserve">Polite request, helpful</t>
  </si>
  <si>
    <t xml:space="preserve">Wants a quick answer and may feel slightly impatient at being asked for details.</t>
  </si>
  <si>
    <t xml:space="preserve">The order number is the key to the locker; tell the customer which pocket the key is in: the confirmation email.</t>
  </si>
  <si>
    <t xml:space="preserve">क्या आप अपना ऑर्डर नंबर यहाँ टाइप कर सकते हैं? यह आपके कन्फ़र्मेशन ईमेल में है।</t>
  </si>
  <si>
    <t xml:space="preserve">Kya aap apna order number yahan type kar sakte hain? Yeh aapke confirmation email mein hai.</t>
  </si>
  <si>
    <t xml:space="preserve">Please write your order number in the chat. You can find it in the email we sent when you ordered.</t>
  </si>
  <si>
    <t xml:space="preserve">It asks politely and tells the customer exactly where to find the number, so they do not have to search or send another message asking where it is.</t>
  </si>
  <si>
    <t xml:space="preserve">Could you type your ___ here, please?</t>
  </si>
  <si>
    <t xml:space="preserve">Could + you + base verb + object + here, please? · It's + in + place</t>
  </si>
  <si>
    <t xml:space="preserve">"Could you…?" makes a soft request; "It's in…" tells someone where something is.</t>
  </si>
  <si>
    <t xml:space="preserve">The question form and "please" make it a request. "Send order no." sounds like an order and uses shorthand, which looks careless in chat.</t>
  </si>
  <si>
    <t xml:space="preserve">✗ Could you type here your order number, please? → ✓ Could you type your order number here, please?</t>
  </si>
  <si>
    <t xml:space="preserve">"Order ID?" — a two-word demand with no "please" feels cold and rushed in writing.</t>
  </si>
  <si>
    <t xml:space="preserve">Instead of "You have to give the order number first", say "Could you type your order number here, please? It's in your confirmation email."</t>
  </si>
  <si>
    <t xml:space="preserve">Could you share your order number, please? You'll see it in your confirmation email.</t>
  </si>
  <si>
    <t xml:space="preserve">Could I have your order number, please? It starts with "ORD" and it's in the email we sent you.</t>
  </si>
  <si>
    <t xml:space="preserve">Could you please provide your order number so that I can locate your order? You will find it in your order confirmation email.</t>
  </si>
  <si>
    <t xml:space="preserve">Thank you. Let me look up order ORD-36571 now.</t>
  </si>
  <si>
    <t xml:space="preserve">ORD-36571 · where do i find it? · i deleted the email</t>
  </si>
  <si>
    <t xml:space="preserve">Customer: "i deleted the email" → Agent: "That's fine. Could you give me the email address you ordered with instead? I can find the order that way."</t>
  </si>
  <si>
    <t xml:space="preserve">"Please share me your order number" is common in Indian English; international customers may not expect "share me", so write "share your order number" or "send me your order number".</t>
  </si>
  <si>
    <t xml:space="preserve">Voice: "Could you read me your order number?" Email: "Could you reply with your order number? It's in your confirmation email."</t>
  </si>
  <si>
    <t xml:space="preserve">Do not ask for it if the customer has already typed it earlier in the chat; scroll up and use it.</t>
  </si>
  <si>
    <t xml:space="preserve">Customer: my order hasn't come | Agent: I'm sorry about that. Could you type your order number here, please? It's in your confirmation email. | Customer: ORD-36571 | Agent: Thank you. Let me look that up now.</t>
  </si>
  <si>
    <t xml:space="preserve">Verification: ask only for what you need, and make it easy for the customer to find.</t>
  </si>
  <si>
    <t xml:space="preserve">Could you type your order number here, please? It's in your confirmation ____. (Hint: starts with "e")</t>
  </si>
  <si>
    <t xml:space="preserve">email</t>
  </si>
  <si>
    <t xml:space="preserve">Which message asks for the order number in the clearest, most polite way?</t>
  </si>
  <si>
    <t xml:space="preserve">A) You have to give me your order number first, then I can check your problem. | B) Order no. pls. It's in the confirmation email we sent you. | C) Could you type your order number here, please? It's in your confirmation email. | D) PLEASE TYPE YOUR ORDER NUMBER HERE. IT IS IN YOUR CONFIRMATION EMAIL.</t>
  </si>
  <si>
    <t xml:space="preserve">C is polite and says where to look. A is an order ("You have to"), B uses shorthand ("no.", "pls"), and D is all capitals, which reads as shouting.</t>
  </si>
  <si>
    <t xml:space="preserve">your / Could / here / type / number / you / order / please</t>
  </si>
  <si>
    <t xml:space="preserve">Could you type your order number here please</t>
  </si>
  <si>
    <t xml:space="preserve">Kya aap apna order number yahan likh sakte hain? Woh aapke email mein milega.</t>
  </si>
  <si>
    <t xml:space="preserve">Could you type your order number here, please? You'll find it in your email.</t>
  </si>
  <si>
    <t xml:space="preserve">where do i find it?</t>
  </si>
  <si>
    <t xml:space="preserve">It's in the email we sent when you placed the order. It starts with "ORD".</t>
  </si>
  <si>
    <t xml:space="preserve">Partner A says their parcel has not arrived but gives no details. Partner B asks politely for the order number, says where to find it, and helps when A says they deleted the email.</t>
  </si>
  <si>
    <t xml:space="preserve">Record yourself reading aloud the message you would send to ask for an order number, plus your reply when the customer cannot find it.</t>
  </si>
  <si>
    <t xml:space="preserve">Did you use "Could you … please?" · Did you say where to find the number? · Did you avoid shorthand like "no." and "pls"?</t>
  </si>
  <si>
    <t xml:space="preserve">CSC-B-003</t>
  </si>
  <si>
    <t xml:space="preserve">Let me check that for you. One moment, please.</t>
  </si>
  <si>
    <t xml:space="preserve">The customer has given their order number and you need a few seconds to look it up.</t>
  </si>
  <si>
    <t xml:space="preserve">You are about to look something up, and the customer will see no reply for a short time. What do you send first?</t>
  </si>
  <si>
    <t xml:space="preserve">let-me-CHECK-that-for-YOU · one-MO-ment · PLEASE</t>
  </si>
  <si>
    <t xml:space="preserve">If read aloud: let_me → "let-mee" (very light "t") · check_that → "chek-that" (touch the "k", then "th") · for_you → "fer-yoo"</t>
  </si>
  <si>
    <t xml:space="preserve">If read aloud: a falling, confident tone on "for you", a short pause, then a soft fall on "please".</t>
  </si>
  <si>
    <t xml:space="preserve">If read aloud: "that" starts with a voiced "th" (tongue lightly between the teeth), not "dat". "Moment" is MO-ment, with a clear final "t".</t>
  </si>
  <si>
    <t xml:space="preserve">Calm, reassuring</t>
  </si>
  <si>
    <t xml:space="preserve">Waiting and watching the screen, wondering whether anyone is working on it.</t>
  </si>
  <si>
    <t xml:space="preserve">A silent chat looks like an empty chair; this line puts a "back in a moment" sign on the chair.</t>
  </si>
  <si>
    <t xml:space="preserve">मैं आपके लिए यह चेक करता/करती हूँ। कृपया एक पल रुकिए।</t>
  </si>
  <si>
    <t xml:space="preserve">Main aapke liye yeh check karta/karti hoon. Kripya ek pal rukiye.</t>
  </si>
  <si>
    <t xml:space="preserve">I'm going to look at this for you now. Please wait a few seconds.</t>
  </si>
  <si>
    <t xml:space="preserve">In chat the customer cannot hear you typing, so silence looks like nobody is there. This tells them you are working on it and that the wait will be short.</t>
  </si>
  <si>
    <t xml:space="preserve">Let me ___ that for you.</t>
  </si>
  <si>
    <t xml:space="preserve">Let + me + base verb + that + for you</t>
  </si>
  <si>
    <t xml:space="preserve">"Let me…" offers to do something now; it sounds softer than "I will…".</t>
  </si>
  <si>
    <t xml:space="preserve">"Let me" sounds helpful and active. "Wait" or "Hold" on its own sounds like an order and gives no reason.</t>
  </si>
  <si>
    <t xml:space="preserve">✗ Let me to check that for you, wait one minute. → ✓ Let me check that for you. One moment, please.</t>
  </si>
  <si>
    <t xml:space="preserve">"Wait." — one word with no reason feels rude, and the customer does not know how long to wait.</t>
  </si>
  <si>
    <t xml:space="preserve">Instead of "Wait, checking", say "Let me check that for you. One moment, please."</t>
  </si>
  <si>
    <t xml:space="preserve">I'll look into that for you now. It'll take just a moment.</t>
  </si>
  <si>
    <t xml:space="preserve">Thanks, Tom. Let me take a quick look at your order.</t>
  </si>
  <si>
    <t xml:space="preserve">Thank you. Please allow me a moment while I check your order details.</t>
  </si>
  <si>
    <t xml:space="preserve">Thanks for waiting. I can see your order, and it's out for delivery today.</t>
  </si>
  <si>
    <t xml:space="preserve">ok · sure · how long will it take?</t>
  </si>
  <si>
    <t xml:space="preserve">Customer: "how long will it take?" → Agent: "About a minute. I'll update you as soon as I have the details."</t>
  </si>
  <si>
    <t xml:space="preserve">"I am checking the same" is common in Indian English; international customers may not expect "the same" used this way, so name the thing ("your order") or say "that".</t>
  </si>
  <si>
    <t xml:space="preserve">Voice: ask permission and give a real time: "Could you hold for about two minutes?" Email: not needed; say when you will reply instead.</t>
  </si>
  <si>
    <t xml:space="preserve">Do not write "one moment" if the check will take more than a minute; give a real time instead, such as "about three minutes".</t>
  </si>
  <si>
    <t xml:space="preserve">Customer: my order number is ORD-50927 | Agent: Thanks, Tom. Let me check that for you. One moment, please. | Customer: ok | Agent: Thanks for waiting. Your order is out for delivery today.</t>
  </si>
  <si>
    <t xml:space="preserve">Chat: reply fast and never go silent; for a longer check, give a real time, not "a moment".</t>
  </si>
  <si>
    <t xml:space="preserve">____ me check that for you. One moment, please.</t>
  </si>
  <si>
    <t xml:space="preserve">Let</t>
  </si>
  <si>
    <t xml:space="preserve">Your check will take a few minutes. Which message is best?</t>
  </si>
  <si>
    <t xml:space="preserve">A) Let me check that for you. It'll only take a moment. | B) Let me check that for you. It'll take about three minutes. | C) Please wait. I'm checking your order now. Thank you. | D) Give me some time, please. I'll reply when I have it.</t>
  </si>
  <si>
    <t xml:space="preserve">B gives a real time, which is right when the check will take a few minutes. A promises "a moment", which is misleading, and C and D give no time at all.</t>
  </si>
  <si>
    <t xml:space="preserve">that / me / for / check / Let / you</t>
  </si>
  <si>
    <t xml:space="preserve">Let me check that for you</t>
  </si>
  <si>
    <t xml:space="preserve">Ek minute, main aapka order check karti hoon.</t>
  </si>
  <si>
    <t xml:space="preserve">One moment, please. Let me check your order.</t>
  </si>
  <si>
    <t xml:space="preserve">ok thanks, waiting</t>
  </si>
  <si>
    <t xml:space="preserve">Thank you, Tom. I'm still checking the delivery details, and I'll have your answer in about a minute.</t>
  </si>
  <si>
    <t xml:space="preserve">Partner A asks where their order is. Partner B sends the "let me check" message, waits 30 seconds, then thanks A for waiting and gives the update.</t>
  </si>
  <si>
    <t xml:space="preserve">Record yourself reading aloud the message you send before checking and the message you send when you come back with the answer.</t>
  </si>
  <si>
    <t xml:space="preserve">Did you send a message before going quiet? · Did you give a real time if the check is long? · Did you thank the customer when you came back?</t>
  </si>
  <si>
    <t xml:space="preserve">CSC-B-004</t>
  </si>
  <si>
    <t xml:space="preserve">Thanks for waiting, James. Your parcel left our warehouse this morning.</t>
  </si>
  <si>
    <t xml:space="preserve">You told the customer you would check, and you are now back with the answer after a short wait.</t>
  </si>
  <si>
    <t xml:space="preserve">You have just finished checking something while the customer waited. What do you write before you give the answer?</t>
  </si>
  <si>
    <t xml:space="preserve">THANKS-for-WAIT-ing-JAMES · your-PAR-cel-LEFT-our-WARE-house-this-MOR-ning</t>
  </si>
  <si>
    <t xml:space="preserve">If read aloud: thanks_for → "thanks-fer" · left_our → "lef-tower" · this_morning → "this-MOR-ning"</t>
  </si>
  <si>
    <t xml:space="preserve">If read aloud: a warm fall on "James", a tiny pause, then a clear, falling statement for the news.</t>
  </si>
  <si>
    <t xml:space="preserve">If read aloud: "warehouse" starts with a "w" (round the lips, no teeth on the lip) as in "west", not a "v" as in "vest".</t>
  </si>
  <si>
    <t xml:space="preserve">Grateful, clear update</t>
  </si>
  <si>
    <t xml:space="preserve">A little impatient after waiting and keen to hear the answer.</t>
  </si>
  <si>
    <t xml:space="preserve">Like a waiter coming back to the table: say "thanks for waiting" before you put the plate down.</t>
  </si>
  <si>
    <t xml:space="preserve">इंतज़ार करने के लिए धन्यवाद, जेम्स। आपका पार्सल आज सुबह हमारे गोदाम से निकल गया है।</t>
  </si>
  <si>
    <t xml:space="preserve">Intezaar karne ke liye dhanyavaad, James. Aapka parcel aaj subah hamare godaam se nikal gaya hai.</t>
  </si>
  <si>
    <t xml:space="preserve">Thank you for waiting. Your parcel was sent from our storage building this morning.</t>
  </si>
  <si>
    <t xml:space="preserve">Thanking first shows you noticed their time; then the news comes straight away in one clear line, so the customer does not have to wait or ask again.</t>
  </si>
  <si>
    <t xml:space="preserve">Thanks for waiting, ___. + the news</t>
  </si>
  <si>
    <t xml:space="preserve">Thanks + for + verb-ing, name. · Subject + past simple + finished time</t>
  </si>
  <si>
    <t xml:space="preserve">Use the past simple ("left") with a finished time like "this morning" or "yesterday".</t>
  </si>
  <si>
    <t xml:space="preserve">Thanking sounds respectful. Jumping straight to the news with no thanks feels a little cold, and answering only "Yes, I checked" leaves the customer still waiting.</t>
  </si>
  <si>
    <t xml:space="preserve">✗ Thanks for waiting. Your parcel has left yesterday. → ✓ Thanks for waiting, James. Your parcel left our warehouse this morning.</t>
  </si>
  <si>
    <t xml:space="preserve">"Yes, I checked." — it makes the customer ask again for the actual answer.</t>
  </si>
  <si>
    <t xml:space="preserve">Instead of "Sorry for delay, I was busy", say "Thanks for waiting, James. Your parcel left our warehouse this morning."</t>
  </si>
  <si>
    <t xml:space="preserve">Thanks for bearing with me, James. Your parcel was sent this morning.</t>
  </si>
  <si>
    <t xml:space="preserve">Thanks for waiting! Good news: your order is on its way.</t>
  </si>
  <si>
    <t xml:space="preserve">Thank you for waiting, Mr Brown. Your parcel was dispatched from our warehouse this morning.</t>
  </si>
  <si>
    <t xml:space="preserve">Would you like me to send you the tracking link, so you can follow it?</t>
  </si>
  <si>
    <t xml:space="preserve">great, when will it arrive? · ok thanks · why so late?</t>
  </si>
  <si>
    <t xml:space="preserve">Customer: "why so late?" → Agent: "I'm sorry it's taken longer than you expected. It's on its way now and should reach you by Thursday."</t>
  </si>
  <si>
    <t xml:space="preserve">Indian-English scripts often say "Kindly bear with us" or "Thanks for being on hold" in chat; international customers may not expect these there, so switch to "Thanks for waiting" or "Thanks for bearing with me".</t>
  </si>
  <si>
    <t xml:space="preserve">Voice: "Thank you for holding, James." Email: "Thanks for waiting while we looked into this," at the start of the reply.</t>
  </si>
  <si>
    <t xml:space="preserve">Do not use a thank-you alone after a very long wait; add an apology, such as "Thanks for waiting, and I'm sorry that took so long."</t>
  </si>
  <si>
    <t xml:space="preserve">Customer: where is my parcel? | Agent: Let me check that for you. One moment, please. | Customer: ok | Agent: Thanks for waiting, James. Your parcel left our warehouse this morning.</t>
  </si>
  <si>
    <t xml:space="preserve">Thank the customer first when you return, then give the information.</t>
  </si>
  <si>
    <t xml:space="preserve">____ for waiting, James. Your parcel left our warehouse this morning.</t>
  </si>
  <si>
    <t xml:space="preserve">Thanks</t>
  </si>
  <si>
    <t xml:space="preserve">You come back to the chat after checking. What should your first words be?</t>
  </si>
  <si>
    <t xml:space="preserve">A) Thanks for waiting, James. Here's what I found. | B) Yes, I checked it. Do you need anything else? | C) Sorry, I was busy with another chat just now. | D) Your parcel left our warehouse this morning.</t>
  </si>
  <si>
    <t xml:space="preserve">A thanks the customer first and then moves to the news. D gives the news but skips the thank-you, which feels cold. B gives no answer, and C makes the wait about you instead of the customer.</t>
  </si>
  <si>
    <t xml:space="preserve">warehouse / Your / this / left / parcel / morning / our</t>
  </si>
  <si>
    <t xml:space="preserve">Your parcel left our warehouse this morning</t>
  </si>
  <si>
    <t xml:space="preserve">Intezaar ke liye shukriya. Aapka order kal bhej diya gaya tha.</t>
  </si>
  <si>
    <t xml:space="preserve">Thanks for waiting. Your order was sent yesterday.</t>
  </si>
  <si>
    <t xml:space="preserve">great, when will it arrive?</t>
  </si>
  <si>
    <t xml:space="preserve">It should reach you by Thursday. I'll send you the tracking link now.</t>
  </si>
  <si>
    <t xml:space="preserve">Partner A asks about a parcel. Partner B says they will check, waits 20 seconds, then thanks A for waiting and gives the update with a delivery day.</t>
  </si>
  <si>
    <t xml:space="preserve">Record yourself reading aloud your "thanks for waiting" message with the update, then your reply when the customer asks "why so late?".</t>
  </si>
  <si>
    <t xml:space="preserve">Did you thank the customer before the news? · Did you give the actual answer in the same message? · Did you use the past simple with "this morning"?</t>
  </si>
  <si>
    <t xml:space="preserve">CSC-B-005</t>
  </si>
  <si>
    <t xml:space="preserve">I'm sorry your order arrived damaged. I'll send you a replacement today.</t>
  </si>
  <si>
    <t xml:space="preserve">The customer writes that her new lamp arrived broken, and your system shows a free replacement can go out today with no need to return the broken one.</t>
  </si>
  <si>
    <t xml:space="preserve">The customer's item came broken. What two things does a good short apology in chat contain?</t>
  </si>
  <si>
    <t xml:space="preserve">i'm-SOR-ry-your-OR-der-ar-RIVED-DAM-aged · i'll-SEND-you-a-re-PLACE-ment-to-DAY</t>
  </si>
  <si>
    <t xml:space="preserve">If read aloud: order_arrived → "or-de-ra-rived" · arrived_damaged → "a-rive-DAM-ijd" (the two "d" sounds join into one) · send_you → "sen-joo"</t>
  </si>
  <si>
    <t xml:space="preserve">If read aloud: a sincere, slightly slower fall on "damaged"; a firm, confident fall on "today".</t>
  </si>
  <si>
    <t xml:space="preserve">If read aloud: say the final sounds in "arrived" ("-vd") and "damaged" ("-jd") clearly; do not drop them to "arrive damage".</t>
  </si>
  <si>
    <t xml:space="preserve">Sincere, responsible, action-focused</t>
  </si>
  <si>
    <t xml:space="preserve">Disappointed and annoyed that they paid for something broken.</t>
  </si>
  <si>
    <t xml:space="preserve">Sorry is the bandage and the replacement is the medicine: one without the other heals nothing.</t>
  </si>
  <si>
    <t xml:space="preserve">मुझे खेद है कि आपका ऑर्डर टूटा हुआ पहुँचा। मैं आज ही आपको नया सामान भेज दूँगा/दूँगी।</t>
  </si>
  <si>
    <t xml:space="preserve">Mujhe khed hai ki aapka order toota hua pahuncha. Main aaj hi aapko naya saamaan bhej doonga/doongi.</t>
  </si>
  <si>
    <t xml:space="preserve">I apologise that your item came broken. I will send you a new one today.</t>
  </si>
  <si>
    <t xml:space="preserve">It names the exact problem, so the customer knows you read their message, and the second line offers a fix with a time, which matters more to them than the apology words.</t>
  </si>
  <si>
    <t xml:space="preserve">I'm sorry your ___. I'll ___.</t>
  </si>
  <si>
    <t xml:space="preserve">I'm sorry + (that) + clause · I'll + base verb + time</t>
  </si>
  <si>
    <t xml:space="preserve">After "I'm sorry" you can add a full sentence: "I'm sorry your order arrived damaged."</t>
  </si>
  <si>
    <t xml:space="preserve">A specific apology sounds sincere. A vague "Sorry for the inconvenience" sounds copied and pasted, and with an upset customer it can feel cold.</t>
  </si>
  <si>
    <t xml:space="preserve">✗ I'm sorry for your order arrived damaged. → ✓ I'm sorry your order arrived damaged. I'll send you a replacement today.</t>
  </si>
  <si>
    <t xml:space="preserve">"These things happen during delivery." — it sounds like an excuse and does not say what you will do.</t>
  </si>
  <si>
    <t xml:space="preserve">Instead of "Sorry for the inconvenience caused", say "I'm sorry your order arrived damaged. I'll send you a replacement today."</t>
  </si>
  <si>
    <t xml:space="preserve">I'm really sorry it reached you broken. I'll arrange a new one for you right away.</t>
  </si>
  <si>
    <t xml:space="preserve">Sorry about the damaged item, Grace. I'm sending a replacement today.</t>
  </si>
  <si>
    <t xml:space="preserve">I apologise that your order arrived damaged. I will arrange for a replacement to be dispatched today.</t>
  </si>
  <si>
    <t xml:space="preserve">Could you send a photo of the damage? It helps our warehouse team stop this happening again.</t>
  </si>
  <si>
    <t xml:space="preserve">thank you · do i need to send it back? · i need it by friday</t>
  </si>
  <si>
    <t xml:space="preserve">Customer: "this is the second time!" → Agent: "I'm sorry it has happened twice. I'll send the replacement today and add a note asking for extra packing."</t>
  </si>
  <si>
    <t xml:space="preserve">"Sorry for the inconvenience caused" is very common in Indian support scripts; international customers often read it as a template, so name the actual problem instead.</t>
  </si>
  <si>
    <t xml:space="preserve">Voice: the same words, said slowly and sincerely. Email: add the case number and the expected delivery date of the replacement.</t>
  </si>
  <si>
    <t xml:space="preserve">Do not promise "today" if the replacement cannot go out today; give the real day instead.</t>
  </si>
  <si>
    <t xml:space="preserve">Customer: my lamp came broken | Agent: I'm sorry your order arrived damaged. I'll send you a replacement today. | Customer: ok, when will it get here? | Agent: It should arrive by Saturday. I'll email you the tracking link today.</t>
  </si>
  <si>
    <t xml:space="preserve">Apologise specifically, take responsibility and offer a fix; no emoji with a complaint.</t>
  </si>
  <si>
    <t xml:space="preserve">I'm ____ your order arrived damaged. I'll send you a replacement today.</t>
  </si>
  <si>
    <t xml:space="preserve">Which apology works best in chat for a broken item?</t>
  </si>
  <si>
    <t xml:space="preserve">A) Sorry for the inconvenience. We hope to see you again soon. | B) I'm sorry your order arrived damaged. I'll send you a replacement today. | C) I'm so sorry your order arrived damaged 😔 Please let me know how I can help. | D) Parcels sometimes get damaged in delivery, but I'll look into it for you.</t>
  </si>
  <si>
    <t xml:space="preserve">B names the problem and gives a fix with a time. A is a vague template, C uses an emoji with a complaint and offers no fix, and D sounds like an excuse.</t>
  </si>
  <si>
    <t xml:space="preserve">replacement / send / I'll / today / a / you</t>
  </si>
  <si>
    <t xml:space="preserve">I'll send you a replacement today</t>
  </si>
  <si>
    <t xml:space="preserve">Mujhe afsos hai ki aapka order toota hua aaya. Main aaj hi naya bhej deti hoon.</t>
  </si>
  <si>
    <t xml:space="preserve">I'm sorry your order arrived broken. I'll send you a new one today.</t>
  </si>
  <si>
    <t xml:space="preserve">do i need to send the broken one back?</t>
  </si>
  <si>
    <t xml:space="preserve">No, you don't need to send it back. You can keep it or recycle it.</t>
  </si>
  <si>
    <t xml:space="preserve">Partner A writes that their new headphones arrived with a cracked case. Partner B apologises for that exact problem, offers a replacement with a time, and answers A's question about returning the broken pair.</t>
  </si>
  <si>
    <t xml:space="preserve">Record yourself reading aloud your short apology message and the next message, where you ask for a photo of the damage.</t>
  </si>
  <si>
    <t xml:space="preserve">Did you name the exact problem? · Did you offer a fix with a time? · Did you avoid a vague "sorry for the inconvenience" and emoji?</t>
  </si>
  <si>
    <t xml:space="preserve">CSC-B-006</t>
  </si>
  <si>
    <t xml:space="preserve">Could you send me a screenshot of the error message? It'll help me see exactly what's happening.</t>
  </si>
  <si>
    <t xml:space="preserve">The customer says the app shows an error when they try to pay, but they cannot describe it clearly.</t>
  </si>
  <si>
    <t xml:space="preserve">The customer says "it shows some error" but cannot describe it. What do you ask them to send, and how do you explain why?</t>
  </si>
  <si>
    <t xml:space="preserve">could-you-SEND-me-a-SCREEN-shot · of-the-ER-ror-MES-sage · it'll-HELP-me-SEE-ex-ACT-ly-what's-HAP-pen-ing</t>
  </si>
  <si>
    <t xml:space="preserve">If read aloud: send_me → "sen-mee" · of_the_error → "uv-thee-ER-ror" · what's_happening → "wots-HAP-ning"</t>
  </si>
  <si>
    <t xml:space="preserve">If read aloud: rise on "message?" because it is a yes/no request; fall on "happening".</t>
  </si>
  <si>
    <t xml:space="preserve">If read aloud: "message" is MES-ij, two syllables with a soft "-ij" ending, not "mes-SAGE" with the stress at the end.</t>
  </si>
  <si>
    <t xml:space="preserve">Helpful, patient, curious</t>
  </si>
  <si>
    <t xml:space="preserve">Frustrated and a little confused by a technical problem.</t>
  </si>
  <si>
    <t xml:space="preserve">A screenshot is the patient's X-ray: the doctor sees in one look what ten lines of words cannot describe.</t>
  </si>
  <si>
    <t xml:space="preserve">क्या आप मुझे एरर मैसेज का स्क्रीनशॉट भेज सकते हैं? इससे मैं ठीक-ठीक देख पाऊँगा/पाऊँगी कि क्या हो रहा है।</t>
  </si>
  <si>
    <t xml:space="preserve">Kya aap mujhe error message ka screenshot bhej sakte hain? Isse main theek-theek dekh paoonga/paoongi ki kya ho raha hai.</t>
  </si>
  <si>
    <t xml:space="preserve">Please take a picture of your screen showing the error and send it to me, so I can understand the problem.</t>
  </si>
  <si>
    <t xml:space="preserve">It asks politely and gives the reason, so the customer sees the extra step helps them and is not just more work.</t>
  </si>
  <si>
    <t xml:space="preserve">Could you send me a ___ of ___? It'll help me ___.</t>
  </si>
  <si>
    <t xml:space="preserve">Could + you + send + me + a + noun · It'll + help + me + base verb</t>
  </si>
  <si>
    <t xml:space="preserve">After "help me", use the base verb: "help me see", not "help me seeing".</t>
  </si>
  <si>
    <t xml:space="preserve">Giving a reason makes it a shared task. "Send screenshot" on its own sounds like a demand and can suggest you do not believe the customer.</t>
  </si>
  <si>
    <t xml:space="preserve">✗ Could you send me screenshot of error message? → ✓ Could you send me a screenshot of the error message?</t>
  </si>
  <si>
    <t xml:space="preserve">"I can't help without a screenshot." — it puts the blame on the customer and sounds like a refusal.</t>
  </si>
  <si>
    <t xml:space="preserve">Instead of "I can't help without a screenshot", say "Could you send me a screenshot of the error message? It'll help me see exactly what's happening."</t>
  </si>
  <si>
    <t xml:space="preserve">Could you take a screenshot of what you see on the screen and send it here?</t>
  </si>
  <si>
    <t xml:space="preserve">If you can, please send a screenshot of the error. That way I can find the cause faster.</t>
  </si>
  <si>
    <t xml:space="preserve">Would you be able to send a screenshot of the error message? It will help me identify the problem more quickly.</t>
  </si>
  <si>
    <t xml:space="preserve">Thank you, that helps. I can see the card was declined, so let's try another payment method.</t>
  </si>
  <si>
    <t xml:space="preserve">how do i take a screenshot? · sent · it says payment failed</t>
  </si>
  <si>
    <t xml:space="preserve">Customer: "i already told you what it says, why a screenshot?" → Agent: "Thank you, and I'm sorry for the extra step. The screenshot shows me the exact wording, so I don't have to guess. It only takes a few seconds."</t>
  </si>
  <si>
    <t xml:space="preserve">"Kindly share the screenshot of the same" is common in Indian English; international customers may not expect "of the same", so name the thing: "a screenshot of the error".</t>
  </si>
  <si>
    <t xml:space="preserve">Voice: ask the caller to read the error message aloud, or offer to email them so they can reply with the screenshot. Email: "Could you reply with a screenshot of the error message?"</t>
  </si>
  <si>
    <t xml:space="preserve">Do not ask for a screenshot of a screen that shows a full card number or password; ask the customer to describe it or cover those parts.</t>
  </si>
  <si>
    <t xml:space="preserve">Customer: payment not working, some error | Agent: Could you send me a screenshot of the error message? It'll help me see exactly what's happening. | Customer: sent | Agent: Thank you. I can see the card was declined, so let's try another card.</t>
  </si>
  <si>
    <t xml:space="preserve">Chat: ask with "Could you…?", give the reason for the extra step, and keep the message short.</t>
  </si>
  <si>
    <t xml:space="preserve">Could you send me a ____ of the error message? It'll help me see exactly what's happening. (Hint: one word for a picture of your screen)</t>
  </si>
  <si>
    <t xml:space="preserve">screenshot</t>
  </si>
  <si>
    <t xml:space="preserve">Why does the agent add "It'll help me see exactly what's happening"?</t>
  </si>
  <si>
    <t xml:space="preserve">A) To make the message longer and sound more formal. | B) To give a reason, so the customer sees why the extra step helps. | C) To suggest that the customer caused the error themselves. | D) To promise the customer that the error will be fixed today.</t>
  </si>
  <si>
    <t xml:space="preserve">B is right: a reason turns a demand into teamwork. C is the tempting wrong idea, because the line blames no one; A adds nothing for the customer, and D promises something the line never says.</t>
  </si>
  <si>
    <t xml:space="preserve">screenshot / you / me / send / a / Could</t>
  </si>
  <si>
    <t xml:space="preserve">Could you send me a screenshot</t>
  </si>
  <si>
    <t xml:space="preserve">Kya aap error ka screenshot bhej sakte hain? Isse mujhe problem samajhne mein madad milegi.</t>
  </si>
  <si>
    <t xml:space="preserve">Could you send me a screenshot of the error? It'll help me understand the problem.</t>
  </si>
  <si>
    <t xml:space="preserve">how do i take a screenshot?</t>
  </si>
  <si>
    <t xml:space="preserve">On most phones, press the power and volume-down buttons together. If that doesn't work, tell me which phone you have, and I'll walk you through it. Then send the picture here.</t>
  </si>
  <si>
    <t xml:space="preserve">Partner A says the app shows "some error" when they log in. Partner B asks for a screenshot with a reason, explains how to take one, and responds once A describes what the error says.</t>
  </si>
  <si>
    <t xml:space="preserve">Record yourself reading aloud your screenshot request and the message explaining how to take a screenshot on a phone.</t>
  </si>
  <si>
    <t xml:space="preserve">Did you say why you need the screenshot? · Did you name exactly what to send (the error message)? · Did your request start with "Could you"?</t>
  </si>
  <si>
    <t xml:space="preserve">CSC-B-007</t>
  </si>
  <si>
    <t xml:space="preserve">You can reset your password here: [Company].com/reset. Just open it and enter your email address.</t>
  </si>
  <si>
    <t xml:space="preserve">The customer cannot log in, and you send them the password reset page.</t>
  </si>
  <si>
    <t xml:space="preserve">You are sending the customer a page where they can fix a login problem. What do you add so they know what to do on it?</t>
  </si>
  <si>
    <t xml:space="preserve">you-can-re-SET-your-PASS-word-HERE · just-O-pen-it · and-EN-ter-your-E-mail-ad-DRESS</t>
  </si>
  <si>
    <t xml:space="preserve">If read aloud: reset_your → "ree-set-cher" · open_it → "oh-pe-nit" · and_enter → "an-den-ter"</t>
  </si>
  <si>
    <t xml:space="preserve">If read aloud: steady and falling; pause briefly before and after the link, so each part is clear.</t>
  </si>
  <si>
    <t xml:space="preserve">If read aloud: in "password" the "w" is a rounded-lip sound, PASS-wurd, not "pass-vord" with teeth on the lip.</t>
  </si>
  <si>
    <t xml:space="preserve">Clear, simple instruction</t>
  </si>
  <si>
    <t xml:space="preserve">Locked out and slightly stressed about getting back into the account.</t>
  </si>
  <si>
    <t xml:space="preserve">A link without an instruction is a door with no handle; give one handle: "open it and enter your email".</t>
  </si>
  <si>
    <t xml:space="preserve">आप यहाँ अपना पासवर्ड रीसेट कर सकते हैं: [Company].com/reset। बस इसे खोलिए और अपना ईमेल पता डालिए।</t>
  </si>
  <si>
    <t xml:space="preserve">Aap yahan apna password reset kar sakte hain: [Company].com/reset. Bas ise kholiye aur apna email address daaliye.</t>
  </si>
  <si>
    <t xml:space="preserve">Here is the page to make a new password. Open it and type your email address.</t>
  </si>
  <si>
    <t xml:space="preserve">One link with one action is easy to follow on a phone. The customer knows exactly what to do next and does not need to come back and ask.</t>
  </si>
  <si>
    <t xml:space="preserve">You can ___ here: ___. Just ___.</t>
  </si>
  <si>
    <t xml:space="preserve">You + can + base verb + here · Just + imperative + and + imperative</t>
  </si>
  <si>
    <t xml:space="preserve">"Just" before a verb makes an instruction sound easy and friendly, not bossy.</t>
  </si>
  <si>
    <t xml:space="preserve">"You can… here" sounds like help on offer. "You have to go through the link and do the process" sounds like a rule and does not say what the process is.</t>
  </si>
  <si>
    <t xml:space="preserve">✗ You can reset your password in this link. Just open and fill your email. → ✓ You can reset your password here: [Company].com/reset. Just open it and enter your email address.</t>
  </si>
  <si>
    <t xml:space="preserve">"Go through the link." — it gives no instruction, so the customer opens the page and does not know what to do.</t>
  </si>
  <si>
    <t xml:space="preserve">Instead of "You have to go through the below link", say "You can reset your password here: [Company].com/reset. Just open it and enter your email address."</t>
  </si>
  <si>
    <t xml:space="preserve">Here's the reset page: [Company].com/reset. Enter your email address there, and we'll email you a link to choose a new password.</t>
  </si>
  <si>
    <t xml:space="preserve">This link lets you set a new password: [Company].com/reset. Tap it and type your email address.</t>
  </si>
  <si>
    <t xml:space="preserve">You can reset your password using this link: [Company].com/reset. Please open it and enter the email address linked to your account.</t>
  </si>
  <si>
    <t xml:space="preserve">Let me know once you've done that, and I'll check that you can log in.</t>
  </si>
  <si>
    <t xml:space="preserve">done · the link isn't opening · i didn't get any email</t>
  </si>
  <si>
    <t xml:space="preserve">Customer: "the link isn't opening" → Agent: "I'm sorry the link isn't opening. Could you copy it into your browser? If it still doesn't open, I'll send the reset email to you directly."</t>
  </si>
  <si>
    <t xml:space="preserve">"Go through the below link and do the needful" is common in Indian business English; international customers may not expect it and find it vague, so say the one action they should take.</t>
  </si>
  <si>
    <t xml:space="preserve">Voice: the caller cannot click anything on a call, so offer to send the link by SMS or email. Email: number the steps if there is more than one.</t>
  </si>
  <si>
    <t xml:space="preserve">Do not send a link alone when the task has several steps; split it into short, numbered messages instead.</t>
  </si>
  <si>
    <t xml:space="preserve">Customer: i forgot my password | Agent: You can reset your password here: [Company].com/reset. Just open it and enter your email address. | Customer: done, got the email | Agent: Great. Open that email and choose a new password, and you'll be able to log in.</t>
  </si>
  <si>
    <t xml:space="preserve">Chat: short messages, one clear step at a time; number multi-step instructions.</t>
  </si>
  <si>
    <t xml:space="preserve">You can reset your password here: [Company].com/reset. Just open it and ____ your email address. (Hint: starts with "e")</t>
  </si>
  <si>
    <t xml:space="preserve">enter</t>
  </si>
  <si>
    <t xml:space="preserve">What makes a good chat message when you share a link?</t>
  </si>
  <si>
    <t xml:space="preserve">A) The link on its own, so the message is as short as possible. | B) The link plus one clear action the customer should take. | C) The link plus a long explanation of how the system works. | D) The link plus five steps in one long paragraph of text.</t>
  </si>
  <si>
    <t xml:space="preserve">B is right: one link with one clear action is easy to follow on a phone. A is tempting because it is short, but the customer may not know what to do; C and D bury the action in too much text.</t>
  </si>
  <si>
    <t xml:space="preserve">email / your / open / enter / Just / address / and / it</t>
  </si>
  <si>
    <t xml:space="preserve">Just open it and enter your email address</t>
  </si>
  <si>
    <t xml:space="preserve">Bas is link ko kholiye aur apna email address daaliye.</t>
  </si>
  <si>
    <t xml:space="preserve">Just open this link and enter your email address.</t>
  </si>
  <si>
    <t xml:space="preserve">i didn't get any email</t>
  </si>
  <si>
    <t xml:space="preserve">Could you check your spam folder? If it isn't there, I'll send it again now.</t>
  </si>
  <si>
    <t xml:space="preserve">Partner A cannot log in. Partner B sends the reset link with one clear instruction, then helps when A says the email has not arrived.</t>
  </si>
  <si>
    <t xml:space="preserve">Record yourself reading aloud the link message you would send and your next message when the customer says no email arrived.</t>
  </si>
  <si>
    <t xml:space="preserve">Did you give exactly one clear action with the link? · Did you say what the link is for ("reset your password")? · Is the message short enough to read on a phone?</t>
  </si>
  <si>
    <t xml:space="preserve">CSC-B-008</t>
  </si>
  <si>
    <t xml:space="preserve">Just to confirm, you'd like to change the delivery address to 14 Park Road, Pune?</t>
  </si>
  <si>
    <t xml:space="preserve">The customer asked to change where their parcel goes, and you check the new address before you update it.</t>
  </si>
  <si>
    <t xml:space="preserve">Before you change an important detail, how do you check in one short message that you have understood it correctly?</t>
  </si>
  <si>
    <t xml:space="preserve">just-to-con-FIRM · you'd-LIKE-to-CHANGE-the-de-LIV-er-y-ad-DRESS · to-four-TEEN-PARK-ROAD-PU-ne</t>
  </si>
  <si>
    <t xml:space="preserve">If read aloud: just_to → "jus-tuh" · you'd_like → "yood-like" · change_the → "chainj-the"</t>
  </si>
  <si>
    <t xml:space="preserve">If read aloud: a rising tone at the end, because it is a yes/no check, even though the words look like a statement.</t>
  </si>
  <si>
    <t xml:space="preserve">If read aloud: "fourteen" is four-TEEN, with the stress at the end; "forty" is FOR-ty. Mixing them up changes the address.</t>
  </si>
  <si>
    <t xml:space="preserve">Careful, polite check</t>
  </si>
  <si>
    <t xml:space="preserve">Wants the change done quickly and correctly, and is a little anxious about mistakes.</t>
  </si>
  <si>
    <t xml:space="preserve">Measure twice, cut once: read the address back before you press save.</t>
  </si>
  <si>
    <t xml:space="preserve">बस पक्का करने के लिए, आप डिलीवरी का पता बदलकर 14 पार्क रोड, पुणे करना चाहते हैं?</t>
  </si>
  <si>
    <t xml:space="preserve">Bas pakka karne ke liye, aap delivery ka pata badalkar 14 Park Road, Pune karna chahte hain?</t>
  </si>
  <si>
    <t xml:space="preserve">I want to check: is the new delivery address 14 Park Road, Pune?</t>
  </si>
  <si>
    <t xml:space="preserve">Repeating the exact detail lets the customer catch a mistake before it costs them a lost parcel, and it shows you read their message carefully.</t>
  </si>
  <si>
    <t xml:space="preserve">Just to confirm, you'd like to ___?</t>
  </si>
  <si>
    <t xml:space="preserve">Just to confirm, + you'd like + to + base verb …?</t>
  </si>
  <si>
    <t xml:space="preserve">A statement with a question mark asks "Is this right?"; "you'd like" is a polite form of "you want".</t>
  </si>
  <si>
    <t xml:space="preserve">"Just to confirm" sounds careful, not doubtful. "Are you sure?" can sound as if you think the customer is wrong.</t>
  </si>
  <si>
    <t xml:space="preserve">✗ Just to confirm, you want that I change the address? → ✓ Just to confirm, you'd like to change the delivery address to 14 Park Road, Pune?</t>
  </si>
  <si>
    <t xml:space="preserve">"Are you sure about the address?" — it sounds as if you doubt the customer instead of checking your own understanding.</t>
  </si>
  <si>
    <t xml:space="preserve">Instead of "Are you sure it's correct?", say "Just to confirm, you'd like to change the delivery address to 14 Park Road, Pune?"</t>
  </si>
  <si>
    <t xml:space="preserve">Can I check: the new address is 14 Park Road, Pune. Is that right?</t>
  </si>
  <si>
    <t xml:space="preserve">So the parcel should now go to 14 Park Road, Pune. Have I got that right?</t>
  </si>
  <si>
    <t xml:space="preserve">Could you confirm that you would like the delivery address changed to 14 Park Road, Pune?</t>
  </si>
  <si>
    <t xml:space="preserve">Thanks. Should I add a flat number or landmark to help the courier find it?</t>
  </si>
  <si>
    <t xml:space="preserve">yes thats right · no, it's 41 not 14 · yes, and add flat 2B</t>
  </si>
  <si>
    <t xml:space="preserve">Customer: "yes, I already said that!" → Agent: "Sorry to double-check, Imran. I just wanted to be sure your parcel goes to the right place. It's updated now."</t>
  </si>
  <si>
    <t xml:space="preserve">"You want that I change…" copies the Hindi "chahte hain ki…" pattern; international customers may not expect it, so write "you'd like me to change…" or "you'd like to change…".</t>
  </si>
  <si>
    <t xml:space="preserve">Voice: say numbers slowly, digit by digit: "one-four Park Road". Email: put the new address on its own line so it is easy to check.</t>
  </si>
  <si>
    <t xml:space="preserve">Do not confirm every small detail in a short chat; save it for things that are costly to get wrong, such as addresses, amounts and dates.</t>
  </si>
  <si>
    <t xml:space="preserve">Customer: can you send it to 14 Park Road, Pune instead | Agent: Just to confirm, you'd like to change the delivery address to 14 Park Road, Pune? | Customer: yes | Agent: Thanks. I've updated it, and you'll get a confirmation email shortly.</t>
  </si>
  <si>
    <t xml:space="preserve">Paraphrase before acting: repeat the key detail so the customer can correct you.</t>
  </si>
  <si>
    <t xml:space="preserve">Just to confirm, you'd like to change the delivery ____ to 14 Park Road, Pune?</t>
  </si>
  <si>
    <t xml:space="preserve">The customer writes "please send it to 14 Park Road, Pune instead". What is the best next message?</t>
  </si>
  <si>
    <t xml:space="preserve">A) Done! I've changed your delivery address to 14 Park Road, Pune. | B) Are you sure that is the right address? 14 Park Road, Pune? | C) Just to confirm, you'd like the parcel sent to 14 Park Road, Pune? | D) Could you type the whole address again from the beginning, please?</t>
  </si>
  <si>
    <t xml:space="preserve">C repeats the detail so the customer can catch an error. B is tempting as a check, but it sounds as if you doubt them. A changes the address without checking, and D makes the customer do the work again.</t>
  </si>
  <si>
    <t xml:space="preserve">confirm / like / Just / you'd / to / change / to / the / address</t>
  </si>
  <si>
    <t xml:space="preserve">Just to confirm you'd like to change the address</t>
  </si>
  <si>
    <t xml:space="preserve">Bas confirm karne ke liye, aap payment ki date badalkar 5 March karna chahte hain?</t>
  </si>
  <si>
    <t xml:space="preserve">Just to confirm, you'd like to change the payment date to 5 March?</t>
  </si>
  <si>
    <t xml:space="preserve">no, it's 41 not 14</t>
  </si>
  <si>
    <t xml:space="preserve">Thanks for catching that. So it's 41 Park Road, Pune. Is that right?</t>
  </si>
  <si>
    <t xml:space="preserve">Partner A asks to change the delivery address and types it with one digit unclear. Partner B confirms the detail, A corrects it, and B confirms the corrected address before updating it.</t>
  </si>
  <si>
    <t xml:space="preserve">Record yourself reading aloud your confirm message with a full address, using a rising tone at the end.</t>
  </si>
  <si>
    <t xml:space="preserve">Did you repeat the exact detail? · Did you use "you'd like to" instead of "you want that"? · Did you wait for a yes before changing it?</t>
  </si>
  <si>
    <t xml:space="preserve">CSC-B-009</t>
  </si>
  <si>
    <t xml:space="preserve">Are you still there, Sarah? I'm here whenever you're ready.</t>
  </si>
  <si>
    <t xml:space="preserve">The customer has not replied for a few minutes after you asked them a question.</t>
  </si>
  <si>
    <t xml:space="preserve">The customer has gone quiet for several minutes. What friendly message do you send before you think about closing the chat?</t>
  </si>
  <si>
    <t xml:space="preserve">are-you-STILL-THERE-SA-rah · i'm-HERE · when-EV-er-you're-READ-y</t>
  </si>
  <si>
    <t xml:space="preserve">If read aloud: are_you → "ar-yoo" · still_there → "stil-there" · whenever_you're → "wen-ev-er-yor"</t>
  </si>
  <si>
    <t xml:space="preserve">If read aloud: rise on "there?" because it is a yes/no question, then a soft, warm fall on "ready".</t>
  </si>
  <si>
    <t xml:space="preserve">If read aloud: "there" starts with a voiced "th" (tongue between the teeth), not "dare"; "whenever" begins with a rounded-lip "w", not a "v".</t>
  </si>
  <si>
    <t xml:space="preserve">Patient, friendly check-in</t>
  </si>
  <si>
    <t xml:space="preserve">Probably busy or distracted, perhaps looking for a document, and not annoyed.</t>
  </si>
  <si>
    <t xml:space="preserve">A gentle knock on the door, not a bang: "Still there? I'm here when you're ready."</t>
  </si>
  <si>
    <t xml:space="preserve">सारा, क्या आप अभी भी चैट पर हैं? जब भी आप तैयार हों, मैं यहीं हूँ।</t>
  </si>
  <si>
    <t xml:space="preserve">Sarah, kya aap abhi bhi chat par hain? Jab bhi aap taiyaar hon, main yahin hoon.</t>
  </si>
  <si>
    <t xml:space="preserve">Are you still in the chat? Take your time; I'm waiting for you.</t>
  </si>
  <si>
    <t xml:space="preserve">It checks politely without pressure and tells the customer they have not lost their place, so they can come back without starting again.</t>
  </si>
  <si>
    <t xml:space="preserve">Are you still there, ___? I'm here whenever ___.</t>
  </si>
  <si>
    <t xml:space="preserve">Are + you + still + there? · whenever + you're + adjective</t>
  </si>
  <si>
    <t xml:space="preserve">"Still" means "continuing from before"; "whenever" means "at any time that".</t>
  </si>
  <si>
    <t xml:space="preserve">The second sentence removes pressure. "Hello?? Are you there??" with many question marks sounds impatient.</t>
  </si>
  <si>
    <t xml:space="preserve">✗ Hello? Are you there or not? → ✓ Are you still there, Sarah? I'm here whenever you're ready.</t>
  </si>
  <si>
    <t xml:space="preserve">"If you don't reply, I will close the chat." as the first check-in — it sounds like a threat; warn only after a friendly check-in.</t>
  </si>
  <si>
    <t xml:space="preserve">Instead of "No response from your side", say "Are you still there, Sarah? I'm here whenever you're ready."</t>
  </si>
  <si>
    <t xml:space="preserve">Just checking in, Sarah. Take your time; I'm still here.</t>
  </si>
  <si>
    <t xml:space="preserve">Hi Sarah, are you still with me? There's no rush.</t>
  </si>
  <si>
    <t xml:space="preserve">I just wanted to check whether you are still there. I'm happy to wait while you find the details.</t>
  </si>
  <si>
    <t xml:space="preserve">I haven't heard back, so I'll close this chat in two minutes. If you still need help, just reply here and I'll keep it open.</t>
  </si>
  <si>
    <t xml:space="preserve">sorry, here · yes, looking for the receipt · 2 min</t>
  </si>
  <si>
    <t xml:space="preserve">Customer: "stop rushing me" → Agent: "Sorry, Sarah, I didn't mean to rush you. Take all the time you need; I'll wait."</t>
  </si>
  <si>
    <t xml:space="preserve">"No response from your side" is common in Indian support scripts; international customers may read it as blame, so a friendly question works better.</t>
  </si>
  <si>
    <t xml:space="preserve">Voice: "Hello, are you still there?" after a few seconds of silence. Email: not used; send a follow-up email later instead.</t>
  </si>
  <si>
    <t xml:space="preserve">Do not send it seconds after your own message; give the customer a real gap first, as they may be typing or looking something up.</t>
  </si>
  <si>
    <t xml:space="preserve">Customer: one sec, finding my receipt | Agent: (four minutes later) Are you still there, Sarah? I'm here whenever you're ready. | Customer: sorry, here it is: ORD-55102 | Agent: Thanks, Sarah. Let me check that now.</t>
  </si>
  <si>
    <t xml:space="preserve">Ending a chat: if the customer goes silent, check in, then warn, then close politely.</t>
  </si>
  <si>
    <t xml:space="preserve">Are you ____ there, Sarah? I'm here whenever you're ready.</t>
  </si>
  <si>
    <t xml:space="preserve">still</t>
  </si>
  <si>
    <t xml:space="preserve">A customer has not replied for four minutes. What is the best first step?</t>
  </si>
  <si>
    <t xml:space="preserve">A) Close the chat now, because the customer has probably left. | B) Send a friendly check-in and say you are still there. | C) Send "Hello?? Are you there??" so the customer sees it quickly. | D) Write "If you don't reply, the chat will close" straight away.</t>
  </si>
  <si>
    <t xml:space="preserve">B follows best practice: check in first, then warn, then close. D is tempting, but it skips the friendly check-in and sounds like a threat; A closes too early and C sounds impatient.</t>
  </si>
  <si>
    <t xml:space="preserve">ready / here / you're / I'm / whenever</t>
  </si>
  <si>
    <t xml:space="preserve">I'm here whenever you're ready</t>
  </si>
  <si>
    <t xml:space="preserve">Kya aap abhi bhi chat par hain? Koi jaldi nahin hai.</t>
  </si>
  <si>
    <t xml:space="preserve">Are you still there? There's no rush.</t>
  </si>
  <si>
    <t xml:space="preserve">sorry, my phone rang. here now</t>
  </si>
  <si>
    <t xml:space="preserve">No worries, Sarah. Could you send me the order number when you have it?</t>
  </si>
  <si>
    <t xml:space="preserve">Partner B asks for an order number, and Partner A goes silent. B sends a friendly check-in, then a polite warning, and A comes back just before the chat closes.</t>
  </si>
  <si>
    <t xml:space="preserve">Record yourself reading aloud your check-in message, then the polite warning you would send two minutes later if there is still no reply.</t>
  </si>
  <si>
    <t xml:space="preserve">Did you check in before warning? · Did you remove pressure with "whenever you're ready"? · Did you avoid capitals and extra question marks?</t>
  </si>
  <si>
    <t xml:space="preserve">CSC-B-010</t>
  </si>
  <si>
    <t xml:space="preserve">You're welcome, Sarah. Thanks for chatting with us, and have a great evening!</t>
  </si>
  <si>
    <t xml:space="preserve">The issue is solved, and the customer has written "thanks, bye".</t>
  </si>
  <si>
    <t xml:space="preserve">The customer thanks you and says goodbye after the problem is fixed. How do you return the goodbye in one message?</t>
  </si>
  <si>
    <t xml:space="preserve">you're-WEL-come-SA-rah · THANKS-for-CHAT-ting-with-us · and-have-a-GREAT-EVE-ning</t>
  </si>
  <si>
    <t xml:space="preserve">If read aloud: thanks_for → "thanks-fer" · with_us → "wi-thus" · have_a → "ha-vuh"</t>
  </si>
  <si>
    <t xml:space="preserve">If read aloud: a warm fall on "Sarah", then a bright, slightly higher pitch on "great evening" before the final fall.</t>
  </si>
  <si>
    <t xml:space="preserve">If read aloud: "with" ends in a soft "th", not a "t" ("wit"); "evening" is EEV-ning, two syllables, not "ee-ve-ning".</t>
  </si>
  <si>
    <t xml:space="preserve">Warm, grateful goodbye</t>
  </si>
  <si>
    <t xml:space="preserve">Relieved and satisfied, and ready to leave the chat.</t>
  </si>
  <si>
    <t xml:space="preserve">The customer waved goodbye; wave back with three fingers: "you're welcome", "thanks", "have a great evening".</t>
  </si>
  <si>
    <t xml:space="preserve">धन्यवाद की कोई बात नहीं, सारा। हमसे चैट करने के लिए धन्यवाद, आपकी शाम अच्छी हो!</t>
  </si>
  <si>
    <t xml:space="preserve">Dhanyavaad ki koi baat nahin, Sarah. Humse chat karne ke liye dhanyavaad, aapki shaam acchi ho!</t>
  </si>
  <si>
    <t xml:space="preserve">No need to thank me. Thank you for talking to us. Enjoy your evening!</t>
  </si>
  <si>
    <t xml:space="preserve">It answers the customer's thanks, thanks them back and says goodbye, so the chat ends warmly instead of stopping suddenly.</t>
  </si>
  <si>
    <t xml:space="preserve">You're welcome, ___. Thanks for ___, and have a great ___!</t>
  </si>
  <si>
    <t xml:space="preserve">You're welcome · Thanks + for + verb-ing · Have + a + adjective + noun</t>
  </si>
  <si>
    <t xml:space="preserve">"You're welcome" is the safe, polite reply to thanks. Saying nothing and closing the window feels cold after a good chat.</t>
  </si>
  <si>
    <t xml:space="preserve">✗ You welcome, Sarah. Thanks for chat with us. → ✓ You're welcome, Sarah. Thanks for chatting with us.</t>
  </si>
  <si>
    <t xml:space="preserve">"Chat is being closed." — it is a system message, not a goodbye, and ends a good chat coldly.</t>
  </si>
  <si>
    <t xml:space="preserve">Instead of "Closing the chat now", say "You're welcome, Sarah. Thanks for chatting with us, and have a great evening!"</t>
  </si>
  <si>
    <t xml:space="preserve">My pleasure, Sarah! Thanks for getting in touch, and have a lovely evening.</t>
  </si>
  <si>
    <t xml:space="preserve">Glad I could help! Take care, Sarah.</t>
  </si>
  <si>
    <t xml:space="preserve">You're very welcome. Thank you for contacting [Company], and have a pleasant evening.</t>
  </si>
  <si>
    <t xml:space="preserve">If anything else comes up, just message us again any time. Take care, Sarah!</t>
  </si>
  <si>
    <t xml:space="preserve">bye · thanks again · you too</t>
  </si>
  <si>
    <t xml:space="preserve">Customer: "actually, one more thing" → Agent: "Of course, Sarah. What else can I help with?"</t>
  </si>
  <si>
    <t xml:space="preserve">Many Indian English speakers reply to "thank you" with "Welcome"; international customers may not expect this and usually hear "You're welcome" or "My pleasure".</t>
  </si>
  <si>
    <t xml:space="preserve">Voice: "You're welcome, Mr Lee. Have a great evening." Email: end with "Best regards" and your name.</t>
  </si>
  <si>
    <t xml:space="preserve">Do not use it while the issue is still open; first tell the customer the next step and when they will hear from you.</t>
  </si>
  <si>
    <t xml:space="preserve">Customer: that worked, thanks! bye | Agent: You're welcome, Sarah. Thanks for chatting with us, and have a great evening! | Customer: you too | Agent: Thank you, Sarah. Take care!</t>
  </si>
  <si>
    <t xml:space="preserve">Ending a chat: return the customer's goodbye; "You're welcome" is the safe default reply to thanks.</t>
  </si>
  <si>
    <t xml:space="preserve">You're ____, Sarah. Thanks for chatting with us, and have a great evening!</t>
  </si>
  <si>
    <t xml:space="preserve">welcome</t>
  </si>
  <si>
    <t xml:space="preserve">The customer writes "thanks so much, bye!" Which reply is the most natural for an international customer?</t>
  </si>
  <si>
    <t xml:space="preserve">A) This chat is now closed. Please rate your experience with us in the survey. | B) YOU'RE WELCOME!! THANKS FOR CHATTING WITH US. HAVE A GREAT EVENING!! | C) No problem, Sarah! Is there anything else I can help you with before I close the chat? | D) You're welcome, Sarah. Thanks for chatting with us, and have a great evening!</t>
  </si>
  <si>
    <t xml:space="preserve">D returns the thanks and the goodbye. A sounds like a system message, B shouts in capitals, and C asks a new question when the customer is already leaving.</t>
  </si>
  <si>
    <t xml:space="preserve">chatting / us / Thanks / with / for</t>
  </si>
  <si>
    <t xml:space="preserve">Thanks for chatting with us</t>
  </si>
  <si>
    <t xml:space="preserve">Humse chat karne ke liye shukriya. Aapki shaam acchi ho!</t>
  </si>
  <si>
    <t xml:space="preserve">Thanks for chatting with us. Have a great evening!</t>
  </si>
  <si>
    <t xml:space="preserve">you too, thanks!</t>
  </si>
  <si>
    <t xml:space="preserve">Thanks, Sarah. Bye for now!</t>
  </si>
  <si>
    <t xml:space="preserve">Partner A's refund problem has been solved, and A writes "thanks, bye". Partner B returns the thanks and the goodbye; then A adds "one more thing", and B answers before closing again.</t>
  </si>
  <si>
    <t xml:space="preserve">Record yourself reading aloud your goodbye message, then your reply if the customer suddenly writes "actually, one more thing".</t>
  </si>
  <si>
    <t xml:space="preserve">Did you say "You're welcome" in full, with the customer's name? · Did you thank the customer for chatting? · Did you close only after the issue was solved?</t>
  </si>
  <si>
    <t xml:space="preserve">CSC-B-011</t>
  </si>
  <si>
    <t xml:space="preserve">I'm glad that's sorted. Is there anything else I can help you with today?</t>
  </si>
  <si>
    <t xml:space="preserve">You have fixed the customer's problem, and they have confirmed that it works.</t>
  </si>
  <si>
    <t xml:space="preserve">The customer confirms the fix worked. What do you say about the fix, and what do you ask before you close?</t>
  </si>
  <si>
    <t xml:space="preserve">i'm-GLAD-that's-SORT-ed · is-there-AN-y-thing-ELSE · i-can-HELP-you-with-to-DAY</t>
  </si>
  <si>
    <t xml:space="preserve">If read aloud: that's_sorted → "that-SORT-ed" (the two "s" sounds join) · anything_else → "en-ee-thing-els" (the "ng" flows into "else", with no hard g) · help_you → "hel-pyoo"</t>
  </si>
  <si>
    <t xml:space="preserve">If read aloud: a warm fall on "sorted"; a rise on "today?" because it is a yes/no question.</t>
  </si>
  <si>
    <t xml:space="preserve">If read aloud: "anything" ends in "-thing" with the tongue between the teeth, not "any-ting"; "else" ends in a clear "s", not "el-se".</t>
  </si>
  <si>
    <t xml:space="preserve">Warm, open, helpful</t>
  </si>
  <si>
    <t xml:space="preserve">Pleased the problem is fixed and perhaps ready to leave.</t>
  </si>
  <si>
    <t xml:space="preserve">Close the first door ("glad that's sorted") before you open the next one ("anything else?").</t>
  </si>
  <si>
    <t xml:space="preserve">मुझे खुशी है कि यह ठीक हो गया। क्या आज मैं आपकी किसी और चीज़ में मदद कर सकता/सकती हूँ?</t>
  </si>
  <si>
    <t xml:space="preserve">Mujhe khushi hai ki yeh theek ho gaya. Kya aaj main aapki kisi aur cheez mein madad kar sakta/sakti hoon?</t>
  </si>
  <si>
    <t xml:space="preserve">Good, the problem is fixed. Do you need help with something else?</t>
  </si>
  <si>
    <t xml:space="preserve">It first confirms the problem is solved, then gives the customer a clear chance to raise another issue before the chat ends.</t>
  </si>
  <si>
    <t xml:space="preserve">Is there anything else I can help you with ___?</t>
  </si>
  <si>
    <t xml:space="preserve">Is + there + anything + else + (that) + I + can + base verb …?</t>
  </si>
  <si>
    <t xml:space="preserve">Use "anything" in questions ("anything else?") and "something" in offers ("something to drink?").</t>
  </si>
  <si>
    <t xml:space="preserve">Asking after the fix sounds caring. Asking it before the problem is solved sounds as if you want to end the chat.</t>
  </si>
  <si>
    <t xml:space="preserve">✗ Is there anything else I can help you today? → ✓ Is there anything else I can help you with today?</t>
  </si>
  <si>
    <t xml:space="preserve">"Anything else?" while the problem is still open — it suggests the issue is finished when it is not.</t>
  </si>
  <si>
    <t xml:space="preserve">Instead of "Any other query?", say "I'm glad that's sorted. Is there anything else I can help you with today?"</t>
  </si>
  <si>
    <t xml:space="preserve">Great, that's working now. Can I help with anything else?</t>
  </si>
  <si>
    <t xml:space="preserve">Happy to hear that's fixed! Is there anything else you need today?</t>
  </si>
  <si>
    <t xml:space="preserve">I'm pleased the issue is resolved. Is there anything else I can assist you with today?</t>
  </si>
  <si>
    <t xml:space="preserve">If it stops working again, Kiran, just message us here and we'll pick it up.</t>
  </si>
  <si>
    <t xml:space="preserve">no that's all, thanks · yes, one more thing · nope</t>
  </si>
  <si>
    <t xml:space="preserve">Customer: "yes, actually, my last bill looks wrong too" → Agent: "Of course. Could you tell me which amount looks wrong? I'll check it now."</t>
  </si>
  <si>
    <t xml:space="preserve">"Any other query?" is common in Indian support chats; international customers may find "query" formal and a little cold, so ask "anything else I can help you with?".</t>
  </si>
  <si>
    <t xml:space="preserve">Voice: the same line, said warmly and not rushed. Email: "If there's anything else I can help with, just reply to this email."</t>
  </si>
  <si>
    <t xml:space="preserve">Do not ask it on an unresolved case; tell the customer the next step and when they will hear back instead.</t>
  </si>
  <si>
    <t xml:space="preserve">Customer: it's working now | Agent: I'm glad that's sorted. Is there anything else I can help you with today? | Customer: no that's all, thanks | Agent: You're welcome, Kiran. Have a great day!</t>
  </si>
  <si>
    <t xml:space="preserve">Check the issue is resolved first, then ask "Is there anything else…?"; never ask it on an unresolved case.</t>
  </si>
  <si>
    <t xml:space="preserve">I'm glad that's sorted. Is there anything else I can help you ____ today?</t>
  </si>
  <si>
    <t xml:space="preserve">When should you ask "Is there anything else I can help you with?"</t>
  </si>
  <si>
    <t xml:space="preserve">A) In your very first message. | B) While you are still checking their order. | C) When the customer is angry, to change the topic. | D) After the customer confirms the problem is solved.</t>
  </si>
  <si>
    <t xml:space="preserve">The question assumes the issue is finished, so ask it only after the customer confirms. B is tempting, but it makes the customer feel rushed.</t>
  </si>
  <si>
    <t xml:space="preserve">help / Is / else / can / there / I / anything / with</t>
  </si>
  <si>
    <t xml:space="preserve">Is there anything else I can help with</t>
  </si>
  <si>
    <t xml:space="preserve">Kya main aapki aur kisi cheez mein madad kar sakti hoon?</t>
  </si>
  <si>
    <t xml:space="preserve">Is there anything else I can help you with?</t>
  </si>
  <si>
    <t xml:space="preserve">no that's all, thanks</t>
  </si>
  <si>
    <t xml:space="preserve">Great. I'll close the chat now. Thanks for getting in touch, Kiran, and take care!</t>
  </si>
  <si>
    <t xml:space="preserve">Partner B has just fixed Partner A's login problem. B confirms it works, asks the "anything else" question, and A raises a second, small billing question.</t>
  </si>
  <si>
    <t xml:space="preserve">Record yourself reading aloud both messages: the one confirming the fix and the one asking if there is anything else.</t>
  </si>
  <si>
    <t xml:space="preserve">Did you confirm the problem was solved first? · Did you finish with "help you with today"? · Did your voice rise at the end of the question?</t>
  </si>
  <si>
    <t xml:space="preserve">CSC-B-012</t>
  </si>
  <si>
    <t xml:space="preserve">I'm transferring you to our billing team now, because they can change your plan. I'll share our chat with them, so you won't need to repeat anything.</t>
  </si>
  <si>
    <t xml:space="preserve">The customer wants to change their plan, which only the billing team can do.</t>
  </si>
  <si>
    <t xml:space="preserve">Another team must handle this request. What three things do you tell the customer before you pass the chat on?</t>
  </si>
  <si>
    <t xml:space="preserve">i'm-trans-FER-ring-you · to-our-BILL-ing-TEAM-NOW · they-can-CHANGE-your-PLAN · i'll-SHARE-our-CHAT · you-WON'T-need-to-re-PEAT-an-y-thing</t>
  </si>
  <si>
    <t xml:space="preserve">If read aloud: transferring_you → "trans-fer-ing-yoo" · share_our → "shair-rour" · need_to → "nee-tuh"</t>
  </si>
  <si>
    <t xml:space="preserve">If read aloud: steady and reassuring; fall on "plan" and on "anything", with a short pause between the two sentences.</t>
  </si>
  <si>
    <t xml:space="preserve">If read aloud: the verb "transfer" is trans-FER, with the stress at the end (the noun is TRANS-fer). Say "won't" with a long "oh" (like "own" + t), so it is not heard as "want".</t>
  </si>
  <si>
    <t xml:space="preserve">Reassuring, clear, responsible</t>
  </si>
  <si>
    <t xml:space="preserve">Worried about being passed around and having to explain everything again.</t>
  </si>
  <si>
    <t xml:space="preserve">Hand over the baton with the notes taped to it: the next runner already knows the race.</t>
  </si>
  <si>
    <t xml:space="preserve">मैं अभी आपको हमारी बिलिंग टीम के पास ट्रांसफ़र कर रहा/रही हूँ, क्योंकि वे आपका प्लान बदल सकते हैं। मैं हमारी चैट उनके साथ शेयर करूँगा/करूँगी, ताकि आपको कुछ दोहराना न पड़े।</t>
  </si>
  <si>
    <t xml:space="preserve">Main abhi aapko hamari billing team ke paas transfer kar raha/rahi hoon, kyunki woh aapka plan badal sakte hain. Main hamari chat unke saath share karoonga/karoongi, taaki aapko kuch dohraana na pade.</t>
  </si>
  <si>
    <t xml:space="preserve">Another team will take over because they can make this change. They will see what we wrote, so you don't need to explain again.</t>
  </si>
  <si>
    <t xml:space="preserve">It says who, why and what happens to the information, so the customer does not feel dropped and will not have to type the problem again.</t>
  </si>
  <si>
    <t xml:space="preserve">I'm transferring you to ___, because ___. I'll share ___, so you won't need to ___.</t>
  </si>
  <si>
    <t xml:space="preserve">I'm + verb-ing + now · so + you + won't + need to + base verb</t>
  </si>
  <si>
    <t xml:space="preserve">"So" here gives the result: because I share the chat, you won't need to repeat anything.</t>
  </si>
  <si>
    <t xml:space="preserve">Giving the reason makes the transfer feel like help. "Transferring" on its own feels as if the agent is getting rid of the customer.</t>
  </si>
  <si>
    <t xml:space="preserve">✗ I'm transferring you to the billing team because they can to change your plan. → ✓ I'm transferring you to our billing team now, because they can change your plan.</t>
  </si>
  <si>
    <t xml:space="preserve">"That's not my department." — it sounds as if you do not care, and it gives no next step.</t>
  </si>
  <si>
    <t xml:space="preserve">Instead of "I can't do plan changes", say "I'm transferring you to our billing team now, because they can change your plan."</t>
  </si>
  <si>
    <t xml:space="preserve">Our billing team can make that change for you, so I'll connect you with them now. They'll see our chat, so there's no need to explain again.</t>
  </si>
  <si>
    <t xml:space="preserve">I'll pass you to a colleague in billing who can update your plan. I've added a note with all the details.</t>
  </si>
  <si>
    <t xml:space="preserve">I will now transfer you to our billing team, who can change your plan. I have shared our conversation with them, so you will not need to repeat any details.</t>
  </si>
  <si>
    <t xml:space="preserve">Is that all right with you? I'll stay in the chat until they join.</t>
  </si>
  <si>
    <t xml:space="preserve">ok · how long will it take? · can't you just do it?</t>
  </si>
  <si>
    <t xml:space="preserve">Customer: "can't you just do it?" → Agent: "I'd like to, but plan changes are handled by billing. I'll stay here until they join, so you're not left waiting alone."</t>
  </si>
  <si>
    <t xml:space="preserve">"Concerned team" and "concerned department" are common in Indian English; international customers may not expect them and want the team's real name ("our billing team").</t>
  </si>
  <si>
    <t xml:space="preserve">Voice: ask permission and brief your colleague before connecting (a warm transfer). Email: "I've passed your request to our billing team, and they will reply by tomorrow."</t>
  </si>
  <si>
    <t xml:space="preserve">Do not transfer if you can solve the problem yourself; every transfer costs the customer time.</t>
  </si>
  <si>
    <t xml:space="preserve">Customer: I want to change to the cheaper plan | Agent: I'm transferring you to our billing team now, because they can change your plan. I'll share our chat with them, so you won't need to repeat anything. | Customer: ok thanks | Agent: You're welcome. Ravi from billing will join you in about a minute.</t>
  </si>
  <si>
    <t xml:space="preserve">Transfer warm: say who and why, and pass on the details so the customer does not repeat themselves.</t>
  </si>
  <si>
    <t xml:space="preserve">I'll share our chat with them, so you won't need to ____ anything. (Hint: starts with "r")</t>
  </si>
  <si>
    <t xml:space="preserve">repeat</t>
  </si>
  <si>
    <t xml:space="preserve">The customer needs the billing team. Which transfer message is best?</t>
  </si>
  <si>
    <t xml:space="preserve">A) I can't change plans, sorry. I'm transferring you to another team now, so please wait a moment. | B) That's not my department, sorry. Please contact our billing team yourself through the website. | C) I'm transferring you to our billing team, because they can change your plan. I'll share our chat with them. | D) Billing handles plans, not me. I'm passing you to them now, but you may need to explain it all again.</t>
  </si>
  <si>
    <t xml:space="preserve">C names the team, gives the reason and saves the customer from repeating the story. A does not say which team or why, B sends the customer away, and D admits the customer will have to explain everything again.</t>
  </si>
  <si>
    <t xml:space="preserve">repeat / won't / anything / You / need / to</t>
  </si>
  <si>
    <t xml:space="preserve">You won't need to repeat anything</t>
  </si>
  <si>
    <t xml:space="preserve">Main aapko technical team ko transfer kar rahi hoon, kyunki woh yeh theek kar sakte hain.</t>
  </si>
  <si>
    <t xml:space="preserve">I'm transferring you to our technical team, because they can fix this.</t>
  </si>
  <si>
    <t xml:space="preserve">how long will it take?</t>
  </si>
  <si>
    <t xml:space="preserve">Ravi from billing should join in a minute or two. I'll stay here until he does.</t>
  </si>
  <si>
    <t xml:space="preserve">Partner A wants to upgrade their plan in a general support chat. Partner B explains the transfer to billing with a reason and reassures A; then A asks "can't you just do it?".</t>
  </si>
  <si>
    <t xml:space="preserve">Record yourself reading aloud your transfer message, then your answer when the customer asks "can't you just do it?".</t>
  </si>
  <si>
    <t xml:space="preserve">Did you name the team? · Did you give a reason? · Did you tell the customer they won't need to repeat themselves?</t>
  </si>
  <si>
    <t xml:space="preserve">CSC-B-013</t>
  </si>
  <si>
    <t xml:space="preserve">Could you tell me a bit more about what happened? For example, when did you first notice the problem?</t>
  </si>
  <si>
    <t xml:space="preserve">The customer wrote only "app not working", and you need more information before you can help.</t>
  </si>
  <si>
    <t xml:space="preserve">The customer's first message is very short and vague. How do you ask for more information and make it easy to answer?</t>
  </si>
  <si>
    <t xml:space="preserve">could-you-TELL-me-a-BIT-MORE · a-bout-what-HAP-pened · for-ex-AM-ple · when-did-you-FIRST-NO-tice-the-PROB-lem</t>
  </si>
  <si>
    <t xml:space="preserve">If read aloud: tell_me → "tel-mee" · what_happened → "wot-HAP-nd" (keep the "h") · first_notice → "firs-NO-tis" (the "t" of "first" is very light)</t>
  </si>
  <si>
    <t xml:space="preserve">If read aloud: rise on "happened?" (a yes/no request); fall on "problem?" (a wh- question).</t>
  </si>
  <si>
    <t xml:space="preserve">If read aloud: "happened" ends in "-nd" and has two syllables, HAP-pnd, not "hap-pen-ed". Say the "st" in "first" clearly; do not drop the "t".</t>
  </si>
  <si>
    <t xml:space="preserve">Curious, patient, helpful</t>
  </si>
  <si>
    <t xml:space="preserve">Frustrated, and maybe not sure how to describe the problem.</t>
  </si>
  <si>
    <t xml:space="preserve">Give the customer a handle to hold: "For example, when…?" is easier to answer than an empty "please explain".</t>
  </si>
  <si>
    <t xml:space="preserve">क्या आप मुझे थोड़ा और बता सकते हैं कि क्या हुआ? जैसे, आपने यह समस्या पहली बार कब देखी?</t>
  </si>
  <si>
    <t xml:space="preserve">Kya aap mujhe thoda aur bata sakte hain ki kya hua? Jaise, aapne yeh problem pehli baar kab dekhi?</t>
  </si>
  <si>
    <t xml:space="preserve">Please explain a little more. When did the problem start?</t>
  </si>
  <si>
    <t xml:space="preserve">An open request plus one example question helps customers who do not know which details matter, so you get useful facts in one reply.</t>
  </si>
  <si>
    <t xml:space="preserve">Could you tell me a bit more about ___? For example, ___?</t>
  </si>
  <si>
    <t xml:space="preserve">Could + you + tell + me + about + what + happened? · When + did + you + first + base verb …?</t>
  </si>
  <si>
    <t xml:space="preserve">Inside a request, keep normal word order: "tell me what happened", not "tell me what did happen".</t>
  </si>
  <si>
    <t xml:space="preserve">"A bit more" sounds gentle. "Your message is not clear" blames the customer for the problem.</t>
  </si>
  <si>
    <t xml:space="preserve">✗ Could you tell me a bit more about what did happen? → ✓ Could you tell me a bit more about what happened?</t>
  </si>
  <si>
    <t xml:space="preserve">"Your message is not clear." — it blames the customer instead of helping them explain.</t>
  </si>
  <si>
    <t xml:space="preserve">Instead of "I don't understand your problem", say "Could you tell me a bit more about what happened? For example, when did you first notice the problem?"</t>
  </si>
  <si>
    <t xml:space="preserve">I'm sorry the app isn't working. What happens when you open it?</t>
  </si>
  <si>
    <t xml:space="preserve">Could you describe what you see on the screen? For example, is there an error message?</t>
  </si>
  <si>
    <t xml:space="preserve">Could you please give me a few more details about the issue, such as when it started?</t>
  </si>
  <si>
    <t xml:space="preserve">Thanks, that helps. Have you tried closing the app and opening it again?</t>
  </si>
  <si>
    <t xml:space="preserve">since yesterday · it just shows a white screen · after the update</t>
  </si>
  <si>
    <t xml:space="preserve">Customer: "i already told you it's not working!" → Agent: "I know that's frustrating, and I want to fix it quickly. Knowing when it started helps me find the cause faster."</t>
  </si>
  <si>
    <t xml:space="preserve">"Please elaborate your issue" is common in Indian business English; international customers may find it formal and cold, so ask one simple, specific question.</t>
  </si>
  <si>
    <t xml:space="preserve">Voice: ask one question at a time and wait for the answer. Email: list two or three short, numbered questions.</t>
  </si>
  <si>
    <t xml:space="preserve">Do not ask for more details if the customer has already explained clearly; repeat back what you understood and act instead.</t>
  </si>
  <si>
    <t xml:space="preserve">Customer: app not working | Agent: I'm sorry the app isn't working. Could you tell me a bit more about what happened? For example, when did you first notice the problem? | Customer: since the update yesterday | Agent: Thanks, that helps. Let me check what changed in that update.</t>
  </si>
  <si>
    <t xml:space="preserve">If you are unsure, ask a clarifying question first instead of guessing or sending a canned reply.</t>
  </si>
  <si>
    <t xml:space="preserve">Could you tell me a bit more about what ____? For example, when did you first notice the problem? (Hint: the past tense of "happen")</t>
  </si>
  <si>
    <t xml:space="preserve">happened</t>
  </si>
  <si>
    <t xml:space="preserve">Which follow-up question is easiest for a customer to answer?</t>
  </si>
  <si>
    <t xml:space="preserve">A) Can you explain the whole problem again in more detail? | B) What exactly is wrong with your app? Please be specific. | C) When did you first notice the problem? Was it today or earlier? | D) Why did you only write three words? Please write more.</t>
  </si>
  <si>
    <t xml:space="preserve">C asks one specific question the customer can answer quickly. A and B ask for everything at once, and D blames the customer for writing a short message.</t>
  </si>
  <si>
    <t xml:space="preserve">happened / about / tell / a / Could / what / bit / more / me / you</t>
  </si>
  <si>
    <t xml:space="preserve">Could you tell me a bit more about what happened</t>
  </si>
  <si>
    <t xml:space="preserve">Kya aap thoda aur bata sakte hain? Yeh kab se ho raha hai?</t>
  </si>
  <si>
    <t xml:space="preserve">Could you tell me a bit more? When did this start?</t>
  </si>
  <si>
    <t xml:space="preserve">it just shows a white screen</t>
  </si>
  <si>
    <t xml:space="preserve">Thanks, that helps. Does the white screen appear straight away, or after you log in?</t>
  </si>
  <si>
    <t xml:space="preserve">Partner A writes only "card not working". Partner B asks for more detail with one example question and keeps asking short questions until they know when and where the card fails.</t>
  </si>
  <si>
    <t xml:space="preserve">Record yourself reading aloud your request for more details and your next message after the customer answers.</t>
  </si>
  <si>
    <t xml:space="preserve">Did you give an example question? · Did you avoid blaming the customer? · Did you write "what happened", not "what did happen"?</t>
  </si>
  <si>
    <t xml:space="preserve">CSC-B-014</t>
  </si>
  <si>
    <t xml:space="preserve">Thank you for your patience today, Fatima. Your new card will arrive by Friday.</t>
  </si>
  <si>
    <t xml:space="preserve">The chat took a long time because of several checks; you can now see the new card has been posted with delivery booked for Friday, and you are closing the chat.</t>
  </si>
  <si>
    <t xml:space="preserve">The chat was long and the customer waited a lot. What do you thank them for at the end, and what do you remind them of?</t>
  </si>
  <si>
    <t xml:space="preserve">THANK-you-for-your-PA-tience-to-DAY-FA-ti-ma · your-NEW-CARD · will-ar-RIVE-by-FRI-day</t>
  </si>
  <si>
    <t xml:space="preserve">If read aloud: thank_you → "thang-kyoo" · for_your → "fer-yor" · card_will → "car-dwil"</t>
  </si>
  <si>
    <t xml:space="preserve">If read aloud: a warm fall on "Fatima"; a clear, falling statement for the next step, with stress on "Friday".</t>
  </si>
  <si>
    <t xml:space="preserve">If read aloud: "patience" is PAY-shuns, two syllables, the same sound as "patients"; do not say "pa-ti-ence".</t>
  </si>
  <si>
    <t xml:space="preserve">Grateful, warm, clear</t>
  </si>
  <si>
    <t xml:space="preserve">Tired after a long chat but relieved the problem is handled.</t>
  </si>
  <si>
    <t xml:space="preserve">Patience is a gift the customer gave you: say thank you for the gift, then tell them when their card arrives.</t>
  </si>
  <si>
    <t xml:space="preserve">आज धैर्य रखने के लिए धन्यवाद, फ़ातिमा। आपका नया कार्ड शुक्रवार तक पहुँच जाएगा।</t>
  </si>
  <si>
    <t xml:space="preserve">Aaj dhairya rakhne ke liye dhanyavaad, Fatima. Aapka naya card Shukravaar tak pahunch jayega.</t>
  </si>
  <si>
    <t xml:space="preserve">Thanks for waiting so long today. You will get your new card on or before Friday.</t>
  </si>
  <si>
    <t xml:space="preserve">It recognises the effort the customer made and ends with a clear next step and date, so they leave knowing exactly what will happen.</t>
  </si>
  <si>
    <t xml:space="preserve">Thank you for your patience, ___. + next step with a date</t>
  </si>
  <si>
    <t xml:space="preserve">Thank you + for + your + noun · Subject + will + base verb + by + day</t>
  </si>
  <si>
    <t xml:space="preserve">"By Friday" means "on or before Friday"; "till Friday" means "continuing up to Friday".</t>
  </si>
  <si>
    <t xml:space="preserve">Thanking for patience sounds respectful. "Sorry for wasting your time" sounds negative and puts the focus back on the problem.</t>
  </si>
  <si>
    <t xml:space="preserve">✗ Your new card will reach till Friday. → ✓ Your new card will arrive by Friday.</t>
  </si>
  <si>
    <t xml:space="preserve">"Thanks for your patience." with no next step — it sounds like a script, and the customer still does not know what happens now.</t>
  </si>
  <si>
    <t xml:space="preserve">Instead of "Sorry for wasting your time", say "Thank you for your patience today, Fatima. Your new card will arrive by Friday."</t>
  </si>
  <si>
    <t xml:space="preserve">Thanks so much for bearing with me, Fatima. Your new card is on its way and should arrive by Friday.</t>
  </si>
  <si>
    <t xml:space="preserve">I really appreciate your patience today. Your replacement card will be with you by Friday.</t>
  </si>
  <si>
    <t xml:space="preserve">Thank you for your patience throughout this chat, Ms Khan. Your new card will be delivered by Friday.</t>
  </si>
  <si>
    <t xml:space="preserve">Is there anything else I can help you with today?</t>
  </si>
  <si>
    <t xml:space="preserve">thanks for your help · great, thanks · what if it doesn't come?</t>
  </si>
  <si>
    <t xml:space="preserve">Customer: "this took over an hour, why so long?" → Agent: "I'm sorry the chat took so long. Several checks were needed on your account, and I wanted to get it right. Your card will arrive by Friday."</t>
  </si>
  <si>
    <t xml:space="preserve">"Will reach till Friday" mixes up "till" and "by"; international customers expect "by Friday" for a deadline.</t>
  </si>
  <si>
    <t xml:space="preserve">Voice: "Thank you for your patience, Fatima," said slowly and warmly. Email: "Thank you for your patience while we sorted this out."</t>
  </si>
  <si>
    <t xml:space="preserve">Do not use it after a very short wait, because it can sound scripted; write "Thanks for waiting" instead.</t>
  </si>
  <si>
    <t xml:space="preserve">Customer: so is it done now? | Agent: Yes. Thank you for your patience today, Fatima. Your new card will arrive by Friday. | Customer: great, thanks for your help | Agent: You're welcome. Have a lovely evening!</t>
  </si>
  <si>
    <t xml:space="preserve">Close by summarising the next step with a clear time.</t>
  </si>
  <si>
    <t xml:space="preserve">Thank you for your ____ today, Fatima. Your new card will arrive by Friday. (Hint: the noun for waiting calmly)</t>
  </si>
  <si>
    <t xml:space="preserve">patience</t>
  </si>
  <si>
    <t xml:space="preserve">The new card will come on Thursday or Friday. Which sentence is correct?</t>
  </si>
  <si>
    <t xml:space="preserve">A) It will arrive till Friday. | B) It will arrive until Friday. | C) It will arrive up to Friday. | D) It will arrive by Friday.</t>
  </si>
  <si>
    <t xml:space="preserve">D is right: "by Friday" means on or before Friday. "Till" and "until" mean an action continues up to that time, so they do not fit "arrive", and "up to Friday" is not used for a deadline.</t>
  </si>
  <si>
    <t xml:space="preserve">patience / you / your / Thank / for</t>
  </si>
  <si>
    <t xml:space="preserve">Thank you for your patience</t>
  </si>
  <si>
    <t xml:space="preserve">Aapke dhairya ke liye shukriya. Aapka refund Somvaar tak aa jayega.</t>
  </si>
  <si>
    <t xml:space="preserve">Thank you for your patience. Your refund will arrive by Monday.</t>
  </si>
  <si>
    <t xml:space="preserve">what if it doesn't come?</t>
  </si>
  <si>
    <t xml:space="preserve">If it hasn't arrived by Friday, start a chat with us and quote case number 7741, and we'll look into it straight away.</t>
  </si>
  <si>
    <t xml:space="preserve">Partner B has spent a long chat helping Partner A replace a lost card. B thanks A for their patience, gives the delivery day, and answers A's worry about what to do if it does not arrive.</t>
  </si>
  <si>
    <t xml:space="preserve">Record yourself reading aloud your closing message with the thank-you and the next step, then your reply to "what if it doesn't come?".</t>
  </si>
  <si>
    <t xml:space="preserve">Did you thank the customer for their patience? · Did you give a clear next step with a day? · Did you write "by Friday", not "till Friday"?</t>
  </si>
  <si>
    <t xml:space="preserve">CSC-B-015</t>
  </si>
  <si>
    <t xml:space="preserve">hi good morning</t>
  </si>
  <si>
    <t xml:space="preserve">A customer opens the chat with only a greeting and does not mention a problem yet.</t>
  </si>
  <si>
    <t xml:space="preserve">A customer sends only a greeting and nothing else. What do they want, and how fast should you reply?</t>
  </si>
  <si>
    <t xml:space="preserve">HI · good-MOR-ning</t>
  </si>
  <si>
    <t xml:space="preserve">If read aloud: good_morning → "gud-MOR-ning" · hi_good → "high-gud"</t>
  </si>
  <si>
    <t xml:space="preserve">If read aloud: friendly and slightly rising; the customer is opening the door, not complaining.</t>
  </si>
  <si>
    <t xml:space="preserve">If you read your reply aloud, "morning" ends in a clean "ng"; do not add a hard "g" after it ("mor-ning-guh").</t>
  </si>
  <si>
    <t xml:space="preserve">Polite opening, testing the line</t>
  </si>
  <si>
    <t xml:space="preserve">Unsure whether a real person is there, and waiting to see if anyone answers.</t>
  </si>
  <si>
    <t xml:space="preserve">"Hi" is a knock on the door: open it fast, smile, and ask how you can help.</t>
  </si>
  <si>
    <t xml:space="preserve">हाय, आपको सुप्रभात।</t>
  </si>
  <si>
    <t xml:space="preserve">Hi, aapko suprabhaat.</t>
  </si>
  <si>
    <t xml:space="preserve">The customer is saying hello and checking that someone is there before explaining the problem.</t>
  </si>
  <si>
    <t xml:space="preserve">Many customers send a greeting first to see whether a person will answer. A quick, warm reply with your name and an open question invites them to explain the problem.</t>
  </si>
  <si>
    <t xml:space="preserve">hi + a greeting, with no problem yet</t>
  </si>
  <si>
    <t xml:space="preserve">Greeting only: hi + time-of-day greeting</t>
  </si>
  <si>
    <t xml:space="preserve">Customers often skip capitals and commas in chat; this is normal and not rude.</t>
  </si>
  <si>
    <t xml:space="preserve">The customer is being polite. A slow reply or a long script can turn a polite start into a frustrated one.</t>
  </si>
  <si>
    <t xml:space="preserve">✗ Good morning! I am Kabir, how can I help to you today? → ✓ Good morning! I'm Kabir from [Company]. How can I help you today?</t>
  </si>
  <si>
    <t xml:space="preserve">"Please state your issue." — it is cold and robotic after a friendly greeting.</t>
  </si>
  <si>
    <t xml:space="preserve">Instead of "State your query", say "Good morning! I'm Kabir. How can I help you today?"</t>
  </si>
  <si>
    <t xml:space="preserve">hello good afternoon</t>
  </si>
  <si>
    <t xml:space="preserve">hi, hello sir</t>
  </si>
  <si>
    <t xml:space="preserve">Good morning, I hope you can help me.</t>
  </si>
  <si>
    <t xml:space="preserve">Good morning! I'm Kabir from [Company]. How can I help you today?</t>
  </si>
  <si>
    <t xml:space="preserve">my order is late · i need to change my address · i have a question about my bill</t>
  </si>
  <si>
    <t xml:space="preserve">Customer: "hello?? anyone?" → Agent: "Yes, I'm here! Sorry for the wait. I'm Kabir. How can I help you today?"</t>
  </si>
  <si>
    <t xml:space="preserve">Agents in India often reply "Good morning, sir" or "madam" to every customer; international customers may not expect this, so use "Good morning!" and the customer's name if you have it, then move to the problem quickly.</t>
  </si>
  <si>
    <t xml:space="preserve">Voice: the caller usually says hello after your greeting. Email: customers rarely send a greeting alone, so this is mostly a chat habit.</t>
  </si>
  <si>
    <t xml:space="preserve">Do not reply with only "hi" back; that wastes a turn. Add your name and an open question.</t>
  </si>
  <si>
    <t xml:space="preserve">Customer: hi good morning | Agent: Good morning! I'm Kabir from [Company]. How can I help you today? | Customer: my parcel hasn't come | Agent: I'm sorry your parcel hasn't arrived. Could you share your order number so I can check?</t>
  </si>
  <si>
    <t xml:space="preserve">Chat: reply fast, greet with your name, and ask an open question.</t>
  </si>
  <si>
    <t xml:space="preserve">Good ____! I'm Kabir from [Company]. How can I help you today? (Hint: return the customer's greeting)</t>
  </si>
  <si>
    <t xml:space="preserve">morning</t>
  </si>
  <si>
    <t xml:space="preserve">A customer types only "hi good morning". What is the best reply?</t>
  </si>
  <si>
    <t xml:space="preserve">A) Good morning! I'm Kabir from [Company]. How can I help you today? | B) Good morning. Please type your order number so I can start. | C) Hello. What is your problem? Please write it clearly in one message. | D) Wait until the customer types the problem, then answer with a greeting.</t>
  </si>
  <si>
    <t xml:space="preserve">A replies quickly with a name and an open question. D is tempting, but the customer may be waiting to see whether anyone is there; B asks for details before knowing the problem, and C sounds blunt.</t>
  </si>
  <si>
    <t xml:space="preserve">help / Kabir / morning / can / I'm / How / Good / I</t>
  </si>
  <si>
    <t xml:space="preserve">Good morning I'm Kabir How can I help</t>
  </si>
  <si>
    <t xml:space="preserve">Suprabhaat! Main [Company] se Kabir hoon. Bataiye, aaj main aapki kya madad kar sakta hoon?</t>
  </si>
  <si>
    <t xml:space="preserve">i want to return my shoes</t>
  </si>
  <si>
    <t xml:space="preserve">Sure, I can help with that. Could you share your order number?</t>
  </si>
  <si>
    <t xml:space="preserve">Partner A opens a chat with only "hi good morning" and waits. Partner B replies within a few seconds with a greeting, their name and an open question, then handles A's return request.</t>
  </si>
  <si>
    <t xml:space="preserve">Record yourself reading aloud your reply to "hi good morning", then your reply when the customer explains they want to return something.</t>
  </si>
  <si>
    <t xml:space="preserve">Did you reply with more than "hi"? · Did you give your name? · Did you ask an open question?</t>
  </si>
  <si>
    <t xml:space="preserve">CSC-B-016</t>
  </si>
  <si>
    <t xml:space="preserve">need help with my order</t>
  </si>
  <si>
    <t xml:space="preserve">The customer's first real message names their order but not the problem.</t>
  </si>
  <si>
    <t xml:space="preserve">The customer names their order but not what is wrong. What two things do you need from them?</t>
  </si>
  <si>
    <t xml:space="preserve">NEED-HELP · with-my-OR-der</t>
  </si>
  <si>
    <t xml:space="preserve">If read aloud: need_help → "nee-dhelp" · with_my → "wi-my"</t>
  </si>
  <si>
    <t xml:space="preserve">If read aloud: flat and falling; it may hide worry or frustration, so read the next messages carefully.</t>
  </si>
  <si>
    <t xml:space="preserve">If you read your reply aloud, say "order" as OR-der: put the tongue just behind the top teeth for the "d" (not curled back) and end with a soft "uh", not a full "ar".</t>
  </si>
  <si>
    <t xml:space="preserve">Short, direct request</t>
  </si>
  <si>
    <t xml:space="preserve">Possibly worried or irritated, and wants to get to the point quickly.</t>
  </si>
  <si>
    <t xml:space="preserve">The customer handed you a closed box labelled "order"; your open question is the key that opens it.</t>
  </si>
  <si>
    <t xml:space="preserve">मुझे अपने ऑर्डर के बारे में मदद चाहिए।</t>
  </si>
  <si>
    <t xml:space="preserve">Mujhe apne order ke baare mein madad chahiye.</t>
  </si>
  <si>
    <t xml:space="preserve">I have a problem or a question about something I bought.</t>
  </si>
  <si>
    <t xml:space="preserve">The customer has named the topic, not the problem. It could be tracking, a change, a return or a complaint, so ask for the order number and one open question before you guess.</t>
  </si>
  <si>
    <t xml:space="preserve">need help with ___</t>
  </si>
  <si>
    <t xml:space="preserve">(I) + need + help + with + my + noun</t>
  </si>
  <si>
    <t xml:space="preserve">In chat, people often drop "I" at the start: "need help" means "I need help".</t>
  </si>
  <si>
    <t xml:space="preserve">The short style is normal in chat, not rudeness. A sharp "What is the problem?" back sounds impatient; "Sure, I can help" sounds ready.</t>
  </si>
  <si>
    <t xml:space="preserve">✗ Tell me the problem. → ✓ Sure, I can help with that. Could you tell me what's happening with your order?</t>
  </si>
  <si>
    <t xml:space="preserve">"Which order? Give details." — it sounds impatient and makes the customer feel they did something wrong.</t>
  </si>
  <si>
    <t xml:space="preserve">Instead of "What is your problem?", say "Sure, I can help. What's happening with your order?"</t>
  </si>
  <si>
    <t xml:space="preserve">i have a problem with my order</t>
  </si>
  <si>
    <t xml:space="preserve">question about my order pls</t>
  </si>
  <si>
    <t xml:space="preserve">Hello, I need some help with a recent order.</t>
  </si>
  <si>
    <t xml:space="preserve">Sure, I can help with that. Could you share your order number and tell me what's happening?</t>
  </si>
  <si>
    <t xml:space="preserve">it hasn't arrived · i want to cancel it · wrong size</t>
  </si>
  <si>
    <t xml:space="preserve">Customer: "just check it, you have my email" → Agent: "Of course, I can look you up by your email. To open the right order, could you tell me what you ordered or roughly when?"</t>
  </si>
  <si>
    <t xml:space="preserve">Some customers write "I have one query regarding my order" (a common Indian-English style) and others write "need help with my order"; both mean the same, so answer the need, not the wording.</t>
  </si>
  <si>
    <t xml:space="preserve">Voice: "I'm calling about my order." Email: the subject may just say "Order 61834", so read the body for the real problem.</t>
  </si>
  <si>
    <t xml:space="preserve">Do not send a tracking link straight away; the customer may want to cancel or return, not track.</t>
  </si>
  <si>
    <t xml:space="preserve">Customer: need help with my order | Agent: Sure, I can help with that. Could you share your order number and tell me what's happening? | Customer: ORD-61834, wrong size | Agent: Thanks. I'm sorry the size is wrong. Let me set up an exchange for you.</t>
  </si>
  <si>
    <t xml:space="preserve">Ask a clarifying question first; use a canned reply only when it fully fits.</t>
  </si>
  <si>
    <t xml:space="preserve">Sure, I can help with that. Could you share your order ____ and tell me what's happening? (Hint: starts with "n")</t>
  </si>
  <si>
    <t xml:space="preserve">number</t>
  </si>
  <si>
    <t xml:space="preserve">The customer writes "need help with my order". What is the best first reply?</t>
  </si>
  <si>
    <t xml:space="preserve">A) Sure, I can help. What's happening with your order, and what is the order number? | B) Here is the tracking link for your latest order. Is there anything else I can help with? | C) I'm transferring you to our returns team now so they can help with your order. | D) Please read our delivery and returns rules first, then tell me your question.</t>
  </si>
  <si>
    <t xml:space="preserve">The customer has not said the problem yet, so A reassures and asks. B is tempting because many order questions are about tracking, but it is only a guess; C guesses a return, and D makes the customer read rules first.</t>
  </si>
  <si>
    <t xml:space="preserve">what's / tell / Could / happening / me / you</t>
  </si>
  <si>
    <t xml:space="preserve">Could you tell me what's happening</t>
  </si>
  <si>
    <t xml:space="preserve">Ji zaroor, main madad kar sakti hoon. Kya aap apna order number bata sakte hain?</t>
  </si>
  <si>
    <t xml:space="preserve">it was supposed to come yesterday</t>
  </si>
  <si>
    <t xml:space="preserve">I'm sorry your order hasn't arrived. Let me check where it is now.</t>
  </si>
  <si>
    <t xml:space="preserve">Partner A writes only "need help with my order" and waits. Partner B replies with reassurance, asks for the order number and an open question, and finds out that A wants to change the size.</t>
  </si>
  <si>
    <t xml:space="preserve">Record yourself reading aloud your reply to "need help with my order" and your next message once the customer explains the problem.</t>
  </si>
  <si>
    <t xml:space="preserve">Did you reassure the customer first? · Did you ask what is happening instead of guessing? · Did you ask for the order number?</t>
  </si>
  <si>
    <t xml:space="preserve">CSC-B-017</t>
  </si>
  <si>
    <t xml:space="preserve">recieved wrong item</t>
  </si>
  <si>
    <t xml:space="preserve">The customer opens a chat after unpacking a parcel and finding something they did not order.</t>
  </si>
  <si>
    <t xml:space="preserve">A customer types a short, misspelt message about getting the wrong product. What do they feel, and what do they need first?</t>
  </si>
  <si>
    <t xml:space="preserve">re-CEIVED · WRONG · I-tem</t>
  </si>
  <si>
    <t xml:space="preserve">If read aloud: wrong_item → "rong-eye-tem" (the "g" in "wrong" is silent, and "ng" runs into "item")</t>
  </si>
  <si>
    <t xml:space="preserve">If read aloud: flat and falling; a short, annoyed report of a problem.</t>
  </si>
  <si>
    <t xml:space="preserve">If you read your reply aloud, "received" is ri-SEEVD, ending in one "vd" sound, not "ri-see-ved"; the "v" needs the top teeth on the lower lip.</t>
  </si>
  <si>
    <t xml:space="preserve">Annoyed, short complaint</t>
  </si>
  <si>
    <t xml:space="preserve">Disappointed and annoyed, and worried about the trouble of sending it back.</t>
  </si>
  <si>
    <t xml:space="preserve">The spelling doesn't matter, the box does: they opened it and found someone else's present.</t>
  </si>
  <si>
    <t xml:space="preserve">मुझे गलत सामान मिला है।</t>
  </si>
  <si>
    <t xml:space="preserve">Mujhe galat saamaan mila hai.</t>
  </si>
  <si>
    <t xml:space="preserve">The product I got is not the one I ordered.</t>
  </si>
  <si>
    <t xml:space="preserve">The customer typed fast and misspelt "received", which shows they are annoyed and want action. They need an apology for this exact problem and a quick, easy fix, not a spelling check.</t>
  </si>
  <si>
    <t xml:space="preserve">(I) received + the wrong + noun</t>
  </si>
  <si>
    <t xml:space="preserve">(I) + received + (the) + wrong + item</t>
  </si>
  <si>
    <t xml:space="preserve">The correct spelling is "received" ("i before e, except after c"); the typo does not change the meaning.</t>
  </si>
  <si>
    <t xml:space="preserve">Never correct a customer's spelling. Replying in clear, warm English and ignoring the typo is the polite choice.</t>
  </si>
  <si>
    <t xml:space="preserve">✗ I'm sorry you received wrong item. Tell me what item came? → ✓ I'm sorry you received the wrong item. Could you tell me what arrived instead?</t>
  </si>
  <si>
    <t xml:space="preserve">"Are you sure you ordered the right one?" — it suggests the customer made the mistake before you have even checked.</t>
  </si>
  <si>
    <t xml:space="preserve">Instead of "You must return it first", say "I'm sorry you received the wrong item. Let me check your order and get the right one to you."</t>
  </si>
  <si>
    <t xml:space="preserve">got the wrong thing in my parcel</t>
  </si>
  <si>
    <t xml:space="preserve">this isn't what I ordered</t>
  </si>
  <si>
    <t xml:space="preserve">I have received an item that is different from the one I ordered.</t>
  </si>
  <si>
    <t xml:space="preserve">I'm sorry you received the wrong item. Could you share your order number and tell me what arrived instead?</t>
  </si>
  <si>
    <t xml:space="preserve">ordered a blue kettle, got a toaster · ORD-72405 · do i have to pay to send it back?</t>
  </si>
  <si>
    <t xml:space="preserve">Customer: "why did you send me the wrong thing?" → Agent: "I'm sorry this happened. I don't know yet what went wrong, and I don't want to guess. What I can do is check your order now and get the right item to you as quickly as possible."</t>
  </si>
  <si>
    <t xml:space="preserve">Customers from every country misspell and skip words in chat; respond to the meaning. Avoid "Sorry for the inconvenience caused", which international customers often read as a template.</t>
  </si>
  <si>
    <t xml:space="preserve">Voice: the caller will say "I've received the wrong item"; listen for frustration in the voice. Email: they may attach a photo, so thank them for it.</t>
  </si>
  <si>
    <t xml:space="preserve">Do not ask the customer to "check again" before you check the order yourself; it suggests they are wrong.</t>
  </si>
  <si>
    <t xml:space="preserve">Customer: recieved wrong item | Agent: I'm sorry you received the wrong item. Could you share your order number and tell me what arrived instead? | Customer: ORD-72405, i got a toaster not a kettle | Agent: Thank you. I can see the mix-up on your order, so I'll send the kettle today and email you a free return label for the toaster.</t>
  </si>
  <si>
    <t xml:space="preserve">Apologise specifically and offer a fix; no emoji with a complaint.</t>
  </si>
  <si>
    <t xml:space="preserve">I'm sorry you ____ the wrong item. Could you tell me what arrived instead? (Hint: the customer misspelt this word)</t>
  </si>
  <si>
    <t xml:space="preserve">received</t>
  </si>
  <si>
    <t xml:space="preserve">What does the customer mainly want when they type "recieved wrong item"?</t>
  </si>
  <si>
    <t xml:space="preserve">A) A polite correction of their spelling, so the chat is clear. | B) A reply asking them to check their order again carefully. | C) A message explaining how the warehouse packs parcels. | D) A quick apology, then help to get the right item.</t>
  </si>
  <si>
    <t xml:space="preserve">D is right: they want the mistake fixed fast. C is tempting if you think they want to know why it happened, but first they need the right item; B suggests the customer is wrong, and A feels rude.</t>
  </si>
  <si>
    <t xml:space="preserve">wrong / sorry / received / I'm / the / item / you</t>
  </si>
  <si>
    <t xml:space="preserve">I'm sorry you received the wrong item</t>
  </si>
  <si>
    <t xml:space="preserve">Mujhe afsos hai ki aapko galat item mila. Kya aap bata sakte hain ki uski jagah kya aaya?</t>
  </si>
  <si>
    <t xml:space="preserve">I'm sorry you received the wrong item. Could you tell me what arrived instead?</t>
  </si>
  <si>
    <t xml:space="preserve">do i have to pay to send it back?</t>
  </si>
  <si>
    <t xml:space="preserve">Let me check your order first. If we sent the wrong item, the return is free, and I'll email you a prepaid label today.</t>
  </si>
  <si>
    <t xml:space="preserve">Partner A types "recieved wrong item" and is annoyed. Partner B apologises for that exact problem, asks what arrived, checks the order, and then arranges the correct item and a free return.</t>
  </si>
  <si>
    <t xml:space="preserve">Record yourself reading aloud your reply to "recieved wrong item" and the message where you explain the fix.</t>
  </si>
  <si>
    <t xml:space="preserve">Did you ignore the spelling mistake? · Did you name the problem in your apology? · Did you offer a clear fix?</t>
  </si>
  <si>
    <t xml:space="preserve">CSC-B-018</t>
  </si>
  <si>
    <t xml:space="preserve">pls help asap</t>
  </si>
  <si>
    <t xml:space="preserve">The customer's first message is short and urgent, with no details yet.</t>
  </si>
  <si>
    <t xml:space="preserve">A customer sends a short, urgent message full of short forms and no details. What do they feel, and how should your reply look?</t>
  </si>
  <si>
    <t xml:space="preserve">PLEASE · HELP · AY-sap (or A-S-A-P, letter by letter)</t>
  </si>
  <si>
    <t xml:space="preserve">If read aloud: please_help → "pleez-help" · help_asap → "hel-pay-sap"</t>
  </si>
  <si>
    <t xml:space="preserve">If read aloud: fast and urgent, with strong stress on "help"; the customer is stressed.</t>
  </si>
  <si>
    <t xml:space="preserve">If you read your reply aloud, "please" ends in a "z" sound (pleez), not an "s"; avoid "pliss".</t>
  </si>
  <si>
    <t xml:space="preserve">Urgent, stressed, informal</t>
  </si>
  <si>
    <t xml:space="preserve">Stressed and in a hurry, perhaps worried about money or a deadline.</t>
  </si>
  <si>
    <t xml:space="preserve">It's a fire alarm: answer it in seconds, short and steady, then ask where the fire is.</t>
  </si>
  <si>
    <t xml:space="preserve">कृपया जल्दी से जल्दी मदद कीजिए।</t>
  </si>
  <si>
    <t xml:space="preserve">Kripya jaldi se jaldi madad kijiye.</t>
  </si>
  <si>
    <t xml:space="preserve">Please help me as soon as possible. ("pls" = please, "asap" = as soon as possible.)</t>
  </si>
  <si>
    <t xml:space="preserve">The customer feels the problem is urgent. They need a fast, short reply that shows someone is acting now, plus one quick question to find the problem.</t>
  </si>
  <si>
    <t xml:space="preserve">pls help asap = please help as soon as possible</t>
  </si>
  <si>
    <t xml:space="preserve">pls (please) + help + asap (as soon as possible)</t>
  </si>
  <si>
    <t xml:space="preserve">Customers may use short forms; agents should understand them but always reply in full words.</t>
  </si>
  <si>
    <t xml:space="preserve">Reply fast and short. A long, scripted greeting feels slow to an urgent customer, and shorthand in your reply looks unprofessional.</t>
  </si>
  <si>
    <t xml:space="preserve">✗ Pls tell ur issue. → ✓ I'm here and I'll help you right now. What's happening?</t>
  </si>
  <si>
    <t xml:space="preserve">"Please be patient, all agents are busy." — the customer already has someone, so it makes them feel ignored.</t>
  </si>
  <si>
    <t xml:space="preserve">Instead of "Please be patient", say "I'm here and I'll help you right now. What's happening?"</t>
  </si>
  <si>
    <t xml:space="preserve">urgent help needed!!</t>
  </si>
  <si>
    <t xml:space="preserve">plz someone help me quickly</t>
  </si>
  <si>
    <t xml:space="preserve">I need urgent help, please.</t>
  </si>
  <si>
    <t xml:space="preserve">I'm here and I'll help you right now. What's happening?</t>
  </si>
  <si>
    <t xml:space="preserve">money taken but order failed · can't log in, need my ticket now · card blocked</t>
  </si>
  <si>
    <t xml:space="preserve">Customer: "hurry up!!" → Agent: "I'm on it. I can see the payment now, and I'll update you in two minutes."</t>
  </si>
  <si>
    <t xml:space="preserve">Shorthand like "pls", "asap" and "u" comes from customers everywhere. Some agents copy it back to sound friendly, but international customers expect full, plain words from the agent.</t>
  </si>
  <si>
    <t xml:space="preserve">Voice: the caller sounds rushed, so keep your own pace steady and slightly slower. Email: the subject may say "URGENT"; reply quickly and say when you will act.</t>
  </si>
  <si>
    <t xml:space="preserve">Do not copy the customer's shorthand back ("pls wait"); always write in full words.</t>
  </si>
  <si>
    <t xml:space="preserve">Customer: pls help asap | Agent: I'm here and I'll help you right now. What's happening? | Customer: money taken but order failed | Agent: I'm sorry your payment was taken but the order failed. I'm checking it now. What email address did you order with?</t>
  </si>
  <si>
    <t xml:space="preserve">If the customer sounds urgent, reply briefly and at once; no shorthand from the agent.</t>
  </si>
  <si>
    <t xml:space="preserve">I'm here and I'll help you right ____. What's happening? (Hint: the opposite of "later")</t>
  </si>
  <si>
    <t xml:space="preserve">now</t>
  </si>
  <si>
    <t xml:space="preserve">What does "asap" mean in "pls help asap"?</t>
  </si>
  <si>
    <t xml:space="preserve">A) As slowly as possible | B) As simply as possible | C) As carefully as possible | D) As soon as possible</t>
  </si>
  <si>
    <t xml:space="preserve">"Asap" stands for "as soon as possible", so the customer wants a fast reply. The other options are real phrases, but the "s" in "asap" stands for "soon", not "slowly", "simply" or "carefully".</t>
  </si>
  <si>
    <t xml:space="preserve">right / help / I'll / you / now</t>
  </si>
  <si>
    <t xml:space="preserve">I'll help you right now</t>
  </si>
  <si>
    <t xml:space="preserve">Main yahin hoon aapki madad ke liye. Kya hua hai?</t>
  </si>
  <si>
    <t xml:space="preserve">I'm here to help. What's happened?</t>
  </si>
  <si>
    <t xml:space="preserve">can't log in, need my ticket now</t>
  </si>
  <si>
    <t xml:space="preserve">I'm sorry you're locked out. What's the email address on your account? I'll check it straight away.</t>
  </si>
  <si>
    <t xml:space="preserve">Partner A sends "pls help asap" about a payment taken for a failed order. Partner B replies within seconds, asks one short question, and keeps every message short and in full words.</t>
  </si>
  <si>
    <t xml:space="preserve">Record yourself reading aloud your first two replies to "pls help asap", keeping each one under 15 words.</t>
  </si>
  <si>
    <t xml:space="preserve">Did you reply quickly and briefly? · Did you write in full words, with no shorthand? · Did you ask one clear question?</t>
  </si>
  <si>
    <t xml:space="preserve">CSC-B-019</t>
  </si>
  <si>
    <t xml:space="preserve">ok thx bye</t>
  </si>
  <si>
    <t xml:space="preserve">You have just solved the customer's problem, and they are leaving the chat.</t>
  </si>
  <si>
    <t xml:space="preserve">After a solved problem, the customer sends a very short thank-you and goodbye. What does it mean, and what do you send back?</t>
  </si>
  <si>
    <t xml:space="preserve">o-KAY · THANKS · BYE</t>
  </si>
  <si>
    <t xml:space="preserve">If read aloud: okay_thanks → "oh-kay-thanks" · thanks_bye → "thanks-bye"</t>
  </si>
  <si>
    <t xml:space="preserve">If read aloud: light and falling; the customer is happy and finishing.</t>
  </si>
  <si>
    <t xml:space="preserve">If you read your reply aloud, say the "w" in "welcome" with rounded lips and no teeth on the lip (like "west", not "vest"), so it is not heard as "velcome".</t>
  </si>
  <si>
    <t xml:space="preserve">Casual, satisfied goodbye</t>
  </si>
  <si>
    <t xml:space="preserve">Satisfied, or at least finished, and ready to leave quickly.</t>
  </si>
  <si>
    <t xml:space="preserve">The customer is already at the door with their coat on: wave back quickly, and don't start a new conversation.</t>
  </si>
  <si>
    <t xml:space="preserve">ठीक है, धन्यवाद, बाय।</t>
  </si>
  <si>
    <t xml:space="preserve">Theek hai, dhanyavaad, bye.</t>
  </si>
  <si>
    <t xml:space="preserve">Okay, thank you, goodbye. ("thx" = thanks.)</t>
  </si>
  <si>
    <t xml:space="preserve">A short reply like this usually means the customer is happy and finished. They need a quick, warm goodbye back, not more questions or a long script.</t>
  </si>
  <si>
    <t xml:space="preserve">ok thx bye = okay, thanks, goodbye</t>
  </si>
  <si>
    <t xml:space="preserve">ok (okay) + thx (thanks) + bye (goodbye)</t>
  </si>
  <si>
    <t xml:space="preserve">"Thx" is a short form of "thanks"; agents read it but always write "thanks" in full.</t>
  </si>
  <si>
    <t xml:space="preserve">A short, warm goodbye respects their time. Closing the chat with no reply feels cold, and a long script feels as if you did not notice they are leaving.</t>
  </si>
  <si>
    <t xml:space="preserve">✗ Thx, bye. Chat closed. → ✓ You're welcome, Aisha! Have a great day.</t>
  </si>
  <si>
    <t xml:space="preserve">"Before you go, please answer these five questions." — the customer is leaving; one short rating request at most, if your team uses one.</t>
  </si>
  <si>
    <t xml:space="preserve">Instead of "Welcome, closing chat", say "You're welcome, Aisha! Have a great day."</t>
  </si>
  <si>
    <t xml:space="preserve">ok thanks bye</t>
  </si>
  <si>
    <t xml:space="preserve">thx, that's all</t>
  </si>
  <si>
    <t xml:space="preserve">Thank you for your help. Goodbye.</t>
  </si>
  <si>
    <t xml:space="preserve">You're welcome, Aisha! Glad I could help. Have a great day.</t>
  </si>
  <si>
    <t xml:space="preserve">bye then · 👍 · you too, take care</t>
  </si>
  <si>
    <t xml:space="preserve">Customer: "wait, actually, when will the refund come?" → Agent: "Of course. It should reach your account by Wednesday."</t>
  </si>
  <si>
    <t xml:space="preserve">Many Indian English speakers reply "Welcome" alone; international customers may not expect this and usually hear "You're welcome". "No problem" is fine in a casual chat, but "You're welcome" is the safe default.</t>
  </si>
  <si>
    <t xml:space="preserve">Voice: the caller says "Okay, thanks, bye", and you return it: "You're welcome, have a great day." Email: a customer may reply "thx"; you need not answer unless the case must be closed.</t>
  </si>
  <si>
    <t xml:space="preserve">If the issue is not fully solved, do not just say goodbye; restate the next step first ("Your refund will reach you by Wednesday").</t>
  </si>
  <si>
    <t xml:space="preserve">Customer: is my refund done? | Agent: Yes, it's done and will reach your account by Wednesday. | Customer: ok thx bye | Agent: You're welcome, Aisha! Glad I could help. Have a great day.</t>
  </si>
  <si>
    <t xml:space="preserve">You're welcome, Aisha! Glad I could ____. Have a great day. (Hint: starts with "h")</t>
  </si>
  <si>
    <t xml:space="preserve">help</t>
  </si>
  <si>
    <t xml:space="preserve">After you solve the problem, the customer types "ok thx bye". What should you do?</t>
  </si>
  <si>
    <t xml:space="preserve">A) Reply "You're welcome! Have a great day." and then close. | B) Close the chat without a reply, because the customer has already left. | C) Ask five more questions about their experience before you close. | D) Reply "thx bye" in the same style, so the customer feels understood.</t>
  </si>
  <si>
    <t xml:space="preserve">A returns the goodbye and then closes. D is tempting because it matches their style, but agents write in full words; B feels cold, and C keeps a leaving customer waiting.</t>
  </si>
  <si>
    <t xml:space="preserve">help / Glad / Aisha / could / welcome / I / You're</t>
  </si>
  <si>
    <t xml:space="preserve">You're welcome Aisha Glad I could help</t>
  </si>
  <si>
    <t xml:space="preserve">Dhanyavaad ki koi baat nahin! Aapka din accha ho.</t>
  </si>
  <si>
    <t xml:space="preserve">You're welcome! Have a great day.</t>
  </si>
  <si>
    <t xml:space="preserve">you too, bye</t>
  </si>
  <si>
    <t xml:space="preserve">Bye for now, Aisha. Take care!</t>
  </si>
  <si>
    <t xml:space="preserve">Partner B has just confirmed Partner A's delivery date. A types "ok thx bye", and B returns the goodbye warmly. On a second try, A adds one last quick question, and B answers before closing.</t>
  </si>
  <si>
    <t xml:space="preserve">Record yourself reading aloud your reply to "ok thx bye", and your reply if the customer then adds one more question.</t>
  </si>
  <si>
    <t xml:space="preserve">Did you return the goodbye instead of just closing? · Did you write "thanks" in full, with no shorthand? · Did you check the issue was really solved?</t>
  </si>
  <si>
    <t xml:space="preserve">CSC-B-020</t>
  </si>
  <si>
    <t xml:space="preserve">is anyone there??</t>
  </si>
  <si>
    <t xml:space="preserve">The customer has been waiting a few minutes for a reply and sends this message.</t>
  </si>
  <si>
    <t xml:space="preserve">A customer sends this after waiting with no reply. What are they feeling, and what must your next message do at once?</t>
  </si>
  <si>
    <t xml:space="preserve">is · AN-y-one · THERE??</t>
  </si>
  <si>
    <t xml:space="preserve">If read aloud: is_anyone → "i-zen-ee-wun" · anyone_there → "en-ee-wun-there"</t>
  </si>
  <si>
    <t xml:space="preserve">If read aloud: a high rise on "there", showing impatience; the double question mark adds annoyance.</t>
  </si>
  <si>
    <t xml:space="preserve">If you read your reply aloud, say "here" with a long "ee" (not "hair"), and start "there" with a voiced "th" (tongue between the teeth, voice on), not "dare".</t>
  </si>
  <si>
    <t xml:space="preserve">Impatient, worried, a bit annoyed</t>
  </si>
  <si>
    <t xml:space="preserve">Ignored and impatient, worried that nobody is helping.</t>
  </si>
  <si>
    <t xml:space="preserve">Two question marks are two taps on the shoulder: turn round at once and say "I'm here".</t>
  </si>
  <si>
    <t xml:space="preserve">क्या कोई है??</t>
  </si>
  <si>
    <t xml:space="preserve">Kya koi hai??</t>
  </si>
  <si>
    <t xml:space="preserve">Hello? Is someone reading my messages? I've been waiting.</t>
  </si>
  <si>
    <t xml:space="preserve">Waiting in silence feels like being ignored. The customer needs instant proof that a person is there, a short apology for the wait and a real time for the answer.</t>
  </si>
  <si>
    <t xml:space="preserve">Is + anyone + there? (a yes/no question)</t>
  </si>
  <si>
    <t xml:space="preserve">Use "anyone" in questions; "??" in chat shows impatience, not a grammar mistake.</t>
  </si>
  <si>
    <t xml:space="preserve">The customer is annoyed but not abusive. A fast, honest reply settles it; staying silent again or making excuses makes it worse.</t>
  </si>
  <si>
    <t xml:space="preserve">✗ Yes, I am there. → ✓ Yes, I'm here!</t>
  </si>
  <si>
    <t xml:space="preserve">"We are experiencing high chat volumes." — it is an excuse, and the customer cares only about their own wait.</t>
  </si>
  <si>
    <t xml:space="preserve">Instead of "Please wait, I am busy with other chats", say "Yes, I'm here! Sorry for the wait. I'm checking your order now and will update you in two minutes."</t>
  </si>
  <si>
    <t xml:space="preserve">hello?? anyone here</t>
  </si>
  <si>
    <t xml:space="preserve">anyone??? been waiting 10 min</t>
  </si>
  <si>
    <t xml:space="preserve">Hello, is anyone available to help me? I have been waiting for some time.</t>
  </si>
  <si>
    <t xml:space="preserve">Yes, I'm here! Sorry for the wait. I'm checking your order now and will update you in two minutes.</t>
  </si>
  <si>
    <t xml:space="preserve">finally · ok thanks · why did it take so long?</t>
  </si>
  <si>
    <t xml:space="preserve">Customer: "this is so slow, i've waited 10 minutes" → Agent: "You're right to be frustrated, and I'm sorry you waited so long. I'm checking your order now, and I'll update you in two minutes."</t>
  </si>
  <si>
    <t xml:space="preserve">Replying "I am there" is a common slip, because Hindi "main hoon" does not say here or there; in English the agent says "I'm here", since "there" points away from the speaker.</t>
  </si>
  <si>
    <t xml:space="preserve">Voice: the caller says "Hello? Are you there?" during silence; answer at once: "Yes, I'm still here." Email: the customer sends a second email, so reply and apologise for the delay.</t>
  </si>
  <si>
    <t xml:space="preserve">Do not reply with an automatic "An agent will be with you shortly" if you are already in the chat; reply as yourself.</t>
  </si>
  <si>
    <t xml:space="preserve">Customer: is anyone there?? | Agent: Yes, I'm here! Sorry for the wait. I'm checking your order now and will update you in two minutes. | Customer: ok | Agent: Thanks for waiting. Your order ships tomorrow morning.</t>
  </si>
  <si>
    <t xml:space="preserve">Chat: reply fast, avoid long gaps, make no excuses for delays, and give a real time.</t>
  </si>
  <si>
    <t xml:space="preserve">Yes, I'm ____! Sorry for the wait. I'm checking your order now. (Hint: the opposite of "there")</t>
  </si>
  <si>
    <t xml:space="preserve">Why does the customer write "is anyone there??"</t>
  </si>
  <si>
    <t xml:space="preserve">A) They feel ignored after waiting with no reply. | B) They want to start a friendly conversation. | C) They want to speak to a different agent straight away. | D) They are testing whether the chat works on their phone.</t>
  </si>
  <si>
    <t xml:space="preserve">The double question mark after a wait shows they feel ignored. D is tempting, but this message usually follows silence from the agent, not a technical test.</t>
  </si>
  <si>
    <t xml:space="preserve">your / Sorry / now / wait / for / I'm / the / checking / order</t>
  </si>
  <si>
    <t xml:space="preserve">Sorry for the wait I'm checking your order now</t>
  </si>
  <si>
    <t xml:space="preserve">Ji, main yahin hoon! Der ke liye maaf kijiye. Main do minute mein aapko update doongi.</t>
  </si>
  <si>
    <t xml:space="preserve">Yes, I'm here! Sorry for the wait. I'll update you in two minutes.</t>
  </si>
  <si>
    <t xml:space="preserve">why did it take so long?</t>
  </si>
  <si>
    <t xml:space="preserve">I'm sorry, the check took longer than I expected, and I should have updated you sooner. Your order ships tomorrow.</t>
  </si>
  <si>
    <t xml:space="preserve">Partner B leaves Partner A without a reply for two minutes. A writes "is anyone there??". B replies at once with "I'm here", a short apology and a real time, then sends the update.</t>
  </si>
  <si>
    <t xml:space="preserve">Record yourself reading aloud your reply to "is anyone there??", then the update message you send two minutes later.</t>
  </si>
  <si>
    <t xml:space="preserve">Did you reply at once and say "I'm here"? · Did you apologise without making excuses? · Did you give a real time for the update?</t>
  </si>
  <si>
    <t xml:space="preserve">CSC-I-001</t>
  </si>
  <si>
    <t xml:space="preserve">Hi Ananya, I'm Rohan from [Company]. I can see you're asking about order 48213, and I'll look into it right away.</t>
  </si>
  <si>
    <t xml:space="preserve">A customer named Ananya has started a chat about a late order and typed her order number before any agent joined.</t>
  </si>
  <si>
    <t xml:space="preserve">The customer has already typed her name and order number. How do you greet her so she knows a real person has read her message?</t>
  </si>
  <si>
    <t xml:space="preserve">HI a-NAN-ya · i'm RO-han from COM-pa-ny · i can SEE you're ASK-ing a-BOUT OR-der four-eight-two-one-THREE · and i'll LOOK in-to it RIGHT a-WAY</t>
  </si>
  <si>
    <t xml:space="preserve">If read aloud: look_into_it → "loo-kin-tu-wit" · right_away → "ri-ta-way" · I_can_see → "ai-kn-SEE"</t>
  </si>
  <si>
    <t xml:space="preserve">If read aloud: a friendly rise on "Ananya", a short pause after your name, then a steady falling tone on "right away" so it sounds confident.</t>
  </si>
  <si>
    <t xml:space="preserve">If read aloud: finish "asking" with a soft "ng" and no extra hard "g", and say "order" with a light English "d" (tongue behind the top teeth), not a heavy retroflex one.</t>
  </si>
  <si>
    <t xml:space="preserve">Warm, personal, confident</t>
  </si>
  <si>
    <t xml:space="preserve">Hopeful but slightly impatient after waiting for an agent to join.</t>
  </si>
  <si>
    <t xml:space="preserve">Picture a shop assistant who smiles, says your name and is already holding your parcel slip: her name, my name, her issue, my action.</t>
  </si>
  <si>
    <t xml:space="preserve">नमस्ते अनन्या, मैं [Company] से रोहन हूँ। मैं देख रहा/रही हूँ कि आप ऑर्डर 48213 के बारे में पूछ रही हैं, मैं अभी इसे देखता/देखती हूँ।</t>
  </si>
  <si>
    <t xml:space="preserve">Namaste Ananya, main [Company] se Rohan hoon. Main dekh raha/rahi hoon ki aap order 48213 ke baare mein pooch rahi hain, main abhi ise dekhta/dekhti hoon.</t>
  </si>
  <si>
    <t xml:space="preserve">Hello Ananya, my name is Rohan and I work for the company. I have read your question about your order, and I will start checking it now.</t>
  </si>
  <si>
    <t xml:space="preserve">Her first name and her own order number prove a real person read the message, so she does not need to explain again. "I'll look into it right away" gives her the next step in the very first line.</t>
  </si>
  <si>
    <t xml:space="preserve">I can see you're asking about ___, and I'll ___ right away.</t>
  </si>
  <si>
    <t xml:space="preserve">I can see + (that) + you're + verb-ing · I'll + base verb + right away</t>
  </si>
  <si>
    <t xml:space="preserve">"I can see you're asking" shows you have read her message; "I'll" is a promise you make right now.</t>
  </si>
  <si>
    <t xml:space="preserve">The first name and "I'm Rohan" make it personal and human. "Dear Customer, how may I assist you?" ignores what she already wrote and reads like a machine.</t>
  </si>
  <si>
    <t xml:space="preserve">✗ I can see you asking about order 48213, and I'll look in it right away. → ✓ I can see you're asking about order 48213, and I'll look into it right away.</t>
  </si>
  <si>
    <t xml:space="preserve">"Dear Customer, please wait." It is cold, ignores her name and her message, and gives no next step.</t>
  </si>
  <si>
    <t xml:space="preserve">Instead of "Please wait while I go through your query", say "I can see you're asking about order 48213, and I'll look into it right away."</t>
  </si>
  <si>
    <t xml:space="preserve">Hi Ananya, thanks for waiting. I'm Rohan, and I'm checking order 48213 for you now.</t>
  </si>
  <si>
    <t xml:space="preserve">Hello Ananya, Rohan here from [Company]. I've read your message about order 48213 and I'm on it.</t>
  </si>
  <si>
    <t xml:space="preserve">Good afternoon, Ms Rao. My name is Rohan, and I'll be looking into order 48213 for you today.</t>
  </si>
  <si>
    <t xml:space="preserve">I can see it left our warehouse on Monday. Is it still going to the address saved on your account?</t>
  </si>
  <si>
    <t xml:space="preserve">Hi, thanks. · Finally! It was supposed to come on Friday. · Yes, can you tell me where it is?</t>
  </si>
  <si>
    <t xml:space="preserve">Customer: "Why did I wait so long for someone to reply?" → Agent: "I'm sorry about the wait, Ananya. I'm here now, and I've already opened your order."</t>
  </si>
  <si>
    <t xml:space="preserve">Many Indian agents open with "Ma'am" or "Sir" and a fixed question. International chat customers usually expect their first name and a short, personal opening that mentions their issue.</t>
  </si>
  <si>
    <t xml:space="preserve">Voice: "Thank you for calling [Company], this is Rohan. How can I help?" Email: "Hi Ananya," on its own line, then your answer.</t>
  </si>
  <si>
    <t xml:space="preserve">Do not switch to her first name if she signed with a title and surname, such as "Dr Mehta"; follow the name she uses.</t>
  </si>
  <si>
    <t xml:space="preserve">Customer: Hi, my order 48213 hasn't arrived. | Agent: Hi Ananya, I'm Rohan from [Company]. I can see you're asking about order 48213, and I'll look into it right away. | Customer: Thanks, it was due on Friday. | Agent: I can see it left our warehouse on Monday. I'm checking the courier update now.</t>
  </si>
  <si>
    <t xml:space="preserve">Chat: greet with your name, use the customer's first name naturally, and reply fast.</t>
  </si>
  <si>
    <t xml:space="preserve">Hi Ananya, I'm Rohan from [Company]. I can ____ (starts with s) you're asking about order 48213.</t>
  </si>
  <si>
    <t xml:space="preserve">see</t>
  </si>
  <si>
    <t xml:space="preserve">A customer called Ananya has already typed her order number. Which chat opening is best?</t>
  </si>
  <si>
    <t xml:space="preserve">A) Hello Ananya, welcome to [Company]. How can I help you today? | B) Hi Ananya, I'm Rohan. I'll check order 48213 for you right now. | C) Hello there, thanks for contacting us. Please share your order number. | D) Hi Ananya, I'm Rohan from [Company]. What can I help you with today?</t>
  </si>
  <si>
    <t xml:space="preserve">B uses her name, gives yours and shows you read her message by naming the order and the next step. D is tempting because it is friendly and personal, but it asks what she needs when she has already told you. A and C ignore what she typed.</t>
  </si>
  <si>
    <t xml:space="preserve">look / I'll / it / into / away / right</t>
  </si>
  <si>
    <t xml:space="preserve">I'll look into it right away</t>
  </si>
  <si>
    <t xml:space="preserve">Namaste Karan, main [Company] se Priya hoon. Main dekh rahi hoon ki aap apne refund ke baare mein pooch rahe hain, aur main abhi ise check karti hoon.</t>
  </si>
  <si>
    <t xml:space="preserve">Hi Karan, I'm Priya from [Company]. I can see you're asking about your refund, and I'll check it now.</t>
  </si>
  <si>
    <t xml:space="preserve">Yes, it was supposed to arrive last Friday.</t>
  </si>
  <si>
    <t xml:space="preserve">Thanks, Ananya. I'm checking the courier update now, and I'll tell you where it is within two minutes.</t>
  </si>
  <si>
    <t xml:space="preserve">Partner A opens a chat as "Ananya" with an order number and a one-line complaint. Partner B types an opening that uses her name, their own name, the order number and a next step.</t>
  </si>
  <si>
    <t xml:space="preserve">Record yourself reading your typed opening aloud, then say in one sentence why you used the customer's name and order number.</t>
  </si>
  <si>
    <t xml:space="preserve">Did you use the customer's first name once? · Did you give your own name? · Did you mention her issue and a next step?</t>
  </si>
  <si>
    <t xml:space="preserve">CSC-I-002</t>
  </si>
  <si>
    <t xml:space="preserve">Here's how to reset your password: 1. Tap Log in. 2. Tap Forgot password. 3. Type your email address. Let me know when you reach step 3.</t>
  </si>
  <si>
    <t xml:space="preserve">A customer in the mobile app cannot log in and needs to reset the password by following a few taps.</t>
  </si>
  <si>
    <t xml:space="preserve">The customer needs to follow three short steps in the app. How do you lay out the instructions so nothing gets missed?</t>
  </si>
  <si>
    <t xml:space="preserve">HERE'S how to re-SET your PASS-word · TAP log-IN · TAP for-GOT PASS-word · TYPE your E-mail ad-DRESS · let me KNOW when you REACH step THREE</t>
  </si>
  <si>
    <t xml:space="preserve">If read aloud: log_in → "lo-gin" · email_address → "ee-may-la-DRESS" · let_me → "let-mee" (very light "t")</t>
  </si>
  <si>
    <t xml:space="preserve">If read aloud: pause briefly after each number, fall on every step, and lift slightly on "let me know" to invite a reply.</t>
  </si>
  <si>
    <t xml:space="preserve">If read aloud: say the "w" in "password" with rounded lips ("PASS-wurd"), not with teeth on the lower lip ("PASS-vurd"). Practise the pair "west / vest".</t>
  </si>
  <si>
    <t xml:space="preserve">Clear, patient, guiding</t>
  </si>
  <si>
    <t xml:space="preserve">Frustrated at being locked out and worried about doing it wrong.</t>
  </si>
  <si>
    <t xml:space="preserve">Think of a recipe card: numbered steps, one action each, and the cook tells you when the dish reaches the oven.</t>
  </si>
  <si>
    <t xml:space="preserve">पासवर्ड रीसेट करने का तरीका यह है: 1. Log in पर टैप करें। 2. Forgot password पर टैप करें। 3. अपना ईमेल पता टाइप करें। जब आप स्टेप 3 पर पहुँच जाएँ, तो मुझे बता दीजिए।</t>
  </si>
  <si>
    <t xml:space="preserve">Password reset karne ka tareeka yeh hai: 1. Log in par tap karein. 2. Forgot password par tap karein. 3. Apna email pata type karein. Jab aap step 3 par pahunch jaayein, to mujhe bata deejiye.</t>
  </si>
  <si>
    <t xml:space="preserve">Do these three things in order, one at a time, and send me a message when you get to the third one.</t>
  </si>
  <si>
    <t xml:space="preserve">Numbered steps with one action each are easy to follow on a small screen and cut down follow-up questions. Asking the customer to report back keeps you in step with them.</t>
  </si>
  <si>
    <t xml:space="preserve">Here's how to ___: 1. ___ 2. ___ 3. ___ Let me know when you reach step ___.</t>
  </si>
  <si>
    <t xml:space="preserve">Here's how + to + base verb · Imperative (Tap + noun) · Let me know when + you + present simple</t>
  </si>
  <si>
    <t xml:space="preserve">Each step starts with a command verb like "Tap"; in instructions this is polite and clear, not rude.</t>
  </si>
  <si>
    <t xml:space="preserve">Short commands are normal in instructions. A long paragraph with "you need to first go to the login screen and then…" feels heavy and is easy to misread.</t>
  </si>
  <si>
    <t xml:space="preserve">✗ You have to go login then forgot password then type email. → ✓ 1. Tap Log in. 2. Tap Forgot password. 3. Type your email address.</t>
  </si>
  <si>
    <t xml:space="preserve">"Just follow the steps on the website." It sends the customer away with no help and feels dismissive.</t>
  </si>
  <si>
    <t xml:space="preserve">Instead of "You have to go to the login page, click forgot password and type your email", say "Here's how to reset your password: 1. Tap Log in. 2. Tap Forgot password. 3. Type your email address."</t>
  </si>
  <si>
    <t xml:space="preserve">Let's reset it together. 1. Open the login screen. 2. Choose Forgot password. 3. Type your email address. Tell me what you see.</t>
  </si>
  <si>
    <t xml:space="preserve">Three quick steps: 1. Login screen. 2. Forgot password. 3. Your email address. Let me know once you're there.</t>
  </si>
  <si>
    <t xml:space="preserve">To reset your password, please follow these steps: 1. Open the login screen. 2. Select Forgot password. 3. Enter your email address.</t>
  </si>
  <si>
    <t xml:space="preserve">Can you see the "Send reset link" button under the email box?</t>
  </si>
  <si>
    <t xml:space="preserve">Done, I'm on step 3. · I can't see Forgot password. · Should I do this on the app or the website?</t>
  </si>
  <si>
    <t xml:space="preserve">Customer: "I don't have time for all this." → Agent: "I know you're in a hurry. It takes about a minute, and I'll stay with you at each step."</t>
  </si>
  <si>
    <t xml:space="preserve">Indian agents often write the whole process as one long sentence joined by "then". International customers expect numbered, one-action steps they can scan quickly.</t>
  </si>
  <si>
    <t xml:space="preserve">Voice: give one step, wait for "done", then the next. Email: number the steps on separate lines and add a screenshot if possible.</t>
  </si>
  <si>
    <t xml:space="preserve">Do not send a numbered list before you know which device or app version the customer uses; ask first.</t>
  </si>
  <si>
    <t xml:space="preserve">Customer: I can't log in to the app. | Agent: Here's how to reset your password: 1. Tap Log in. 2. Tap Forgot password. 3. Type your email address. Let me know when you reach step 3. | Customer: Okay, I'm there. | Agent: Great. Now tap "Send reset link". The email usually arrives within a minute.</t>
  </si>
  <si>
    <t xml:space="preserve">Number multi-step instructions, one action per step, to cut follow-up questions.</t>
  </si>
  <si>
    <t xml:space="preserve">Here's ____ to reset your password: 1. Tap Log in. 2. Tap Forgot password. 3. Type your email address.</t>
  </si>
  <si>
    <t xml:space="preserve">how</t>
  </si>
  <si>
    <t xml:space="preserve">Which chat message gives password-reset instructions in the clearest way?</t>
  </si>
  <si>
    <t xml:space="preserve">A) First go to the login screen, then tap Forgot password, then type your email. | B) Please see the help page on our website, which explains how to reset it. | C) Here's how: 1. Tap Log in. 2. Tap Forgot password. 3. Type your email address. | D) 1. Open the app, go to the login screen, tap Forgot password and type your email.</t>
  </si>
  <si>
    <t xml:space="preserve">C gives one action per numbered step, so the customer can follow it and report back. D is numbered, but it packs four actions into one step, A is one long line, and B sends the customer away without help.</t>
  </si>
  <si>
    <t xml:space="preserve">know / me / step / when / Let / reach / you / 3</t>
  </si>
  <si>
    <t xml:space="preserve">Let me know when you reach step 3</t>
  </si>
  <si>
    <t xml:space="preserve">Order cancel karne ka tareeka: 1. My Orders kholiye. 2. Order chuniye. 3. Cancel par tap kijiye.</t>
  </si>
  <si>
    <t xml:space="preserve">Here's how to cancel your order: 1. Open My Orders. 2. Choose the order. 3. Tap Cancel.</t>
  </si>
  <si>
    <t xml:space="preserve">I can't find Forgot password anywhere.</t>
  </si>
  <si>
    <t xml:space="preserve">Don't worry, it's easy to miss. It's a small link just under the password box. Could you scroll down a little?</t>
  </si>
  <si>
    <t xml:space="preserve">Partner A is locked out of an app and types short, confused replies. Partner B gives three numbered steps and checks progress after each one until A reaches the reset screen.</t>
  </si>
  <si>
    <t xml:space="preserve">Record yourself reading your numbered instructions aloud with a clear pause after each step number.</t>
  </si>
  <si>
    <t xml:space="preserve">Did each step have only one action? · Did you number the steps? · Did you ask the customer to report back?</t>
  </si>
  <si>
    <t xml:space="preserve">CSC-I-003</t>
  </si>
  <si>
    <t xml:space="preserve">I've processed your refund of ₹1,499 today. It should reach your original payment method within 5 to 7 working days.</t>
  </si>
  <si>
    <t xml:space="preserve">You have just processed a refund for a returned item, and the customer wants to know when the money will come back.</t>
  </si>
  <si>
    <t xml:space="preserve">The refund is done on your side. What three facts does the customer need from you before the chat ends?</t>
  </si>
  <si>
    <t xml:space="preserve">i've PRO-cessed your RE-fund of one-THOU-sand four-HUN-dred and NINE-ty-NINE ru-PEES to-DAY · it should REACH your o-RI-gi-nal PAY-ment METH-od · with-IN FIVE to SEV-en WORK-ing DAYS</t>
  </si>
  <si>
    <t xml:space="preserve">If read aloud: refund_of → "REE-fun-duv" · hundred_and → "hun-dred-n" · reach_your → "ree-chyer"</t>
  </si>
  <si>
    <t xml:space="preserve">If read aloud: fall firmly on "today", pause, then say the number range slowly with a fall on "days".</t>
  </si>
  <si>
    <t xml:space="preserve">If read aloud: "processed" ends in "st" ("PRO-sest"), not "PRO-ses-sed". Stress RE-fund as a noun, and keep the "v" in "I've" with top teeth on the lower lip.</t>
  </si>
  <si>
    <t xml:space="preserve">Clear, reassuring, factual</t>
  </si>
  <si>
    <t xml:space="preserve">Anxious about whether and when the money will come back.</t>
  </si>
  <si>
    <t xml:space="preserve">Think of a courier receipt: what was sent, where it is going and when it will arrive. A refund message needs all three.</t>
  </si>
  <si>
    <t xml:space="preserve">मैंने आज आपका ₹1,499 का रिफ़ंड प्रोसेस कर दिया है। यह 5 से 7 कामकाजी दिनों में आपके मूल पेमेंट तरीके में आ जाना चाहिए।</t>
  </si>
  <si>
    <t xml:space="preserve">Maine aaj aapka ₹1,499 ka refund process kar diya hai. Yeh 5 se 7 kaamkaaji dinon mein aapke original payment method mein aa jaana chahiye.</t>
  </si>
  <si>
    <t xml:space="preserve">I have sent your money back today. You should see it on the card or account you paid with in about one week.</t>
  </si>
  <si>
    <t xml:space="preserve">It says the action is done, the exact amount, where the money goes and a time range. A clear timeline stops the customer chasing you every day.</t>
  </si>
  <si>
    <t xml:space="preserve">I've processed your ___ today. It should reach ___ within ___.</t>
  </si>
  <si>
    <t xml:space="preserve">I've + past participle (done now) · It should + base verb + within + time</t>
  </si>
  <si>
    <t xml:space="preserve">"I've processed" shows the action is finished; "should reach" is a careful prediction, not a guarantee.</t>
  </si>
  <si>
    <t xml:space="preserve">Specific facts sound trustworthy. "Your refund will come soon" sounds vague and makes the customer wonder if anything happened.</t>
  </si>
  <si>
    <t xml:space="preserve">✗ It should reach to your original payment method within 5 to 7 working days. → ✓ It should reach your original payment method within 5 to 7 working days.</t>
  </si>
  <si>
    <t xml:space="preserve">"Refund will reflect soon." It gives no amount, no date and no place to look.</t>
  </si>
  <si>
    <t xml:space="preserve">Instead of "It will take time, nothing can be done", say "It should reach your original payment method within 5 to 7 working days."</t>
  </si>
  <si>
    <t xml:space="preserve">Your refund of ₹1,499 is on its way. Please allow 5 to 7 working days for it to appear in your account.</t>
  </si>
  <si>
    <t xml:space="preserve">Good news: I've sent back ₹1,499 today. You should see it on the card or account you paid with within 5 to 7 working days.</t>
  </si>
  <si>
    <t xml:space="preserve">I can confirm that a refund of ₹1,499 was issued today. It should appear in your account within 5 to 7 working days, depending on your bank.</t>
  </si>
  <si>
    <t xml:space="preserve">You'll also get a confirmation email in the next few minutes. Is there anything else I can help with?</t>
  </si>
  <si>
    <t xml:space="preserve">Why does it take so long? · Can it go to my wallet instead? · OK, thanks.</t>
  </si>
  <si>
    <t xml:space="preserve">Customer: "Why 7 days? You took my money in seconds." → Agent: "I can see why that feels unfair. We sent the refund today, and from here the timing depends on your bank."</t>
  </si>
  <si>
    <t xml:space="preserve">Indian support teams often say a refund is "raised" or "initiated". That is clear inside India; international customers more often expect "processed" or "issued", plus a date range.</t>
  </si>
  <si>
    <t xml:space="preserve">Voice: say the amount and days slowly and offer to repeat. Email: put the amount and timeline on their own line and mention the confirmation email.</t>
  </si>
  <si>
    <t xml:space="preserve">Do not say "I've processed" if the refund still needs approval from another team; say it has been requested and when they will decide.</t>
  </si>
  <si>
    <t xml:space="preserve">Customer: I returned the shoes. When do I get my money? | Agent: I've processed your refund of ₹1,499 today. It should reach your original payment method within 5 to 7 working days. | Customer: Will I get any message? | Agent: Yes, you'll get a confirmation email within a few minutes.</t>
  </si>
  <si>
    <t xml:space="preserve">Replace vague promises with a clear timeline and the next step.</t>
  </si>
  <si>
    <t xml:space="preserve">I've processed your refund of ₹1,499 today. It should reach your original payment method within 5 to 7 working ____.</t>
  </si>
  <si>
    <t xml:space="preserve">days</t>
  </si>
  <si>
    <t xml:space="preserve">Which message sets the clearest expectation for a refund?</t>
  </si>
  <si>
    <t xml:space="preserve">A) Your refund of ₹1,499 is being processed. Please wait for it to appear. | B) I've processed your ₹1,499 refund today. It should arrive within 5 to 7 working days. | C) We will try to refund your ₹1,499 quickly, so please keep checking your account. | D) Your refund is being handled and will show in your account soon, so please wait.</t>
  </si>
  <si>
    <t xml:space="preserve">B is the only option that says the refund is done and gives a time range. A and D say "being processed" or "soon", which tells the customer nothing about when, and C only says you will try.</t>
  </si>
  <si>
    <t xml:space="preserve">refund / processed / today / I've / your</t>
  </si>
  <si>
    <t xml:space="preserve">I've processed your refund today</t>
  </si>
  <si>
    <t xml:space="preserve">Maine aaj aapka refund process kar diya hai. Yeh paisa 5 se 7 working days mein aapke account mein aa jaana chahiye.</t>
  </si>
  <si>
    <t xml:space="preserve">I've processed your refund today. It should reach your account within 5 to 7 working days.</t>
  </si>
  <si>
    <t xml:space="preserve">What if I don't see it after 7 days?</t>
  </si>
  <si>
    <t xml:space="preserve">If it hasn't arrived by then, message us with your order number, and we'll check it with our payments team straight away.</t>
  </si>
  <si>
    <t xml:space="preserve">Partner A returned a ₹1,499 item and asks when the money will come. Partner B confirms the refund in one message with the amount, where it goes and the time range, then handles one follow-up question.</t>
  </si>
  <si>
    <t xml:space="preserve">Record yourself reading the refund message aloud, saying the amount and the number range slowly and clearly.</t>
  </si>
  <si>
    <t xml:space="preserve">Did you give the exact amount? · Did you say where the money will go? · Did you give a time range?</t>
  </si>
  <si>
    <t xml:space="preserve">CSC-I-004</t>
  </si>
  <si>
    <t xml:space="preserve">Your payment didn't go through because the one-time password expired before it was entered. That's why the order wasn't placed.</t>
  </si>
  <si>
    <t xml:space="preserve">The customer tried to pay, got an error and now wants to know why the order is missing from their account.</t>
  </si>
  <si>
    <t xml:space="preserve">You have found the real cause of a failed payment. How do you explain it in two short sentences without blaming the customer?</t>
  </si>
  <si>
    <t xml:space="preserve">your PAY-ment DID-n't go THROUGH · be-CAUSE the one-time PASS-word ex-PIRED · THAT'S why the OR-der WAS-n't PLACED</t>
  </si>
  <si>
    <t xml:space="preserve">If read aloud: didn't_go → "did-n-go" · before_it_was → "bi-for-it-wuz" · that's_why → "thats-why"</t>
  </si>
  <si>
    <t xml:space="preserve">If read aloud: fall on "through", slight pause before "because", then fall again on "placed" to close the explanation.</t>
  </si>
  <si>
    <t xml:space="preserve">If read aloud: "through" starts with "th" (tongue lightly between the teeth), not "t"; "thru" versus "true" is the pair to practise.</t>
  </si>
  <si>
    <t xml:space="preserve">Clear, factual, blame-free</t>
  </si>
  <si>
    <t xml:space="preserve">Confused and suspicious that money may have gone missing.</t>
  </si>
  <si>
    <t xml:space="preserve">Think of a door with a timer lock: the code was right, but the door closed before it was typed. Explain the timer, not the person.</t>
  </si>
  <si>
    <t xml:space="preserve">आपका पेमेंट नहीं हुआ क्योंकि OTP डालने से पहले ही उसकी समय-सीमा खत्म हो गई थी। इसी वजह से ऑर्डर प्लेस नहीं हुआ।</t>
  </si>
  <si>
    <t xml:space="preserve">Aapka payment nahin hua kyunki OTP daalne se pehle hi uski samay-seema khatm ho gayi thi. Isi wajah se order place nahin hua.</t>
  </si>
  <si>
    <t xml:space="preserve">The code from the bank stopped working before it was typed in, so the payment failed and there is no order.</t>
  </si>
  <si>
    <t xml:space="preserve">It gives the real reason in plain words and links it to what the customer saw. Saying "the password expired" describes the system, not the customer's mistake, so nobody feels blamed.</t>
  </si>
  <si>
    <t xml:space="preserve">Your ___ didn't go through because ___. That's why ___.</t>
  </si>
  <si>
    <t xml:space="preserve">Result + because + past simple/passive · That's why + past simple</t>
  </si>
  <si>
    <t xml:space="preserve">"because" gives the reason; "that's why" links the reason to what the customer noticed.</t>
  </si>
  <si>
    <t xml:space="preserve">Neutral, factual wording keeps it calm. "You didn't enter the OTP in time" points a finger and sounds like a telling-off.</t>
  </si>
  <si>
    <t xml:space="preserve">✗ Payment is failed due to OTP is expired. → ✓ Your payment didn't go through because the one-time password expired.</t>
  </si>
  <si>
    <t xml:space="preserve">"It's a technical issue from your side." It is vague and sounds like blame.</t>
  </si>
  <si>
    <t xml:space="preserve">Instead of "You entered the OTP late", say "The one-time password expired before it was entered."</t>
  </si>
  <si>
    <t xml:space="preserve">The payment failed because the bank's code timed out before it was entered, so no order was created.</t>
  </si>
  <si>
    <t xml:space="preserve">The one-time password expired before it was typed in, which stopped the payment. That's why you can't see the order.</t>
  </si>
  <si>
    <t xml:space="preserve">The payment was not completed because the one-time password expired before it was entered. As a result, the order was not placed.</t>
  </si>
  <si>
    <t xml:space="preserve">Would you like to try again now? I'll stay in the chat while you pay.</t>
  </si>
  <si>
    <t xml:space="preserve">But was money taken from my account? · Oh, I see. · The code came really late.</t>
  </si>
  <si>
    <t xml:space="preserve">Customer: "The OTP came late, it's not my fault!" → Agent: "I'm sorry, that's frustrating. If the code arrives late, the timer can run out before you can type it. Let's try again, and if it's slow, tap Resend."</t>
  </si>
  <si>
    <t xml:space="preserve">"Due to" plus a full clause ("due to OTP is expired") is a common learner habit. International customers expect "because" + clause, or "due to" + a noun ("due to an expired code").</t>
  </si>
  <si>
    <t xml:space="preserve">Voice: say "one-time password" in full once before using "OTP". Email: add one line on what to do next.</t>
  </si>
  <si>
    <t xml:space="preserve">Do not give a cause you have not checked; if you are not sure yet, say what you are checking instead.</t>
  </si>
  <si>
    <t xml:space="preserve">Customer: I paid but there's no order! | Agent: Your payment didn't go through because the one-time password expired before it was entered. That's why the order wasn't placed. | Customer: Was money taken? | Agent: I can see no completed payment on our side. If your bank shows a hold, it's normally released automatically.</t>
  </si>
  <si>
    <t xml:space="preserve">Use plain language: explain the reason simply, without jargon or blame.</t>
  </si>
  <si>
    <t xml:space="preserve">Your payment didn't go through because the one-time password expired before it was entered. That's ____ the order wasn't placed.</t>
  </si>
  <si>
    <t xml:space="preserve">Which message gives the real reason for a failed payment in correct English, without blaming the customer?</t>
  </si>
  <si>
    <t xml:space="preserve">A) The payment failed because you did not enter the one-time password in time. | B) There was a technical problem with the payment, so please try again later. | C) Your payment failed because the one-time password expired before it was entered. | D) Payment is failed due to OTP is expired, so the order is not placed.</t>
  </si>
  <si>
    <t xml:space="preserve">C gives the real cause in correct English and describes the system, not the person. A points at the customer, B gives no real reason, and D has the grammar error "due to OTP is expired".</t>
  </si>
  <si>
    <t xml:space="preserve">placed / That's / order / why / wasn't / the</t>
  </si>
  <si>
    <t xml:space="preserve">That's why the order wasn't placed</t>
  </si>
  <si>
    <t xml:space="preserve">Aapka payment isliye fail hua kyunki card ki expiry date nikal chuki hai.</t>
  </si>
  <si>
    <t xml:space="preserve">Your payment didn't go through because the card has expired.</t>
  </si>
  <si>
    <t xml:space="preserve">Was any money taken from my account?</t>
  </si>
  <si>
    <t xml:space="preserve">I can't see a completed payment on our side. If your bank shows a temporary hold, it should be released automatically. If it's still there after 5 working days, message us and we'll check it.</t>
  </si>
  <si>
    <t xml:space="preserve">Partner A says "I paid but there's no order" and is getting worried. Partner B explains the expired-code cause in two sentences, without blame, and offers to stay while A pays again.</t>
  </si>
  <si>
    <t xml:space="preserve">Record yourself reading the explanation aloud, with a clear "th" in "through" and a short pause before "because".</t>
  </si>
  <si>
    <t xml:space="preserve">Did you give the real cause? · Did you avoid blaming the customer? · Did you link the cause to what they saw?</t>
  </si>
  <si>
    <t xml:space="preserve">CSC-I-005</t>
  </si>
  <si>
    <t xml:space="preserve">I've passed this to our billing team. They'll email you by 6 pm tomorrow, so you don't need to stay in this chat.</t>
  </si>
  <si>
    <t xml:space="preserve">The customer's billing question needs the billing team, who you cannot reach during this chat; you have checked that they reply to such cases by 6 pm the next day.</t>
  </si>
  <si>
    <t xml:space="preserve">Another team will answer later, not you. What three things does the customer need to hear before they leave the chat?</t>
  </si>
  <si>
    <t xml:space="preserve">i've PASSED this to our BILL-ing TEAM · they'll E-mail you by SIX pee-EM to-MOR-row · you DON'T need to STAY</t>
  </si>
  <si>
    <t xml:space="preserve">If read aloud: passed_this → "pas-this" · they'll_email → "thay-lee-mail" · don't_need → "dohn-need"</t>
  </si>
  <si>
    <t xml:space="preserve">If read aloud: fall on "team", say "by 6 pm tomorrow" slowly as the key fact, then a gentle fall on "chat".</t>
  </si>
  <si>
    <t xml:space="preserve">If read aloud: "passed" sounds like "past", one syllable, not "pas-sed"; and "they'll" starts with a soft "th" (tongue touching the teeth), not a "d".</t>
  </si>
  <si>
    <t xml:space="preserve">Reassuring, specific, honest</t>
  </si>
  <si>
    <t xml:space="preserve">Worried they will be forgotten once the chat closes.</t>
  </si>
  <si>
    <t xml:space="preserve">Think of a token at a bakery counter: who has your order, when it will be ready, and that you are free to walk away meanwhile.</t>
  </si>
  <si>
    <t xml:space="preserve">मैंने यह हमारी बिलिंग टीम को भेज दिया है। वे कल शाम 6 बजे तक आपको ईमेल करेंगे, इसलिए आपको इस चैट में रुकने की ज़रूरत नहीं है।</t>
  </si>
  <si>
    <t xml:space="preserve">Maine yeh hamari billing team ko bhej diya hai. Ve kal shaam 6 baje tak aapko email karenge, isliye aapko is chat mein rukne ki zaroorat nahin hai.</t>
  </si>
  <si>
    <t xml:space="preserve">Another team now has your question. They will write to you by email before 6 pm tomorrow, so you can close this chat.</t>
  </si>
  <si>
    <t xml:space="preserve">It names who has the issue, how they will reply and by when. Telling the customer they can leave saves their time and stops them waiting in an empty chat.</t>
  </si>
  <si>
    <t xml:space="preserve">I've passed this to ___. They'll ___ by ___, so you don't need to ___.</t>
  </si>
  <si>
    <t xml:space="preserve">I've + past participle · They'll + verb + by + time · so + you don't need to + verb</t>
  </si>
  <si>
    <t xml:space="preserve">"by 6 pm" means at or before 6 pm; it is a deadline, not an exact time.</t>
  </si>
  <si>
    <t xml:space="preserve">A real deadline sounds trustworthy. "Someone will get back to you" sounds like it may never happen.</t>
  </si>
  <si>
    <t xml:space="preserve">✗ They'll email you by tomorrow 6 pm, so you need not to stay in this chat. → ✓ They'll email you by 6 pm tomorrow, so you don't need to stay in this chat.</t>
  </si>
  <si>
    <t xml:space="preserve">"Team will revert soon." "Revert" means "go back" to many international customers, and "soon" gives no time.</t>
  </si>
  <si>
    <t xml:space="preserve">Instead of "I can't do anything about billing", say "I've passed this to our billing team. They'll email you by 6 pm tomorrow."</t>
  </si>
  <si>
    <t xml:space="preserve">Our billing team has your question now, and they'll reply by email before 6 pm tomorrow. You're free to close this chat.</t>
  </si>
  <si>
    <t xml:space="preserve">I've sent this to billing. Expect an email from them by 6 pm tomorrow; there's no need to wait here.</t>
  </si>
  <si>
    <t xml:space="preserve">I have forwarded your query to our billing team, who will reply by email no later than 6 pm tomorrow.</t>
  </si>
  <si>
    <t xml:space="preserve">Is the email address on your account the best one for them to use?</t>
  </si>
  <si>
    <t xml:space="preserve">OK, which email will they use? · Can't you do it now? · What if they don't reply?</t>
  </si>
  <si>
    <t xml:space="preserve">Customer: "What if nobody emails me?" → Agent: "Your case number is CS-31852. If you don't hear by 6 pm tomorrow, message us with it and we'll follow up straight away."</t>
  </si>
  <si>
    <t xml:space="preserve">"Will revert" is common in Indian business English and is listed as Indian English in Oxford's learner's dictionary. For international customers, switch to "will reply" or "will get back to you".</t>
  </si>
  <si>
    <t xml:space="preserve">Voice: give the time and confirm the email address aloud. Email: put the deadline in its own sentence near the top.</t>
  </si>
  <si>
    <t xml:space="preserve">Do not promise a deadline the other team has not agreed to; check their usual reply time first.</t>
  </si>
  <si>
    <t xml:space="preserve">Customer: Why was I charged twice? | Agent: I'm sorry to hear you were charged twice. I've passed this to our billing team. They'll email you by 6 pm tomorrow, so you don't need to stay in this chat. | Customer: Which email address will they use? | Agent: The one saved on your account. Could you check that it's still correct?</t>
  </si>
  <si>
    <t xml:space="preserve">State a real reply time and the next step; never leave the timing vague.</t>
  </si>
  <si>
    <t xml:space="preserve">They'll email you by 6 pm tomorrow, so you don't need ____ stay in this chat.</t>
  </si>
  <si>
    <t xml:space="preserve">Which message best tells the customer when to expect a reply from another team?</t>
  </si>
  <si>
    <t xml:space="preserve">A) Our billing team will get back to you soon, so please wait for their reply. | B) Someone from our team will contact you about this as soon as possible. | C) They'll email you by 6 pm tomorrow, so you don't need to stay in this chat. | D) Please stay in this chat while the billing team looks at your question.</t>
  </si>
  <si>
    <t xml:space="preserve">C is the only option with a real time (6 pm tomorrow) and the channel (email), and it tells the customer they can leave. A and B say "soon" or "as soon as possible", and D keeps them in the chat with no time given.</t>
  </si>
  <si>
    <t xml:space="preserve">email / They'll / tomorrow / by / you / 6 / pm</t>
  </si>
  <si>
    <t xml:space="preserve">They'll email you by 6 pm tomorrow</t>
  </si>
  <si>
    <t xml:space="preserve">Maine yeh technical team ko bhej diya hai. Ve aapko kal dopahar 12 baje tak call karenge.</t>
  </si>
  <si>
    <t xml:space="preserve">I've passed this to our technical team. They'll call you by 12 noon tomorrow.</t>
  </si>
  <si>
    <t xml:space="preserve">Can't you just fix it yourself now?</t>
  </si>
  <si>
    <t xml:space="preserve">I'd like to fix it now, but only our billing team can change a charge. I've marked your case as urgent for them.</t>
  </si>
  <si>
    <t xml:space="preserve">Partner A has a billing question you cannot answer in chat. Partner B passes it on and tells A who will reply, how, by when, and that A can leave the chat.</t>
  </si>
  <si>
    <t xml:space="preserve">Record yourself reading the message aloud, slowing down on the time and the team name.</t>
  </si>
  <si>
    <t xml:space="preserve">Did you name the team? · Did you give a clear deadline? · Did you tell the customer they can leave the chat?</t>
  </si>
  <si>
    <t xml:space="preserve">CSC-I-006</t>
  </si>
  <si>
    <t xml:space="preserve">I'm really sorry the gift didn't arrive in time for your daughter's birthday, Vikram. I can see why that's upsetting, and I've refunded the express delivery charge.</t>
  </si>
  <si>
    <t xml:space="preserve">Vikram paid for express delivery so a gift would reach his daughter on her birthday, but it arrived a day late; you have checked the order and refunded the delivery charge.</t>
  </si>
  <si>
    <t xml:space="preserve">A customer's gift arrived a day after a family birthday, even though he paid extra for speed. What three things should your written reply contain?</t>
  </si>
  <si>
    <t xml:space="preserve">i'm REAL-ly SOR-ry · the GIFT DID-n't ar-RIVE in TIME · for your DAUGH-ter's BIRTH-day, VIK-ram · i can SEE why that's up-SET-ting · and i've re-FUND-ed the ex-PRESS de-LIV-er-y CHARGE</t>
  </si>
  <si>
    <t xml:space="preserve">If read aloud: arrive_in_time → "a-rai-vin-TIME" · that's_upsetting → "that-sup-SET-ing" · refunded_the → "ri-FUN-did-the"</t>
  </si>
  <si>
    <t xml:space="preserve">If read aloud: soft and slower on "really sorry", a falling tone on "birthday" and "upsetting", then a firmer, confident fall on "charge".</t>
  </si>
  <si>
    <t xml:space="preserve">If read aloud: "daughter's" has no "g" sound (DAW-terz), and "birthday" has a soft "th" with the tongue between the teeth (BURTH-day), not "bur-day" or "birt-day".</t>
  </si>
  <si>
    <t xml:space="preserve">Sincere, warm, action-focused</t>
  </si>
  <si>
    <t xml:space="preserve">Hurt and angry that a birthday surprise was spoiled after paying extra for speed.</t>
  </si>
  <si>
    <t xml:space="preserve">Think of a friend who hears the cake reached the party late, says "Oh no, on her birthday too", and quietly hands back the money you paid for fast delivery.</t>
  </si>
  <si>
    <t xml:space="preserve">विक्रम, मुझे सच में अफ़सोस है कि तोहफ़ा आपकी बेटी के जन्मदिन तक नहीं पहुँचा। मैं समझ सकता/सकती हूँ कि यह क्यों परेशान करने वाला है, और मैंने एक्सप्रेस डिलीवरी का चार्ज वापस कर दिया है।</t>
  </si>
  <si>
    <t xml:space="preserve">Vikram, mujhe sach mein afsos hai ki tohfa aapki beti ke janmdin tak nahin pahuncha. Main samajh sakta/sakti hoon ki yeh kyon pareshaan karne wala hai, aur maine express delivery ka charge wapas kar diya hai.</t>
  </si>
  <si>
    <t xml:space="preserve">I am very sorry the present came after your daughter's birthday. I understand why you feel bad, and I have given back the extra money you paid for fast delivery.</t>
  </si>
  <si>
    <t xml:space="preserve">It names exactly what went wrong and why it mattered, accepts the feeling, and shows a fix that is already done. In writing the customer cannot hear your voice, so the words must carry the warmth.</t>
  </si>
  <si>
    <t xml:space="preserve">I'm really sorry ___. I can see why that's ___, and I've ___.</t>
  </si>
  <si>
    <t xml:space="preserve">I'm sorry + (that) + clause · I can see why + clause · I've + past participle (already done)</t>
  </si>
  <si>
    <t xml:space="preserve">"I can see why" shows you understand the reason for the feeling; "I've refunded" shows the fix is already done, not just promised.</t>
  </si>
  <si>
    <t xml:space="preserve">A specific apology that names what mattered (the birthday) feels real. "Sorry for the inconvenience caused" sounds copied and pasted, and stops at words.</t>
  </si>
  <si>
    <t xml:space="preserve">✗ I'm really sorry the gift didn't arrived in time. → ✓ I'm really sorry the gift didn't arrive in time.</t>
  </si>
  <si>
    <t xml:space="preserve">"We regret the inconvenience caused." It is vague, scripted and offers no fix.</t>
  </si>
  <si>
    <t xml:space="preserve">Instead of "Delays can happen at busy times", say "I'm really sorry the gift didn't arrive in time for your daughter's birthday. I've refunded the express delivery charge."</t>
  </si>
  <si>
    <t xml:space="preserve">That must have been so disappointing on her birthday, Vikram, and I'm sorry. As it didn't arrive when we promised, I've refunded the express charge.</t>
  </si>
  <si>
    <t xml:space="preserve">I'm so sorry it missed the birthday, Vikram. You paid for it to arrive on time, so I've given you back the express delivery charge.</t>
  </si>
  <si>
    <t xml:space="preserve">I sincerely apologise that your gift did not arrive in time for your daughter's birthday. I completely understand your disappointment, and I have refunded the express delivery charge.</t>
  </si>
  <si>
    <t xml:space="preserve">You'll get an email confirming the refund in the next few minutes. Did the gift itself arrive in good condition?</t>
  </si>
  <si>
    <t xml:space="preserve">Thanks, but that doesn't fix her birthday. · Is the gift at least OK? · How did you miss the date?</t>
  </si>
  <si>
    <t xml:space="preserve">Customer: "A refund doesn't fix her birthday!" → Agent: "You're right, it doesn't, and I'm sorry. The refund is the part I can put right now, and I've reported the delay to our delivery team today."</t>
  </si>
  <si>
    <t xml:space="preserve">"Sorry for the inconvenience caused" is a standard line in many Indian support scripts. International customers often read it as copied text; a named problem and an action feel more sincere.</t>
  </si>
  <si>
    <t xml:space="preserve">Voice: slow down and lower your pitch slightly on "really sorry". Email: put the apology and the fix in the first two lines.</t>
  </si>
  <si>
    <t xml:space="preserve">Do not say "I've refunded" until the refund has actually gone through; if it still needs approval, say you have requested it and when the customer will hear.</t>
  </si>
  <si>
    <t xml:space="preserve">Customer: The gift came a day late. Her birthday was yesterday, and I paid for express! | Agent: I'm really sorry the gift didn't arrive in time for your daughter's birthday, Vikram. I can see why that's upsetting, and I've refunded the express delivery charge. | Customer: Is the gift at least OK? | Agent: The courier marked it as delivered undamaged. If anything is wrong, send me a photo and I'll sort it out today.</t>
  </si>
  <si>
    <t xml:space="preserve">Apologise specifically, take responsibility, then offer a fix; never an empathy line on its own.</t>
  </si>
  <si>
    <t xml:space="preserve">I'm really sorry the gift didn't arrive in time for your daughter's birthday, Vikram. I can see ____ (starts with w) that's upsetting, and I've refunded the express delivery charge.</t>
  </si>
  <si>
    <t xml:space="preserve">A birthday gift arrived a day late, although the customer paid for express delivery. Which written reply shows empathy best?</t>
  </si>
  <si>
    <t xml:space="preserve">A) We sincerely regret the inconvenience caused and thank you for your patience. | B) I'm really sorry it missed your daughter's birthday. I've refunded the express charge. | C) I understand you're upset. Deliveries can be delayed at busy times of the year. | D) I'm sorry to hear that. Please raise a refund request for the delivery charge online.</t>
  </si>
  <si>
    <t xml:space="preserve">B names what went wrong and why it mattered, then shows a fix already done. A is vague and scripted, C follows the empathy line with an excuse, and D pushes the work onto the customer.</t>
  </si>
  <si>
    <t xml:space="preserve">I've / the / charge / delivery / refunded / express</t>
  </si>
  <si>
    <t xml:space="preserve">I've refunded the express delivery charge</t>
  </si>
  <si>
    <t xml:space="preserve">Mujhe sach mein afsos hai ki aapka order shaadi se pehle nahin pahuncha. Main samajh sakta/sakti hoon ki yeh kyon pareshaan karne wala hai.</t>
  </si>
  <si>
    <t xml:space="preserve">I'm really sorry your order didn't arrive before the wedding. I can see why that's upsetting.</t>
  </si>
  <si>
    <t xml:space="preserve">How did you miss the date when I paid for express?</t>
  </si>
  <si>
    <t xml:space="preserve">I can see the parcel was held at the courier's local hub for a day, and I'm sorry we didn't warn you. I've reported it to our delivery team so they can look into it.</t>
  </si>
  <si>
    <t xml:space="preserve">Partner A writes that an anniversary cake arrived the day after the party, even though they paid for express delivery. Partner B writes one reply that names the problem, shows understanding and states the fix already made.</t>
  </si>
  <si>
    <t xml:space="preserve">Record yourself reading your apology aloud, sounding sincere and slowing down on "really sorry".</t>
  </si>
  <si>
    <t xml:space="preserve">Did you name the exact problem and why it mattered? · Did you avoid "sorry for the inconvenience"? · Did you state the fix in the same message?</t>
  </si>
  <si>
    <t xml:space="preserve">CSC-I-007</t>
  </si>
  <si>
    <t xml:space="preserve">Follow-up</t>
  </si>
  <si>
    <t xml:space="preserve">Thanks for waiting, Meera. I'm still checking with the warehouse, and it's taking a bit longer than I expected. I'll update you within 3 minutes.</t>
  </si>
  <si>
    <t xml:space="preserve">You told the customer you would check stock, but the warehouse has not replied yet and she has heard nothing for a while.</t>
  </si>
  <si>
    <t xml:space="preserve">Your check is taking longer than you said and the chat has gone quiet. What do you send before the customer starts to worry?</t>
  </si>
  <si>
    <t xml:space="preserve">THANKS for WAIT-ing MEE-ra · i'm STILL CHECK-ing with the WARE-house · it's TAK-ing a bit LONG-er than i ex-PECT-ed · i'll up-DATE you with-IN THREE MIN-utes</t>
  </si>
  <si>
    <t xml:space="preserve">If read aloud: than_I → "tha-nai" · taking_a_bit → "tay-king-a-bit" · update_you → "up-DAY-choo"</t>
  </si>
  <si>
    <t xml:space="preserve">If read aloud: fall on "warehouse", say "a bit longer" honestly with no rush, then fall clearly on "three minutes".</t>
  </si>
  <si>
    <t xml:space="preserve">If read aloud: "expected" ends with "kt-id" ("ik-SPEK-tid"); do not drop the "k". And "warehouse" starts with rounded lips for "w", not teeth on lip.</t>
  </si>
  <si>
    <t xml:space="preserve">Honest, proactive, reassuring</t>
  </si>
  <si>
    <t xml:space="preserve">Starting to wonder whether the agent has gone away.</t>
  </si>
  <si>
    <t xml:space="preserve">Think of a pizza tracker that pings "Still in the oven" before you even ask; silence is what makes people angry.</t>
  </si>
  <si>
    <t xml:space="preserve">इंतज़ार करने के लिए धन्यवाद, मीरा। मैं अभी भी वेयरहाउस से जाँच कर रहा/रही हूँ, और इसमें मेरी उम्मीद से थोड़ा ज़्यादा समय लग रहा है। मैं 3 मिनट के अंदर आपको अपडेट दूँगा/दूँगी।</t>
  </si>
  <si>
    <t xml:space="preserve">Intezaar karne ke liye dhanyavaad, Meera. Main abhi bhi warehouse se jaanch kar raha/rahi hoon, aur ismein meri ummeed se thoda zyaada samay lag raha hai. Main 3 minute ke andar aapko update doonga/doongi.</t>
  </si>
  <si>
    <t xml:space="preserve">I am still working on your question. It is slower than I thought, and I will write again in three minutes or less.</t>
  </si>
  <si>
    <t xml:space="preserve">It breaks the silence before the customer has to ask, admits the delay honestly and sets a new short deadline. Long gaps between replies are what make chat customers unhappy.</t>
  </si>
  <si>
    <t xml:space="preserve">I'm still ___, and it's taking a bit longer than I expected. I'll update you within ___.</t>
  </si>
  <si>
    <t xml:space="preserve">I'm still + verb-ing · it's taking + longer than + I expected · I'll + verb + within + time</t>
  </si>
  <si>
    <t xml:space="preserve">"still" shows the work has not stopped; "within 3 minutes" means "in 3 minutes or less".</t>
  </si>
  <si>
    <t xml:space="preserve">Admitting the delay builds trust. Saying nothing, or sending only "please wait", makes the customer feel forgotten.</t>
  </si>
  <si>
    <t xml:space="preserve">✗ I am still checking with warehouse, it is taking more longer than I expected. → ✓ I'm still checking with the warehouse, and it's taking a bit longer than I expected.</t>
  </si>
  <si>
    <t xml:space="preserve">"Please wait." on its own, again and again. It gives no news and no time.</t>
  </si>
  <si>
    <t xml:space="preserve">Instead of "It is taking time, please wait", say "It's taking a bit longer than I expected. I'll update you within 3 minutes."</t>
  </si>
  <si>
    <t xml:space="preserve">Just a quick update, Meera: I'm still waiting to hear from the warehouse. I'll be back with you in 3 minutes at most.</t>
  </si>
  <si>
    <t xml:space="preserve">Still on it, Meera. The warehouse check is slower than usual, so give me up to 3 more minutes.</t>
  </si>
  <si>
    <t xml:space="preserve">Thank you for your patience. I am still waiting for confirmation from our warehouse and will update you within three minutes.</t>
  </si>
  <si>
    <t xml:space="preserve">Thanks for waiting, Meera. The warehouse has confirmed the blue one is in stock and can ship today.</t>
  </si>
  <si>
    <t xml:space="preserve">OK, no problem. · How much longer? · Can you just email me instead?</t>
  </si>
  <si>
    <t xml:space="preserve">Customer: "I've already waited 10 minutes!" → Agent: "I'm sorry you've waited so long. If you'd prefer, I'll email you the answer within 15 minutes, so you don't need to wait here."</t>
  </si>
  <si>
    <t xml:space="preserve">Agents often go silent while checking, as they might on a call. In chat, the customer cannot hear you working, so international customers expect a short update during long checks.</t>
  </si>
  <si>
    <t xml:space="preserve">Voice: return to the caller before the promised hold time ends. Email: send a short "still working on it" note if the promised time will pass.</t>
  </si>
  <si>
    <t xml:space="preserve">Do not keep sending new 3-minute promises; after one update, offer to email or call back instead.</t>
  </si>
  <si>
    <t xml:space="preserve">Customer: Any news? | Agent: Thanks for waiting, Meera. I'm still checking with the warehouse, and it's taking a bit longer than I expected. I'll update you within 3 minutes. | Customer: OK. | Agent: Good news, Meera: the blue one is in stock and can ship today.</t>
  </si>
  <si>
    <t xml:space="preserve">Long gaps between chat replies hurt satisfaction (Zendesk); update before the customer has to ask.</t>
  </si>
  <si>
    <t xml:space="preserve">I'm still checking with the warehouse, and it's taking a bit ____ than I expected.</t>
  </si>
  <si>
    <t xml:space="preserve">longer</t>
  </si>
  <si>
    <t xml:space="preserve">Your stock check is slow and the customer has heard nothing for a while. What should you send?</t>
  </si>
  <si>
    <t xml:space="preserve">A) Please wait while I check this. I will reply as soon as I have an answer. | B) Thanks for waiting. I'm still checking and will update you within 3 minutes. | C) Sorry for the delay. The warehouse is very busy today, so I can't say when I'll reply. | D) I know this is taking long. It's the warehouse's delay, not mine, so please be patient.</t>
  </si>
  <si>
    <t xml:space="preserve">B gives an honest status and a new short deadline. A and C give no time, and D blames the warehouse instead of helping the customer.</t>
  </si>
  <si>
    <t xml:space="preserve">update / I'll / within / you / minutes / 3</t>
  </si>
  <si>
    <t xml:space="preserve">I'll update you within 3 minutes</t>
  </si>
  <si>
    <t xml:space="preserve">Main abhi bhi courier company se pata kar raha/rahi hoon. Main 5 minute ke andar aapko update doonga/doongi.</t>
  </si>
  <si>
    <t xml:space="preserve">I'm still checking with the courier company. I'll update you within 5 minutes.</t>
  </si>
  <si>
    <t xml:space="preserve">How much longer will this take?</t>
  </si>
  <si>
    <t xml:space="preserve">Up to 3 more minutes. If I don't have an answer by then, I'll email it to you within the hour, so you're free to go.</t>
  </si>
  <si>
    <t xml:space="preserve">Partner A asks if a product is in stock and then waits. Partner B sends one honest progress update with a new deadline, then the final answer.</t>
  </si>
  <si>
    <t xml:space="preserve">Record yourself reading the update aloud, sounding calm and honest, with a clear fall on "three minutes".</t>
  </si>
  <si>
    <t xml:space="preserve">Did you thank the customer for waiting? · Did you say honestly that it is taking longer? · Did you give a new, short deadline?</t>
  </si>
  <si>
    <t xml:space="preserve">CSC-I-008</t>
  </si>
  <si>
    <t xml:space="preserve">I'm sorry, the address is locked once an order ships, but I can send it to a nearby pickup point or arrange a free return. Which would you prefer?</t>
  </si>
  <si>
    <t xml:space="preserve">The customer wants to change the delivery address, but the parcel has already left the warehouse; your system shows a pickup point near the new address and a free return are both available.</t>
  </si>
  <si>
    <t xml:space="preserve">The customer's request is not possible any more. How do you say so in one message and still give them a choice?</t>
  </si>
  <si>
    <t xml:space="preserve">i'm SOR-ry · the ad-DRESS is LOCKED · once an OR-der SHIPS · but i CAN · send it to a NEAR-by PICK-up POINT · or ar-RANGE a FREE re-TURN · WHICH would you pre-FER</t>
  </si>
  <si>
    <t xml:space="preserve">If read aloud: send_it → "sen-dit" · arrange_a → "a-RAIN-ja" · an_order → "a-NOR-der"</t>
  </si>
  <si>
    <t xml:space="preserve">If read aloud: fall on "ships", lift slightly on "pickup point", then fall on "free return" to present a choice; fall again on "prefer".</t>
  </si>
  <si>
    <t xml:space="preserve">If read aloud: "locked" and "ships" end in clear "kt" and "ps" sounds; do not add a vowel ("lock-ed", "ship-su"). Stress pre-FER on the second syllable.</t>
  </si>
  <si>
    <t xml:space="preserve">Honest, helpful, solution-focused</t>
  </si>
  <si>
    <t xml:space="preserve">Anxious that the parcel will go to the wrong place.</t>
  </si>
  <si>
    <t xml:space="preserve">Think of a closed door with two open windows beside it: show the closed door briefly, then point to the windows.</t>
  </si>
  <si>
    <t xml:space="preserve">माफ़ कीजिए, ऑर्डर शिप होने के बाद पता बदला नहीं जा सकता, लेकिन मैं इसे पास के पिकअप पॉइंट पर भिजवा सकता/सकती हूँ या फ़्री रिटर्न करवा सकता/सकती हूँ। आप क्या पसंद करेंगे?</t>
  </si>
  <si>
    <t xml:space="preserve">Maaf kijiye, order ship hone ke baad pata badla nahin ja sakta, lekin main ise paas ke pickup point par bhijwa sakta/sakti hoon ya free return karwa sakta/sakti hoon. Aap kya pasand karenge?</t>
  </si>
  <si>
    <t xml:space="preserve">Sorry, we cannot change the address now because the parcel has left, but you can choose: collect it nearby, or send it back for free.</t>
  </si>
  <si>
    <t xml:space="preserve">It says sorry, gives the reason in a few words, moves straight to what is possible and lets the customer choose. A choice gives back some control after hearing "no".</t>
  </si>
  <si>
    <t xml:space="preserve">I'm sorry, ___ once ___, but I can ___ or ___. Which would you prefer?</t>
  </si>
  <si>
    <t xml:space="preserve">Reason + but + I can + verb + or + verb · Which would you prefer?</t>
  </si>
  <si>
    <t xml:space="preserve">"but I can" turns the sentence from the limit to the solution; "Which would you prefer?" offers a choice.</t>
  </si>
  <si>
    <t xml:space="preserve">Giving options straight after the reason sounds helpful. "Not possible, it's our policy" sounds like a wall and gives the customer nowhere to go.</t>
  </si>
  <si>
    <t xml:space="preserve">✗ I'm sorry, the address is locked once an order ship, but I can send it to nearby pickup point. → ✓ I'm sorry, the address is locked once an order ships, but I can send it to a nearby pickup point.</t>
  </si>
  <si>
    <t xml:space="preserve">"It is not possible as per company policy." It hides behind policy and offers nothing.</t>
  </si>
  <si>
    <t xml:space="preserve">Instead of "We can't change the address", say "I can send it to a nearby pickup point or arrange a free return."</t>
  </si>
  <si>
    <t xml:space="preserve">As the parcel is already on its way, the address is fixed, but I can redirect it to a pickup point near you. Would that work?</t>
  </si>
  <si>
    <t xml:space="preserve">Once it ships, the address is fixed. What I can do is arrange a free return or redirect it to a pickup point near you. Which suits you better?</t>
  </si>
  <si>
    <t xml:space="preserve">Unfortunately, the delivery address cannot be changed after dispatch. However, I would be happy to redirect the parcel to a pickup point or arrange a free return.</t>
  </si>
  <si>
    <t xml:space="preserve">Great. Which area would you like to collect it from? A postal code is fine.</t>
  </si>
  <si>
    <t xml:space="preserve">The pickup point, please. · Why can't you just call the courier? · I'll take the return.</t>
  </si>
  <si>
    <t xml:space="preserve">Customer: "Just call the courier and change it!" → Agent: "I understand you want it to reach your new address. Once it ships, the courier only accepts changes to a pickup point, so that's the closest option I can arrange."</t>
  </si>
  <si>
    <t xml:space="preserve">"As per policy" is common in Indian service writing. International customers often hear it as a refusal to help; give the plain reason, then what you can do.</t>
  </si>
  <si>
    <t xml:space="preserve">Voice: pause after the reason, then offer the two choices slowly. Email: put each option on its own line.</t>
  </si>
  <si>
    <t xml:space="preserve">Do not offer options you have not checked are available, such as a pickup point in that area.</t>
  </si>
  <si>
    <t xml:space="preserve">Customer: Can I change the address? I moved. | Agent: I'm sorry, the address is locked once an order ships, but I can send it to a nearby pickup point or arrange a free return. Which would you prefer? | Customer: Pickup point, please. | Agent: Great. Could you share the postal code of the area where you'd like to collect it?</t>
  </si>
  <si>
    <t xml:space="preserve">Don't hide behind "policy": give the reason in plain words, then an alternative (derived advice).</t>
  </si>
  <si>
    <t xml:space="preserve">I'm sorry, the address is locked once an order ships, ____ I can send it to a nearby pickup point or arrange a free return.</t>
  </si>
  <si>
    <t xml:space="preserve">The parcel has shipped and the customer wants a new address. Which reply is best?</t>
  </si>
  <si>
    <t xml:space="preserve">A) I'm sorry, but our rules do not allow an address change after dispatch, so it is not possible. | B) I'm sorry, the parcel has shipped, but I can send it to a pickup point or arrange a free return. | C) You can only change the address before an order ships, so please check it carefully next time. | D) I'm sorry, the parcel has already shipped, so there is nothing more that I can do for you now.</t>
  </si>
  <si>
    <t xml:space="preserve">B says sorry, gives a short reason and offers two real options. A hides behind a rule, C blames the customer, and D leaves them with nothing to do.</t>
  </si>
  <si>
    <t xml:space="preserve">locked / order / The / ships / is / address / once / an</t>
  </si>
  <si>
    <t xml:space="preserve">The address is locked once an order ships</t>
  </si>
  <si>
    <t xml:space="preserve">Maaf kijiye, order pack hone ke baad size badla nahin ja sakta, lekin main aapke liye exchange karwa sakta/sakti hoon.</t>
  </si>
  <si>
    <t xml:space="preserve">I'm sorry, the size is locked once the order is packed, but I can arrange an exchange for you.</t>
  </si>
  <si>
    <t xml:space="preserve">Is the free return really free? Do I pay for anything?</t>
  </si>
  <si>
    <t xml:space="preserve">Yes, there is nothing to pay. I'll email you a prepaid return label as soon as you confirm.</t>
  </si>
  <si>
    <t xml:space="preserve">Partner A asks to change the delivery address of a shipped parcel and gets a little annoyed. Partner B explains briefly and offers two clear options, then completes A's choice.</t>
  </si>
  <si>
    <t xml:space="preserve">Record yourself reading the message aloud with a falling tone on "free return" to make it sound like a choice.</t>
  </si>
  <si>
    <t xml:space="preserve">Did you say sorry and give a short, plain reason? · Did you move straight to what you can do? · Did you let the customer choose?</t>
  </si>
  <si>
    <t xml:space="preserve">CSC-I-009</t>
  </si>
  <si>
    <t xml:space="preserve">Could you try logging in again now and let me know if it works? I'll stay in the chat until you're in.</t>
  </si>
  <si>
    <t xml:space="preserve">You have unlocked the customer's account and need to know if the fix really worked before you close the chat.</t>
  </si>
  <si>
    <t xml:space="preserve">You think you have fixed the login problem. What do you ask before you say goodbye, and what do you promise?</t>
  </si>
  <si>
    <t xml:space="preserve">could you TRY LOG-ging in a-GAIN NOW · let me KNOW if it WORKS · i'll STAY in the CHAT un-TIL you're IN</t>
  </si>
  <si>
    <t xml:space="preserve">If read aloud: could_you → "cud-joo" · if_it → "i-fit" · let_me → "let-mee" (very light "t")</t>
  </si>
  <si>
    <t xml:space="preserve">If read aloud: rise on "works?" because it is a yes/no question, then a calm fall on "you're in".</t>
  </si>
  <si>
    <t xml:space="preserve">If read aloud: "works" needs rounded lips for "w" (not teeth on lip, like "v") and a clear "ks" at the end: practise "worse / verse".</t>
  </si>
  <si>
    <t xml:space="preserve">Helpful, patient, confirming</t>
  </si>
  <si>
    <t xml:space="preserve">Hopeful the problem is fixed, but not sure yet.</t>
  </si>
  <si>
    <t xml:space="preserve">Think of a mechanic who hands back the keys and says "Start it while I'm here", not "Bye, it should be fine".</t>
  </si>
  <si>
    <t xml:space="preserve">क्या आप अभी फिर से लॉग इन करके देख सकते हैं और बता सकते हैं कि यह काम कर रहा है या नहीं? जब तक आप लॉग इन नहीं हो जाते, मैं चैट में रहूँगा/रहूँगी।</t>
  </si>
  <si>
    <t xml:space="preserve">Kya aap abhi phir se log in karke dekh sakte hain aur bata sakte hain ki yeh kaam kar raha hai ya nahin? Jab tak aap log in nahin ho jaate, main chat mein rahoonga/rahoongi.</t>
  </si>
  <si>
    <t xml:space="preserve">Please try to log in now and tell me if it works. I will wait here until you are inside your account.</t>
  </si>
  <si>
    <t xml:space="preserve">It checks that the problem is really solved before closing, so the customer does not need to come back. Staying in the chat removes the fear of being left alone if it fails.</t>
  </si>
  <si>
    <t xml:space="preserve">Could you try ___ and let me know if it works? I'll stay ___ until ___.</t>
  </si>
  <si>
    <t xml:space="preserve">Could you + try + verb-ing · let me know if + present simple · I'll + verb + until + clause</t>
  </si>
  <si>
    <t xml:space="preserve">"try logging in" means "do it to test it"; "until you're in" means "up to the moment you are logged in".</t>
  </si>
  <si>
    <t xml:space="preserve">Checking before closing shows care. "Your issue is resolved, is there anything else?" assumes it worked, which may not be true.</t>
  </si>
  <si>
    <t xml:space="preserve">✗ Could you try to login again now and tell me it is working or not? → ✓ Could you try logging in again now and let me know if it works?</t>
  </si>
  <si>
    <t xml:space="preserve">"It should work now. Thanks for contacting us." It closes before checking and leaves the customer alone if it fails.</t>
  </si>
  <si>
    <t xml:space="preserve">Instead of "Your issue is resolved", say "Could you try logging in again now and let me know if it works?"</t>
  </si>
  <si>
    <t xml:space="preserve">I've unlocked your account. Could you log in now and tell me if you get through? I'll wait here.</t>
  </si>
  <si>
    <t xml:space="preserve">Please give it a try now; I'll stay with you until you're logged in.</t>
  </si>
  <si>
    <t xml:space="preserve">Your account has now been unlocked. Could you please try to log in and confirm whether it works? I will remain in the chat until you have access.</t>
  </si>
  <si>
    <t xml:space="preserve">Great, I'm glad you're in. To sum up, your account is unlocked and working again. Is there anything else I can help with today?</t>
  </si>
  <si>
    <t xml:space="preserve">Yes, it works now! · Still the same error. · One sec, trying.</t>
  </si>
  <si>
    <t xml:space="preserve">Customer: "Can't you just check from your side?" → Agent: "I can see the account is unlocked, but your device may still have old details saved, so a quick try from your side is the only sure check."</t>
  </si>
  <si>
    <t xml:space="preserve">Many scripts close with "Is there anything else?" straight after a fix. International best practice is to confirm the issue is resolved first, then ask about anything else.</t>
  </si>
  <si>
    <t xml:space="preserve">Voice: "Could you try now while I'm on the line?" Email: ask the customer to reply and say whether it worked.</t>
  </si>
  <si>
    <t xml:space="preserve">Do not ask the customer to test when the fix needs hours to take effect; give the time and follow up instead.</t>
  </si>
  <si>
    <t xml:space="preserve">Customer: OK, you said it's unlocked? | Agent: Yes. Could you try logging in again now and let me know if it works? I'll stay in the chat until you're in. | Customer: I'm in, thanks! | Agent: Great, I'm glad it's working. Is there anything else I can help with today?</t>
  </si>
  <si>
    <t xml:space="preserve">Check the issue is resolved before asking "Is there anything else…?" (SQM).</t>
  </si>
  <si>
    <t xml:space="preserve">Could you ____ logging in again now and let me know if it works?</t>
  </si>
  <si>
    <t xml:space="preserve">try</t>
  </si>
  <si>
    <t xml:space="preserve">You have just unlocked an account. What should you send before closing the chat?</t>
  </si>
  <si>
    <t xml:space="preserve">A) Could you try logging in now and let me know if it works? I'll stay here. | B) Your issue is resolved now. Is there anything else I can help you with today? | C) Thanks for contacting us today. Have a nice day, and please rate this chat. | D) Please check again later and contact us if it still doesn't work for you.</t>
  </si>
  <si>
    <t xml:space="preserve">A is the only reply that checks the fix before closing. B assumes it worked, C closes without checking, and D leaves the customer to test it alone later.</t>
  </si>
  <si>
    <t xml:space="preserve">stay / chat / I'll / the / in</t>
  </si>
  <si>
    <t xml:space="preserve">I'll stay in the chat</t>
  </si>
  <si>
    <t xml:space="preserve">Kya aap abhi ek baar phir payment karke dekh sakte hain? Jab tak payment ho nahin jaata, main chat mein hoon.</t>
  </si>
  <si>
    <t xml:space="preserve">Could you try the payment again now? I'll stay in the chat until it goes through.</t>
  </si>
  <si>
    <t xml:space="preserve">It's still showing an error.</t>
  </si>
  <si>
    <t xml:space="preserve">Thanks for trying. What does the error say, word for word? Then I'll know if it's the same problem or a new one.</t>
  </si>
  <si>
    <t xml:space="preserve">Partner A could not log in; Partner B has just unlocked the account. B asks A to test it and stays until A confirms, then closes properly. Repeat once with A saying it still fails.</t>
  </si>
  <si>
    <t xml:space="preserve">Record yourself reading the message aloud, with a rising tone on "works?" and a calm finish.</t>
  </si>
  <si>
    <t xml:space="preserve">Did you ask the customer to test the fix? · Did your question rise at the end? · Did you promise to stay until it works?</t>
  </si>
  <si>
    <t xml:space="preserve">CSC-I-010</t>
  </si>
  <si>
    <t xml:space="preserve">Thanks, Arjun. You've asked about three things, so let's take them one at a time, starting with your missing refund.</t>
  </si>
  <si>
    <t xml:space="preserve">Arjun has sent one long message about a missing refund, a wrong bill and a change of phone number.</t>
  </si>
  <si>
    <t xml:space="preserve">A customer sends one long message with several different problems. How do you organise the chat without ignoring any of them?</t>
  </si>
  <si>
    <t xml:space="preserve">THANKS AR-jun · you've ASKED a-BOUT THREE THINGS · let's TAKE them ONE at a TIME · START-ing with your MISS-ing RE-fund</t>
  </si>
  <si>
    <t xml:space="preserve">If read aloud: asked_about → "ask-ta-bout" · take_them → "tay-kem" · one_at_a → "wun-a-ta"</t>
  </si>
  <si>
    <t xml:space="preserve">If read aloud: fall on "three things", a steady rhythm on "one at a time", then fall on "refund" to show where you start.</t>
  </si>
  <si>
    <t xml:space="preserve">If read aloud: "asked" is one syllable ending in "skt" ("askt"), not "ask-ed" or "ass"; and "three things" needs the tongue between the teeth for both "th" sounds.</t>
  </si>
  <si>
    <t xml:space="preserve">Organised, calm, in control</t>
  </si>
  <si>
    <t xml:space="preserve">Overwhelmed and worried that some issues will be forgotten.</t>
  </si>
  <si>
    <t xml:space="preserve">Think of a doctor with three complaints on one form: she numbers them and treats the most painful one first.</t>
  </si>
  <si>
    <t xml:space="preserve">धन्यवाद, अर्जुन। आपने तीन बातें पूछी हैं, तो चलिए इन्हें एक-एक करके देखते हैं, पहले उस रिफ़ंड से शुरू करते हैं जो आपको अभी तक नहीं मिला।</t>
  </si>
  <si>
    <t xml:space="preserve">Dhanyavaad, Arjun. Aapne teen baatein poochi hain, to chaliye inhein ek-ek karke dekhte hain, pehle us refund se shuru karte hain jo aapko abhi tak nahin mila.</t>
  </si>
  <si>
    <t xml:space="preserve">You have three questions. I will answer them one by one, and I will begin with your refund that has not arrived.</t>
  </si>
  <si>
    <t xml:space="preserve">Counting the questions shows you read all of them, and choosing one to start with gives the chat a clear order. A missing refund is a sensible first choice, and the customer can still change the order.</t>
  </si>
  <si>
    <t xml:space="preserve">You've asked about ___ things, so let's take them one at a time, starting with ___.</t>
  </si>
  <si>
    <t xml:space="preserve">You've + past participle · so + let's + base verb · starting with + noun</t>
  </si>
  <si>
    <t xml:space="preserve">"let's take them one at a time" suggests a plan you do together; "starting with" names the first step.</t>
  </si>
  <si>
    <t xml:space="preserve">"Let's" makes it teamwork. "Please ask one question at a time" puts the work on the customer and sounds like a rule.</t>
  </si>
  <si>
    <t xml:space="preserve">✗ You've asked about three things, so let's take them one after one. → ✓ You've asked about three things, so let's take them one at a time.</t>
  </si>
  <si>
    <t xml:space="preserve">"Please raise separate tickets for each issue." It pushes extra work onto the customer.</t>
  </si>
  <si>
    <t xml:space="preserve">Instead of "Please ask one question at a time", say "Let's take them one at a time, starting with your missing refund."</t>
  </si>
  <si>
    <t xml:space="preserve">I can see three questions here, Arjun. I'll answer each one, beginning with the refund.</t>
  </si>
  <si>
    <t xml:space="preserve">Thanks for the details. Let's go through your three points in order; first, the refund.</t>
  </si>
  <si>
    <t xml:space="preserve">Thank you for your message. I will address each of your three questions in turn, beginning with the missing refund.</t>
  </si>
  <si>
    <t xml:space="preserve">Could you tell me the date you returned the item?</t>
  </si>
  <si>
    <t xml:space="preserve">OK, the refund first. · Actually, the bill is more urgent. · Fine, but don't forget the phone number.</t>
  </si>
  <si>
    <t xml:space="preserve">Customer: "Can't you do them all at once?" → Agent: "I'm working on all three, and I'll answer each one fully. Going in order makes sure nothing is missed."</t>
  </si>
  <si>
    <t xml:space="preserve">Agents sometimes answer only the first question in a long message. International customers notice the others being skipped; naming the number of questions shows nothing was ignored.</t>
  </si>
  <si>
    <t xml:space="preserve">Voice: "You've mentioned three things; let me note them down." Email: answer each question under a number or a short heading.</t>
  </si>
  <si>
    <t xml:space="preserve">Do not use it when two of the questions are really one issue; answer them together instead.</t>
  </si>
  <si>
    <t xml:space="preserve">Customer: My refund hasn't come, my bill is wrong, and I've changed my number. | Agent: Thanks, Arjun. You've asked about three things, so let's take them one at a time, starting with your missing refund. | Customer: OK. | Agent: Thank you. To check your refund, could you tell me which day you returned the item?</t>
  </si>
  <si>
    <t xml:space="preserve">Keep chat replies short but answer every question the customer asked.</t>
  </si>
  <si>
    <t xml:space="preserve">You've asked about three things, so let's take them one at a ____.</t>
  </si>
  <si>
    <t xml:space="preserve">A customer asks about three different problems in one long chat message. What is the best reply?</t>
  </si>
  <si>
    <t xml:space="preserve">A) Thanks. That's a lot to cover, so please send me one question at a time. | B) Thanks, Arjun. I'm checking your refund now and will come back to you shortly. | C) Thanks. Please raise three separate tickets so each team can deal with its own issue. | D) Thanks, Arjun. You've asked about three things, so let's take them one at a time.</t>
  </si>
  <si>
    <t xml:space="preserve">D shows you saw all three and sets a clear order. B starts helping but ignores two of the questions, while A and C push the work onto the customer.</t>
  </si>
  <si>
    <t xml:space="preserve">one / take / let's / at / time / them / a</t>
  </si>
  <si>
    <t xml:space="preserve">let's take them one at a time</t>
  </si>
  <si>
    <t xml:space="preserve">Aapne do baatein poochi hain, to chaliye unhein ek-ek karke dekhte hain, pehle delivery se shuru karte hain.</t>
  </si>
  <si>
    <t xml:space="preserve">You've asked about two things, so let's take them one at a time, starting with the delivery.</t>
  </si>
  <si>
    <t xml:space="preserve">Actually, the wrong bill is more urgent for me.</t>
  </si>
  <si>
    <t xml:space="preserve">Of course, let's start with the bill, then come back to the refund.</t>
  </si>
  <si>
    <t xml:space="preserve">Partner A sends one long message with three problems. Partner B counts them, suggests an order and answers the first one, then moves to the next.</t>
  </si>
  <si>
    <t xml:space="preserve">Record yourself reading the reply aloud, with clear "th" sounds in "three things".</t>
  </si>
  <si>
    <t xml:space="preserve">Did you say how many questions there were? · Did you choose a starting point? · Did you avoid asking the customer to split their message?</t>
  </si>
  <si>
    <t xml:space="preserve">CSC-I-011</t>
  </si>
  <si>
    <t xml:space="preserve">Are you still there, Sana? If I don't hear back in the next 5 minutes, I'll close this chat. You can message us again anytime.</t>
  </si>
  <si>
    <t xml:space="preserve">Sana stopped replying in the middle of the chat and has not answered your friendly check-in, and other customers are waiting in the queue.</t>
  </si>
  <si>
    <t xml:space="preserve">The customer has gone silent. What do you send before you end the chat, and what do you tell them about coming back?</t>
  </si>
  <si>
    <t xml:space="preserve">are you STILL THERE SA-na · if i DON'T hear BACK · in the NEXT FIVE MIN-utes · i'll CLOSE this CHAT · MES-sage us a-GAIN AN-y-time</t>
  </si>
  <si>
    <t xml:space="preserve">If read aloud: if_I → "i-fai" · message_us → "MES-i-jus" · again_anytime → "a-GEN-ee-time"</t>
  </si>
  <si>
    <t xml:space="preserve">If read aloud: rise on "Sana?" as a real question, then a neutral, even tone for the warning and a warm fall on "anytime".</t>
  </si>
  <si>
    <t xml:space="preserve">If read aloud: "there" starts with a voiced "th" (tongue between teeth), not "dare"; and "close" here ends in a "z" sound ("kloze"), not "s".</t>
  </si>
  <si>
    <t xml:space="preserve">Polite, clear, no pressure</t>
  </si>
  <si>
    <t xml:space="preserve">Probably distracted or busy, not upset.</t>
  </si>
  <si>
    <t xml:space="preserve">Think of a shopkeeper who calls "Still looking?" before pulling down the shutter, and adds "Come back tomorrow".</t>
  </si>
  <si>
    <t xml:space="preserve">सना, क्या आप अभी भी यहाँ हैं? अगर अगले 5 मिनट में आपका जवाब नहीं आया, तो मैं यह चैट बंद कर दूँगा/दूँगी। आप कभी भी हमें दोबारा मैसेज कर सकती हैं।</t>
  </si>
  <si>
    <t xml:space="preserve">Sana, kya aap abhi bhi yahan hain? Agar agle 5 minute mein aapka jawaab nahin aaya, to main yeh chat band kar doonga/doongi. Aap kabhi bhi humein dobaara message kar sakti hain.</t>
  </si>
  <si>
    <t xml:space="preserve">Are you still here? If you do not reply in five minutes, I will end the chat, but you can write to us again later.</t>
  </si>
  <si>
    <t xml:space="preserve">It checks in, gives a fair warning with a real time and keeps the door open. The customer is not surprised by a closed chat and knows they can return.</t>
  </si>
  <si>
    <t xml:space="preserve">If I don't hear back in ___, I'll close this chat. You can ___ anytime.</t>
  </si>
  <si>
    <t xml:space="preserve">If + present simple (negative), + I'll + base verb · You can + verb + again anytime</t>
  </si>
  <si>
    <t xml:space="preserve">This is a first conditional: "If I don't hear back, I'll close" talks about a real possible future.</t>
  </si>
  <si>
    <t xml:space="preserve">A warning plus an open door sounds fair. Closing a chat with no warning feels like a door slammed in the customer's face.</t>
  </si>
  <si>
    <t xml:space="preserve">✗ Due to no response, this chat is being closed. → ✓ If I don't hear back in the next 5 minutes, I'll close this chat.</t>
  </si>
  <si>
    <t xml:space="preserve">"Since there is no response from your end, closing the chat." It sounds like blame and gives no way back.</t>
  </si>
  <si>
    <t xml:space="preserve">Instead of "Due to no response, chat is closed", say "If I don't hear back in the next 5 minutes, I'll close this chat. You can message us again anytime."</t>
  </si>
  <si>
    <t xml:space="preserve">Just checking you're still with me, Sana. I'll close the chat in 5 minutes if I don't hear from you, but you're welcome back anytime.</t>
  </si>
  <si>
    <t xml:space="preserve">Hi Sana, are you still there? I'll keep this chat open for 5 more minutes; after that, feel free to start a new one.</t>
  </si>
  <si>
    <t xml:space="preserve">As I haven't heard from you for a little while, I will close this chat in five minutes. Please feel free to contact us again at any time.</t>
  </si>
  <si>
    <t xml:space="preserve">I haven't heard back, so I'm closing this chat now. Your case number is CS-40275 if you need us again.</t>
  </si>
  <si>
    <t xml:space="preserve">Sorry, I'm here! · Yes, one minute please. · (no reply)</t>
  </si>
  <si>
    <t xml:space="preserve">Customer (later): "Why did you close my chat?" → Agent: "I'm sorry, I didn't hear back for a while. I'm here now; let's carry on from where we stopped."</t>
  </si>
  <si>
    <t xml:space="preserve">Some scripts close silent chats with "Due to no response from your end". International customers expect a friendly check-in, a warning and an easy way back.</t>
  </si>
  <si>
    <t xml:space="preserve">Voice: "Hello, are you still there?" twice, then explain you'll end the call and they can call back. Email: not needed; the ticket stays open for a set time.</t>
  </si>
  <si>
    <t xml:space="preserve">Do not send it when you were the one who kept the customer waiting; apologise for the wait instead.</t>
  </si>
  <si>
    <t xml:space="preserve">Customer: (no reply to your check-in for 4 minutes) | Agent: Are you still there, Sana? If I don't hear back in the next 5 minutes, I'll close this chat. You can message us again anytime. | Customer: Sorry, I'm here! | Agent: No worries, welcome back. Let's carry on with your exchange.</t>
  </si>
  <si>
    <t xml:space="preserve">Ending a chat: if the customer goes silent, check in, warn, then close politely.</t>
  </si>
  <si>
    <t xml:space="preserve">If I don't ____ back in the next 5 minutes, I'll close this chat.</t>
  </si>
  <si>
    <t xml:space="preserve">hear</t>
  </si>
  <si>
    <t xml:space="preserve">A customer has been silent for several minutes, and your friendly check-in got no reply. What should you send now?</t>
  </si>
  <si>
    <t xml:space="preserve">A) Are you still there? If I don't hear back in 5 minutes, I'll close this chat. | B) Since I haven't received a reply from your end, this chat is now being closed. | C) Hello? Hello? Are you there? Please reply now, as other customers are waiting. | D) Reply within 5 minutes or this chat will be closed and your request cancelled.</t>
  </si>
  <si>
    <t xml:space="preserve">A checks in politely and gives a fair warning with a real time. B closes without warning, C sounds impatient and gives no information, and D threatens to cancel the request.</t>
  </si>
  <si>
    <t xml:space="preserve">message / can / again / You / anytime / us</t>
  </si>
  <si>
    <t xml:space="preserve">You can message us again anytime</t>
  </si>
  <si>
    <t xml:space="preserve">Kya aap abhi bhi yahan hain? Agar 5 minute mein jawaab nahin aaya, to main chat band kar doonga/doongi.</t>
  </si>
  <si>
    <t xml:space="preserve">Are you still there? If I don't hear back in 5 minutes, I'll close this chat.</t>
  </si>
  <si>
    <t xml:space="preserve">Sorry, I was on another call! I'm back.</t>
  </si>
  <si>
    <t xml:space="preserve">Welcome back, Sana. I was about to confirm the size for your exchange, so let's pick it up from there.</t>
  </si>
  <si>
    <t xml:space="preserve">Partner A stops replying in the middle of a chat. Partner B sends a check-in with a 5-minute warning, then either continues when A returns or sends a polite closing message.</t>
  </si>
  <si>
    <t xml:space="preserve">Record yourself reading the message aloud with a real rising question on "Sana?" and a warm finish.</t>
  </si>
  <si>
    <t xml:space="preserve">Did you check if the customer is still there? · Did you give a clear time before closing? · Did you tell them they can come back?</t>
  </si>
  <si>
    <t xml:space="preserve">CSC-I-012</t>
  </si>
  <si>
    <t xml:space="preserve">I'm glad that's sorted, Neha. You'll see a short survey after this chat, and if you have a moment, I'd really value your feedback.</t>
  </si>
  <si>
    <t xml:space="preserve">The customer's problem is fixed and the system will show a rating survey when the chat ends.</t>
  </si>
  <si>
    <t xml:space="preserve">The issue is fixed and a survey will pop up after the chat. How do you mention it without begging for a good score?</t>
  </si>
  <si>
    <t xml:space="preserve">i'm GLAD that's SORT-ed · you'll SEE a SHORT SUR-vey · if you HAVE a MO-ment · i'd REAL-ly VAL-ue your FEED-back</t>
  </si>
  <si>
    <t xml:space="preserve">If read aloud: that's_sorted → "thats-SOR-tid" · if_you_have_a → "if-yoo-ha-va" · value_your → "VAL-yoo-yor"</t>
  </si>
  <si>
    <t xml:space="preserve">If read aloud: warm fall on "sorted", lighter and quicker for the survey part, a soft fall on "feedback" with no pleading tone.</t>
  </si>
  <si>
    <t xml:space="preserve">If read aloud: "survey" as a noun is SUR-vey, stress on the first part; and "value" needs top teeth on the lower lip for "v", not a "w".</t>
  </si>
  <si>
    <t xml:space="preserve">Warm, light, no pressure</t>
  </si>
  <si>
    <t xml:space="preserve">Relieved and ready to leave.</t>
  </si>
  <si>
    <t xml:space="preserve">Think of a waiter who leaves the comment card on the table and walks away, rather than standing over you while you fill it in.</t>
  </si>
  <si>
    <t xml:space="preserve">नेहा, ख़ुशी है कि यह ठीक हो गया। चैट के बाद आपको एक छोटा सर्वे दिखेगा, अगर आपके पास समय हो तो मुझे आपकी राय जानकर अच्छा लगेगा।</t>
  </si>
  <si>
    <t xml:space="preserve">Neha, khushi hai ki yeh theek ho gaya. Chat ke baad aapko ek chhota survey dikhega, agar aapke paas samay ho to mujhe aapki raay jaankar achchha lagega.</t>
  </si>
  <si>
    <t xml:space="preserve">I am happy your problem is fixed. A short form will appear after the chat; please fill it in if you have time.</t>
  </si>
  <si>
    <t xml:space="preserve">It asks only after the problem is solved, tells the customer what to expect and leaves the choice to them. Asking for "feedback", not "5 stars", keeps it honest.</t>
  </si>
  <si>
    <t xml:space="preserve">You'll see a short ___ after this chat, and if you have a moment, I'd really value ___.</t>
  </si>
  <si>
    <t xml:space="preserve">You'll + see + noun · if you have a moment · I'd + really + value + noun</t>
  </si>
  <si>
    <t xml:space="preserve">"I'd really value" is a soft, polite way to say "I would like"; "if you have a moment" makes it optional.</t>
  </si>
  <si>
    <t xml:space="preserve">It is a light invitation, not a demand. "Please give 5 stars" or "my job depends on it" pressures the customer and can break company rules.</t>
  </si>
  <si>
    <t xml:space="preserve">✗ If you will have a moment, I'd really value your feedback. → ✓ If you have a moment, I'd really value your feedback.</t>
  </si>
  <si>
    <t xml:space="preserve">"Please give me 5 stars, it's important for me." It pressures the customer and makes the rating meaningless.</t>
  </si>
  <si>
    <t xml:space="preserve">Instead of "Kindly do rate us 10 out of 10", say "If you have a moment, I'd really value your feedback."</t>
  </si>
  <si>
    <t xml:space="preserve">Glad we got that fixed, Neha. A quick survey will appear when the chat ends, and your feedback helps us improve.</t>
  </si>
  <si>
    <t xml:space="preserve">That's all sorted. If you have a minute, the short survey after this chat helps us learn what went well.</t>
  </si>
  <si>
    <t xml:space="preserve">I'm pleased the issue has been resolved. You will receive a brief survey after this chat, and we would appreciate any feedback you are able to share.</t>
  </si>
  <si>
    <t xml:space="preserve">Is there anything else I can help with before you go?</t>
  </si>
  <si>
    <t xml:space="preserve">Sure, will do. · Thanks for your help! · I don't usually do surveys.</t>
  </si>
  <si>
    <t xml:space="preserve">Customer: "I don't have time for surveys." → Agent: "That's completely fine. Thanks for chatting with us, and have a good day."</t>
  </si>
  <si>
    <t xml:space="preserve">Some teams ask agents to request "10 out of 10" or "5 stars". International customers often find this uncomfortable; a neutral request for feedback is more widely accepted.</t>
  </si>
  <si>
    <t xml:space="preserve">Voice: "You may get a short survey after the call; I'd value your feedback." Email: add one line above your sign-off.</t>
  </si>
  <si>
    <t xml:space="preserve">Do not mention the survey when the issue is still unresolved or the customer is upset; fix the problem first.</t>
  </si>
  <si>
    <t xml:space="preserve">Customer: It's working now, thank you! | Agent: I'm glad that's sorted, Neha. You'll see a short survey after this chat, and if you have a moment, I'd really value your feedback. | Customer: Sure. | Agent: Thanks, Neha. Have a lovely evening.</t>
  </si>
  <si>
    <t xml:space="preserve">Close only after the issue is resolved; keep it short, honest and free of pressure.</t>
  </si>
  <si>
    <t xml:space="preserve">You'll see a short survey after this chat, and if you ____ (starts with h) a moment, I'd really value your feedback.</t>
  </si>
  <si>
    <t xml:space="preserve">The problem is solved and a survey will follow. Which message is most appropriate?</t>
  </si>
  <si>
    <t xml:space="preserve">A) I'm so glad that's sorted. Please give me 5 stars, because my job depends on this rating. | B) Glad that's sorted. Please complete the feedback form before you leave this chat today. | C) Glad that's sorted. A short survey follows, and I'd value your feedback if you have a moment. | D) Your issue is solved now. Please rate this chat 10 out of 10 on the survey that follows.</t>
  </si>
  <si>
    <t xml:space="preserve">C invites feedback and leaves the choice to the customer. A, B and D all pressure the customer, either for a high score or to fill in the form.</t>
  </si>
  <si>
    <t xml:space="preserve">your / I'd / feedback / value / really</t>
  </si>
  <si>
    <t xml:space="preserve">I'd really value your feedback</t>
  </si>
  <si>
    <t xml:space="preserve">Khushi hai ki problem solve ho gayi. Chat ke baad ek chhota survey aayega.</t>
  </si>
  <si>
    <t xml:space="preserve">I'm glad that's sorted. You'll see a short survey after this chat.</t>
  </si>
  <si>
    <t xml:space="preserve">Sure, I'll fill it in. Thanks for your help!</t>
  </si>
  <si>
    <t xml:space="preserve">You're welcome, Neha. Take care, and enjoy the rest of your day.</t>
  </si>
  <si>
    <t xml:space="preserve">Partner A says the problem is fixed and thanks the agent. Partner B mentions the survey politely, without asking for a score, and closes the chat.</t>
  </si>
  <si>
    <t xml:space="preserve">Record yourself reading the message aloud in a light, warm tone with no pleading.</t>
  </si>
  <si>
    <t xml:space="preserve">Was the issue fully solved before you asked? · Did you avoid asking for a specific score? · Did you make it optional?</t>
  </si>
  <si>
    <t xml:space="preserve">CSC-I-013</t>
  </si>
  <si>
    <t xml:space="preserve">Your case number is CS-20417. If you contact us again, just share this number and we'll pick up where we left off.</t>
  </si>
  <si>
    <t xml:space="preserve">The issue needs more work after this chat, and you have created a case the customer may need later.</t>
  </si>
  <si>
    <t xml:space="preserve">The customer may need to come back about this issue. What do you give them so they don't start from the beginning next time?</t>
  </si>
  <si>
    <t xml:space="preserve">your CASE NUM-ber is C-S two-oh-four-one-SEV-en · if you CON-tact us a-GAIN · just SHARE this NUM-ber · we'll PICK UP where we LEFT OFF</t>
  </si>
  <si>
    <t xml:space="preserve">If read aloud: contact_us → "CON-tak-tus" · pick_up → "pi-kup" · left_off → "lef-toff"</t>
  </si>
  <si>
    <t xml:space="preserve">If read aloud: say the case number slowly in small groups (C-S · 2-0 · 4-1-7) with a fall at the end, then a relaxed, friendly fall on "left off".</t>
  </si>
  <si>
    <t xml:space="preserve">If read aloud: "left off" keeps the "f-t" cluster ("left", not "lef") before linking into "off"; and say "seven" with top teeth on the lower lip for "v".</t>
  </si>
  <si>
    <t xml:space="preserve">Helpful, organised, reassuring</t>
  </si>
  <si>
    <t xml:space="preserve">Worried about explaining everything again next time.</t>
  </si>
  <si>
    <t xml:space="preserve">Think of a bookmark: the case number marks the exact page, so nobody starts the story again from chapter one.</t>
  </si>
  <si>
    <t xml:space="preserve">आपका केस नंबर CS-20417 है। अगर आप फिर से संपर्क करें, तो बस यह नंबर बताइए और हम वहीं से आगे बढ़ेंगे जहाँ हमने छोड़ा था।</t>
  </si>
  <si>
    <t xml:space="preserve">Aapka case number CS-20417 hai. Agar aap phir se sampark karein, to bas yeh number bataiye aur hum wahin se aage badhenge jahaan humne chhoda tha.</t>
  </si>
  <si>
    <t xml:space="preserve">Here is the number for your problem. If you write to us again, give this number and we will continue without starting again.</t>
  </si>
  <si>
    <t xml:space="preserve">It gives the number and tells the customer exactly why it matters. They know they will not need to repeat the whole story, which saves effort.</t>
  </si>
  <si>
    <t xml:space="preserve">Your case number is ___. If you contact us again, just share this number and we'll ___.</t>
  </si>
  <si>
    <t xml:space="preserve">If + present simple, + (just) imperative + and + we'll + verb · pick up where we left off</t>
  </si>
  <si>
    <t xml:space="preserve">"pick up where we left off" is a fixed phrase meaning "continue from the point where we stopped".</t>
  </si>
  <si>
    <t xml:space="preserve">Explaining how to use the number is helpful. Just "Ticket no. CS-20417" with nothing else feels like an admin form.</t>
  </si>
  <si>
    <t xml:space="preserve">✗ If you contact us again, just share this number and we'll pick up from where we left. → ✓ If you contact us again, just share this number and we'll pick up where we left off.</t>
  </si>
  <si>
    <t xml:space="preserve">"Note the ticket number for future reference." It sounds like a form letter and does not explain the benefit.</t>
  </si>
  <si>
    <t xml:space="preserve">Instead of "Without the ticket number we cannot help you", say "Just share this number and we'll pick up where we left off."</t>
  </si>
  <si>
    <t xml:space="preserve">I've created case CS-20417 for you. Mention it if you get in touch again, and we'll see the full history straight away.</t>
  </si>
  <si>
    <t xml:space="preserve">For next time, your case number is CS-20417. Quote it and you won't need to explain everything again.</t>
  </si>
  <si>
    <t xml:space="preserve">Your case reference is CS-20417. Please quote this number in any future contact so that we can continue from where we left off.</t>
  </si>
  <si>
    <t xml:space="preserve">I'll also email it to you now so you have it saved.</t>
  </si>
  <si>
    <t xml:space="preserve">Can you email it to me? · Got it, thanks. · Do I need it to get my refund?</t>
  </si>
  <si>
    <t xml:space="preserve">Customer: "Why should I keep a number? You have my details." → Agent: "You're right, we can find you by your phone number too. The case number just takes us straight to this conversation."</t>
  </si>
  <si>
    <t xml:space="preserve">"Please note down the same" is common in Indian service writing. International customers expect the thing named ("this number") and a reason to keep it.</t>
  </si>
  <si>
    <t xml:space="preserve">Voice: read it slowly in groups and ask them to read it back. Email: put the case number in the subject line and near the top.</t>
  </si>
  <si>
    <t xml:space="preserve">Do not give a case number for a question you fully answered and closed; it suggests the issue is still open.</t>
  </si>
  <si>
    <t xml:space="preserve">Customer: So someone will check the faulty charger? | Agent: Yes. Your case number is CS-20417. If you contact us again, just share this number and we'll pick up where we left off. | Customer: Can you email it to me? | Agent: Of course. I've just sent it to the email on your account.</t>
  </si>
  <si>
    <t xml:space="preserve">Replace vague promises with a clear timeline, a ticket number and the next step.</t>
  </si>
  <si>
    <t xml:space="preserve">If you contact us again, just share this number and we'll pick up where we left ____.</t>
  </si>
  <si>
    <t xml:space="preserve">off</t>
  </si>
  <si>
    <t xml:space="preserve">How do you share a case number most helpfully in chat?</t>
  </si>
  <si>
    <t xml:space="preserve">A) Ticket no. CS-20417 has been created. Please note it down for future reference. | B) Please note down your ticket number for future reference and quote it when required. | C) Your case number is CS-20417. Share it if you write again and we'll pick up from there. | D) Your case number is CS-20417. Without it we cannot help you if you contact us again.</t>
  </si>
  <si>
    <t xml:space="preserve">C gives the number and says how it helps. A and B read like form letters, and D turns the number into a threat instead of a benefit.</t>
  </si>
  <si>
    <t xml:space="preserve">up / pick / where / we'll / off / left / we</t>
  </si>
  <si>
    <t xml:space="preserve">we'll pick up where we left off</t>
  </si>
  <si>
    <t xml:space="preserve">Aapka complaint number CS-55902 hai. Agli baar bas yeh number bataiye, hum wahin se aage badhenge.</t>
  </si>
  <si>
    <t xml:space="preserve">Your complaint number is CS-55902. Next time, just share this number and we'll pick up from there.</t>
  </si>
  <si>
    <t xml:space="preserve">Where do I type this number when I come back?</t>
  </si>
  <si>
    <t xml:space="preserve">Just type it into the chat as your first message. Whoever answers can open your case straight away.</t>
  </si>
  <si>
    <t xml:space="preserve">Partner A has a faulty charger that needs a technician's check. Partner B shares the case number, explains why to keep it, and offers to email it.</t>
  </si>
  <si>
    <t xml:space="preserve">Record yourself reading the case number slowly in groups, then the rest of the message in a natural, friendly tone.</t>
  </si>
  <si>
    <t xml:space="preserve">Did you give the full case number? · Did you explain why it is useful? · Did you offer to send it by email?</t>
  </si>
  <si>
    <t xml:space="preserve">CSC-I-014</t>
  </si>
  <si>
    <t xml:space="preserve">I think there's been a small mix-up. The ₹99 is a one-time delivery charge, not a monthly fee, so it won't be charged again next month.</t>
  </si>
  <si>
    <t xml:space="preserve">The customer thinks they have been signed up for a monthly fee, but the ₹99 was only a single delivery charge.</t>
  </si>
  <si>
    <t xml:space="preserve">The customer has misread their bill and is a little angry about it. How do you correct them without making them feel silly?</t>
  </si>
  <si>
    <t xml:space="preserve">i THINK there's been a SMALL MIX-up · the NINE-ty-NINE ru-PEES is a ONE-time de-LIV-er-y CHARGE · NOT a MONTH-ly FEE · so it WON'T be CHARGED a-GAIN NEXT MONTH</t>
  </si>
  <si>
    <t xml:space="preserve">If read aloud: there's_been → "thairz-bin" · mix_up → "mik-sup" · charged_again → "charj-da-gen"</t>
  </si>
  <si>
    <t xml:space="preserve">If read aloud: a soft, low start on "small mix-up", contrast stress on "ONE-time" and "MONTH-ly", then a reassuring fall on "again".</t>
  </si>
  <si>
    <t xml:space="preserve">If read aloud: "monthly" has "nth" in the middle; put the tongue between the teeth ("munth-lee"), not "mun-tly". And "delivery" needs a "v" with teeth on lip.</t>
  </si>
  <si>
    <t xml:space="preserve">Gentle, clear, face-saving</t>
  </si>
  <si>
    <t xml:space="preserve">Annoyed and suspicious, ready to complain about a hidden fee.</t>
  </si>
  <si>
    <t xml:space="preserve">Think of gently turning a map the right way up for a friend: you do not say "you're holding it wrong", you just turn it.</t>
  </si>
  <si>
    <t xml:space="preserve">मुझे लगता है थोड़ी ग़लतफ़हमी हो गई है। ₹99 एक बार का डिलीवरी चार्ज है, मासिक फ़ीस नहीं, इसलिए यह अगले महीने दोबारा नहीं लगेगा।</t>
  </si>
  <si>
    <t xml:space="preserve">Mujhe lagta hai thodi galatfehmi ho gayi hai. ₹99 ek baar ka delivery charge hai, maasik fees nahin, isliye yeh agle mahine dobaara nahin lagega.</t>
  </si>
  <si>
    <t xml:space="preserve">You may have misunderstood the bill. The ₹99 was paid only once for delivery; it will not come every month.</t>
  </si>
  <si>
    <t xml:space="preserve">"There's been a mix-up" blames nobody, so the customer can accept the correction without losing face. The clear contrast ("one-time, not monthly") and the reassurance answer the real worry.</t>
  </si>
  <si>
    <t xml:space="preserve">I think there's been a small mix-up. The ___ is ___, not ___, so ___.</t>
  </si>
  <si>
    <t xml:space="preserve">There's been + noun · X is A, not B · so + it won't + be + past participle</t>
  </si>
  <si>
    <t xml:space="preserve">"A, not B" puts the right meaning next to the wrong one so the difference is clear.</t>
  </si>
  <si>
    <t xml:space="preserve">"Small mix-up" keeps it light and shared. "You have misunderstood" or "You are wrong" makes the customer defensive.</t>
  </si>
  <si>
    <t xml:space="preserve">✗ You have misunderstood, it is not monthly. → ✓ I think there's been a small mix-up. The ₹99 is a one-time delivery charge, not a monthly fee.</t>
  </si>
  <si>
    <t xml:space="preserve">"You have read the bill wrongly." It blames the customer and starts an argument.</t>
  </si>
  <si>
    <t xml:space="preserve">Instead of "You are wrong, it's not a subscription", say "I think there's been a small mix-up. The ₹99 is a one-time delivery charge."</t>
  </si>
  <si>
    <t xml:space="preserve">I can see why that might look like a monthly fee. It's actually a one-time ₹99 delivery charge, so it won't repeat next month.</t>
  </si>
  <si>
    <t xml:space="preserve">Thanks for checking. That ₹99 was charged once for delivery; it isn't a subscription, so there's nothing to cancel.</t>
  </si>
  <si>
    <t xml:space="preserve">I believe there may have been a misunderstanding. The ₹99 is a one-time delivery charge rather than a monthly fee, so it will not be charged again next month.</t>
  </si>
  <si>
    <t xml:space="preserve">Would you like me to send you a copy of the invoice so you can see the breakdown?</t>
  </si>
  <si>
    <t xml:space="preserve">Oh, OK, that makes sense. · Are you sure? It says "plan". · Then why does it say "renewal"?</t>
  </si>
  <si>
    <t xml:space="preserve">Customer: "But the bill says 'plan'!" → Agent: "I can see that word there, and it is confusing. It's the name of the delivery option. I'll send you the invoice breakdown now so you can check."</t>
  </si>
  <si>
    <t xml:space="preserve">Direct corrections like "You are wrong" or "You have not understood" can sound rude to international customers. Shared wording such as "a mix-up" saves face for everyone.</t>
  </si>
  <si>
    <t xml:space="preserve">Voice: stress "ONE-time" and "MONTH-ly" to make the contrast heard. Email: show the charge line from the bill with a short note beside it.</t>
  </si>
  <si>
    <t xml:space="preserve">Do not use it until you have checked the bill; if the customer is right, apologise and fix it instead.</t>
  </si>
  <si>
    <t xml:space="preserve">Customer: Why am I paying ₹99 every month?? | Agent: I think there's been a small mix-up. The ₹99 is a one-time delivery charge, not a monthly fee, so it won't be charged again next month. | Customer: Oh, OK. Are you sure? | Agent: Yes, I've checked your account. I'll email you the invoice breakdown now so you can see it too.</t>
  </si>
  <si>
    <t xml:space="preserve">Plain language: explain clearly without blame; customers are not experts in your product.</t>
  </si>
  <si>
    <t xml:space="preserve">The ₹99 is a one-time delivery charge, ____ a monthly fee.</t>
  </si>
  <si>
    <t xml:space="preserve">not</t>
  </si>
  <si>
    <t xml:space="preserve">A customer wrongly thinks a one-time charge is monthly. Which reply corrects them most gently?</t>
  </si>
  <si>
    <t xml:space="preserve">A) I think there's been a small mix-up. The ₹99 is a one-time charge, not a monthly fee. | B) I'm afraid you have misunderstood the bill. The ₹99 is not a monthly fee. | C) Please read the bill properly. It clearly says the ₹99 is charged only once. | D) That is not correct. The ₹99 is a one-time delivery charge, and it is not monthly.</t>
  </si>
  <si>
    <t xml:space="preserve">A corrects the facts and blames nobody. B, C and D all put the mistake on the customer, even though B and D are factually right.</t>
  </si>
  <si>
    <t xml:space="preserve">mix-up / there's / a / small / think / been / I</t>
  </si>
  <si>
    <t xml:space="preserve">I think there's been a small mix-up</t>
  </si>
  <si>
    <t xml:space="preserve">Mujhe lagta hai thodi galatfehmi ho gayi hai. Yeh ek baar ka setup charge hai, har mahine ka nahin.</t>
  </si>
  <si>
    <t xml:space="preserve">I think there's been a small mix-up. This is a one-time setup charge, not a monthly one.</t>
  </si>
  <si>
    <t xml:space="preserve">So will I pay ₹99 again on my next order?</t>
  </si>
  <si>
    <t xml:space="preserve">It depends on the delivery option you choose at checkout, and the page shows the exact charge before you pay. There is no monthly renewal.</t>
  </si>
  <si>
    <t xml:space="preserve">Partner A is upset about a "monthly ₹99 fee" on their bill. Partner B checks, then corrects the misunderstanding gently without blame and offers proof.</t>
  </si>
  <si>
    <t xml:space="preserve">Record yourself reading the message aloud with contrast stress on "ONE-time" and "MONTH-ly".</t>
  </si>
  <si>
    <t xml:space="preserve">Did you avoid saying the customer was wrong? · Did you put the right meaning next to the wrong one? · Did you reassure them about what happens next?</t>
  </si>
  <si>
    <t xml:space="preserve">CSC-I-015</t>
  </si>
  <si>
    <t xml:space="preserve">still not working</t>
  </si>
  <si>
    <t xml:space="preserve">You gave the customer a fix a few minutes ago, and this is their whole reply.</t>
  </si>
  <si>
    <t xml:space="preserve">A customer replies with three short words after trying your fix. What do they feel, and what is the worst thing you could send back?</t>
  </si>
  <si>
    <t xml:space="preserve">STILL NOT WORK-ing</t>
  </si>
  <si>
    <t xml:space="preserve">If read aloud: still_not → "stil-not" · not_working → "nod-WUR-king" (fast, flat)</t>
  </si>
  <si>
    <t xml:space="preserve">If read aloud: flat and falling, with no question tone; it sounds tired and fed up, not curious.</t>
  </si>
  <si>
    <t xml:space="preserve">If read aloud: "working" starts with rounded lips for "w", not teeth on lip; "wur-king", not "vur-king".</t>
  </si>
  <si>
    <t xml:space="preserve">Tired, frustrated, short</t>
  </si>
  <si>
    <t xml:space="preserve">Frustrated and losing patience; the fix did not help.</t>
  </si>
  <si>
    <t xml:space="preserve">Think of a patient who comes back to the clinic holding the same bandage: the doctor must look again, not hand over another one.</t>
  </si>
  <si>
    <t xml:space="preserve">अभी भी काम नहीं कर रहा।</t>
  </si>
  <si>
    <t xml:space="preserve">Abhi bhi kaam nahin kar raha.</t>
  </si>
  <si>
    <t xml:space="preserve">I tried what you said, but the problem is the same as before.</t>
  </si>
  <si>
    <t xml:space="preserve">The short reply shows the customer is tired and starting to lose trust. They need you to own the next step and ask for new information, not repeat the same fix or send a long script.</t>
  </si>
  <si>
    <t xml:space="preserve">I'm sorry it's still not working. Could you tell me ___?</t>
  </si>
  <si>
    <t xml:space="preserve">(It is) still not + verb-ing (subject and verb dropped in chat) · Reply: I'm sorry + it's still not + verb-ing</t>
  </si>
  <si>
    <t xml:space="preserve">In chat, people drop "it is"; "still" means the problem has not changed since last time.</t>
  </si>
  <si>
    <t xml:space="preserve">Reply short and specific to match their mood. A long, cheerful message or the same steps again feels like you are not listening.</t>
  </si>
  <si>
    <t xml:space="preserve">✗ Please restart your device and try again. (the fix they already tried) → ✓ I'm sorry it's still not working. What do you see on the screen now?</t>
  </si>
  <si>
    <t xml:space="preserve">"Have you followed the steps correctly?" It suggests the customer made the mistake and makes them more frustrated.</t>
  </si>
  <si>
    <t xml:space="preserve">Instead of "Please try the steps again properly", say "I'm sorry it's still not working. Could you send me a screenshot of what you see now?"</t>
  </si>
  <si>
    <t xml:space="preserve">Thanks for trying that. Let's look at it another way. What message do you see now?</t>
  </si>
  <si>
    <t xml:space="preserve">I'm sorry that didn't fix it. Could you tell me exactly what happens when you try it again?</t>
  </si>
  <si>
    <t xml:space="preserve">I apologise that the issue has not been resolved. Could you please describe what you see now, or share a screenshot, so that I can investigate further?</t>
  </si>
  <si>
    <t xml:space="preserve">I'm sorry it's still not working. What exactly do you see on the screen now? A screenshot would help.</t>
  </si>
  <si>
    <t xml:space="preserve">still not working · same error · nothing happens</t>
  </si>
  <si>
    <t xml:space="preserve">Customer: "I've tried everything, this is useless." → Agent: "I understand, and I'm sorry this has taken so long. Let me try one different step with you now. If that doesn't work, I'll hand it to our technical team within 10 minutes."</t>
  </si>
  <si>
    <t xml:space="preserve">Agents sometimes reply with a long, formal script to a short message. In international chat, a short, specific and personal reply feels more like real help.</t>
  </si>
  <si>
    <t xml:space="preserve">Voice: the caller may sigh or speak slowly; acknowledge it ("I can hear this has been tiring"). Email: the subject may just say "Still not working"; reply with new steps, not the old ones.</t>
  </si>
  <si>
    <t xml:space="preserve">Do not reply with the full troubleshooting list again; that is the right move only if you have not sent it before.</t>
  </si>
  <si>
    <t xml:space="preserve">Agent: Could you clear the app cache and try again? | Customer: still not working | Agent: I'm sorry it's still not working. Could you send me a screenshot of what you see now? | Customer: here | Agent: Thanks. That error is on our side, so I'm sending it to our technical team now.</t>
  </si>
  <si>
    <t xml:space="preserve">Empathy line, then action: acknowledge the frustration and take a new step.</t>
  </si>
  <si>
    <t xml:space="preserve">I'm sorry it's ____ not working. Could you send me a screenshot?</t>
  </si>
  <si>
    <t xml:space="preserve">A customer replies "still not working" after trying your fix. What does this message mostly tell you?</t>
  </si>
  <si>
    <t xml:space="preserve">A) The fix did not help, and the customer is getting frustrated. | B) The customer has a new problem that needs different steps. | C) The customer did not follow the steps you sent them properly. | D) The customer wants to end the chat and is just being brief.</t>
  </si>
  <si>
    <t xml:space="preserve">A: "still" means the problem has not changed, and the short reply shows frustration. C is tempting, but nothing says they skipped the steps; B and D read in things the message does not say.</t>
  </si>
  <si>
    <t xml:space="preserve">still / I'm / sorry / it's / not / working</t>
  </si>
  <si>
    <t xml:space="preserve">I'm sorry it's still not working</t>
  </si>
  <si>
    <t xml:space="preserve">Mujhe afsos hai ki yeh ab bhi kaam nahin kar raha. Kya aap mujhe screenshot bhej sakte hain?</t>
  </si>
  <si>
    <t xml:space="preserve">I'm sorry it's still not working. Could you send me a screenshot?</t>
  </si>
  <si>
    <t xml:space="preserve">same error as before</t>
  </si>
  <si>
    <t xml:space="preserve">Thanks for checking. Since the same error keeps coming back, I'm sending it to our technical team now and will email you an update by 5 pm.</t>
  </si>
  <si>
    <t xml:space="preserve">Partner B gives a fix; Partner A replies only "still not working". B replies with a short apology and a new, specific question, without repeating the old fix.</t>
  </si>
  <si>
    <t xml:space="preserve">Record your typed reply to "still not working" read aloud, then explain in one sentence what the customer is feeling.</t>
  </si>
  <si>
    <t xml:space="preserve">Did you acknowledge the fix did not work? · Did you avoid repeating the same steps? · Did you ask for new, specific information?</t>
  </si>
  <si>
    <t xml:space="preserve">CSC-I-016</t>
  </si>
  <si>
    <t xml:space="preserve">y is this taking so long</t>
  </si>
  <si>
    <t xml:space="preserve">The customer has been waiting in the chat while you check their delivery, and the last reply was a few minutes ago.</t>
  </si>
  <si>
    <t xml:space="preserve">A customer types a short "why" question about the wait with no question mark. Is this really a question, and what do they need from you?</t>
  </si>
  <si>
    <t xml:space="preserve">WHY is THIS TAK-ing SO LONG</t>
  </si>
  <si>
    <t xml:space="preserve">If read aloud: why_is → "wai-yiz" · taking_so → "tay-king-so" · so_long → "so-long" (drawn out)</t>
  </si>
  <si>
    <t xml:space="preserve">If read aloud: falling, not rising; it is a complaint shaped like a question, with stress on "so long".</t>
  </si>
  <si>
    <t xml:space="preserve">If read aloud: "long" ends in a soft "ng" with no hard "g" ("lawng", not "long-g"); and "this" begins with a soft "th", not "dis".</t>
  </si>
  <si>
    <t xml:space="preserve">Impatient, annoyed, complaining</t>
  </si>
  <si>
    <t xml:space="preserve">Impatient and feeling ignored during the wait.</t>
  </si>
  <si>
    <t xml:space="preserve">Think of someone tapping their watch in a queue: they do not want a lecture on queues, just to know when it is their turn.</t>
  </si>
  <si>
    <t xml:space="preserve">इसमें इतना समय क्यों लग रहा है?</t>
  </si>
  <si>
    <t xml:space="preserve">Ismein itna samay kyun lag raha hai?</t>
  </si>
  <si>
    <t xml:space="preserve">I have waited too long and I am annoyed. Tell me what is happening and when it will be done.</t>
  </si>
  <si>
    <t xml:space="preserve">"y" for "why" and no question mark show a fast, annoyed message. It is more a complaint than a real question: the customer feels ignored and wants an apology, a reason in a few words and a time.</t>
  </si>
  <si>
    <t xml:space="preserve">I'm sorry for the wait. I'm ___ now, and I'll ___ within ___.</t>
  </si>
  <si>
    <t xml:space="preserve">Why + is + this + verb-ing + so long? (chat: "y", no capital, no "?") · Reply: I'm sorry for + noun</t>
  </si>
  <si>
    <t xml:space="preserve">"so long" here means "such a long time"; "y" is chat shorthand for "why" that customers use, but agents should not.</t>
  </si>
  <si>
    <t xml:space="preserve">Answer with a short apology and a time, not excuses. "We have high volumes today" sounds like an excuse and makes it about you.</t>
  </si>
  <si>
    <t xml:space="preserve">✗ Sir, please have patience, we are checking. → ✓ I'm sorry for the wait. I'm checking with the courier now and will update you within 2 minutes.</t>
  </si>
  <si>
    <t xml:space="preserve">"Please be patient." It tells the customer how to feel and gives no information.</t>
  </si>
  <si>
    <t xml:space="preserve">Instead of "Please have patience, it takes time", say "I'm sorry for the wait. I'll have an answer for you within 2 minutes."</t>
  </si>
  <si>
    <t xml:space="preserve">You're right, it's taking a while, and I'm sorry. The courier hasn't replied yet; I'll update you in 2 minutes.</t>
  </si>
  <si>
    <t xml:space="preserve">Sorry for the delay. I'm still waiting on the courier, and I'll be back with you within 2 minutes.</t>
  </si>
  <si>
    <t xml:space="preserve">I apologise for the delay. I am waiting for an update from the courier and will reply within two minutes.</t>
  </si>
  <si>
    <t xml:space="preserve">I'm sorry for the wait. I'm checking with the courier now and will update you within 2 minutes.</t>
  </si>
  <si>
    <t xml:space="preserve">ok · u said that before · fine but hurry pls</t>
  </si>
  <si>
    <t xml:space="preserve">Customer: "u said that 10 mins ago" → Agent: "You're right, and I'm sorry I haven't had an answer for you yet. If you'd rather not wait, I'll email you the answer within 30 minutes."</t>
  </si>
  <si>
    <t xml:space="preserve">Agents may reply to an angry "y" message with "Sir, please have patience". International customers often hear "be patient" as a telling-off; an apology plus a time works better.</t>
  </si>
  <si>
    <t xml:space="preserve">Voice: "I know you've been waiting, and I'm sorry." Email: the subject might be "Still waiting!!"; reply with the reason and a firm date.</t>
  </si>
  <si>
    <t xml:space="preserve">Do not reply with a long explanation of why the system is slow; one short reason is enough.</t>
  </si>
  <si>
    <t xml:space="preserve">Customer: y is this taking so long | Agent: I'm sorry for the wait. The courier hasn't replied yet, so I'll update you within 2 minutes. | Customer: ok hurry pls | Agent: Thanks for waiting. Your parcel is at the local hub and will be delivered tomorrow.</t>
  </si>
  <si>
    <t xml:space="preserve">Chat: reply fast, no excuses for delays, and give a real time.</t>
  </si>
  <si>
    <t xml:space="preserve">I'm ____ for the wait. I'm checking with the courier now and will update you within 2 minutes.</t>
  </si>
  <si>
    <t xml:space="preserve">A customer types "y is this taking so long". What do they most need from you?</t>
  </si>
  <si>
    <t xml:space="preserve">A) A detailed technical explanation of why the system is slow today. | B) A polite reminder that good service takes a little patience. | C) A request to close this chat and start a new one with a fresh agent. | D) A short apology and a clear time for when you will reply next.</t>
  </si>
  <si>
    <t xml:space="preserve">D: the message is a complaint more than a question, so an apology and a time answer the real need. A seems logical, but a long reason feels like an excuse; B tells them how to feel, and C sends them away.</t>
  </si>
  <si>
    <t xml:space="preserve">the / for / sorry / wait / I'm</t>
  </si>
  <si>
    <t xml:space="preserve">I'm sorry for the wait</t>
  </si>
  <si>
    <t xml:space="preserve">Intezaar karwane ke liye mujhe afsos hai. Main courier se check kar raha/rahi hoon aur 2 minute ke andar aapko update doonga/doongi.</t>
  </si>
  <si>
    <t xml:space="preserve">I'm sorry for the wait. I'm checking with the courier and will update you within 2 minutes.</t>
  </si>
  <si>
    <t xml:space="preserve">just tell me when it will arrive</t>
  </si>
  <si>
    <t xml:space="preserve">I want to give you the right date, and the courier's update will give me that. I'll message you within 2 minutes.</t>
  </si>
  <si>
    <t xml:space="preserve">Partner A waits in a chat and then sends "y is this taking so long". Partner B replies within a few seconds with a short apology, a reason in a few words and a time.</t>
  </si>
  <si>
    <t xml:space="preserve">Record yourself reading the customer's line in an annoyed tone, then reading your reply in a calm, sorry tone.</t>
  </si>
  <si>
    <t xml:space="preserve">Did you apologise for the wait? · Did you give a clear time? · Did you avoid telling the customer to be patient?</t>
  </si>
  <si>
    <t xml:space="preserve">CSC-I-017</t>
  </si>
  <si>
    <t xml:space="preserve">ur website is broken</t>
  </si>
  <si>
    <t xml:space="preserve">A customer opens a chat with this line and gives no other detail about what they were trying to do.</t>
  </si>
  <si>
    <t xml:space="preserve">A customer says the whole website is broken but gives no details. What do you need to find out before you can help?</t>
  </si>
  <si>
    <t xml:space="preserve">YOUR WEB-site is BRO-ken</t>
  </si>
  <si>
    <t xml:space="preserve">If read aloud: website_is → "WEB-sai-tiz" · is_broken → "iz-BRO-kn"</t>
  </si>
  <si>
    <t xml:space="preserve">If read aloud: flat and falling; it is an angry statement, with heavy stress on "BRO-ken".</t>
  </si>
  <si>
    <t xml:space="preserve">If read aloud: "website" begins with rounded lips for "w", not teeth on lip ("web", not "veb"); practise "west / vest".</t>
  </si>
  <si>
    <t xml:space="preserve">Annoyed, vague, blunt</t>
  </si>
  <si>
    <t xml:space="preserve">Annoyed and stuck; something they needed to do has failed.</t>
  </si>
  <si>
    <t xml:space="preserve">Think of a patient saying "everything hurts": the doctor's first job is to ask "Where exactly?"</t>
  </si>
  <si>
    <t xml:space="preserve">आपकी वेबसाइट ख़राब है।</t>
  </si>
  <si>
    <t xml:space="preserve">Aapki website kharaab hai.</t>
  </si>
  <si>
    <t xml:space="preserve">Something on your website is not working for me, and I cannot do what I wanted to do.</t>
  </si>
  <si>
    <t xml:space="preserve">"Broken" is a feeling, not a diagnosis: usually one page or one button failed. The customer needs you to accept the problem and ask one clear question to find out where and what happened.</t>
  </si>
  <si>
    <t xml:space="preserve">I'm sorry the site isn't working for you. Could you tell me which page ___ and what happens when ___?</t>
  </si>
  <si>
    <t xml:space="preserve">Your + website + is + adjective ("ur" = "your" in chat) · Reply: Could you tell me + wh-clause</t>
  </si>
  <si>
    <t xml:space="preserve">"Could you tell me which page you're on?" uses statement word order after "tell me", not "which page are you on".</t>
  </si>
  <si>
    <t xml:space="preserve">Accept the problem first, then ask. "Our website is working fine" argues with the customer and ends any trust.</t>
  </si>
  <si>
    <t xml:space="preserve">✗ Our website is working fine from our side. → ✓ I'm sorry the site isn't working for you. Could you tell me which page you're on?</t>
  </si>
  <si>
    <t xml:space="preserve">"There is no issue with our website." It calls the customer wrong before you know anything.</t>
  </si>
  <si>
    <t xml:space="preserve">Instead of "Website is working from our end", say "I'm sorry the site isn't working for you. Could you tell me which page you're on and what happens?"</t>
  </si>
  <si>
    <t xml:space="preserve">Sorry about that. Which page were you on, and what happened when you tried?</t>
  </si>
  <si>
    <t xml:space="preserve">I'm sorry you've hit a problem. Could you tell me what you were trying to do, and what you see on the screen?</t>
  </si>
  <si>
    <t xml:space="preserve">I'm sorry you're having trouble with the website. Could you tell me which page you were using and what happened, so I can look into it?</t>
  </si>
  <si>
    <t xml:space="preserve">I'm sorry the site isn't working for you. Could you tell me which page you're on and what happens when you try?</t>
  </si>
  <si>
    <t xml:space="preserve">checkout page, it just keeps loading · cant login · the pay button does nothing</t>
  </si>
  <si>
    <t xml:space="preserve">Customer: "everything is broken just fix it" → Agent: "I'm sorry this is getting in your way, and I want to fix it quickly. If you tell me the last thing you clicked, I can find the problem much faster."</t>
  </si>
  <si>
    <t xml:space="preserve">Some agents reply "Website is working fine from our end". Even if true, international customers hear it as "you are wrong"; accept their experience first.</t>
  </si>
  <si>
    <t xml:space="preserve">Voice: "I'm sorry about that. Which page are you on right now?" Email: ask for the page, the device and a screenshot in one short numbered list.</t>
  </si>
  <si>
    <t xml:space="preserve">Do not ask for details when there is a known outage on your status page; tell the customer about it and when it should be fixed.</t>
  </si>
  <si>
    <t xml:space="preserve">Customer: ur website is broken | Agent: I'm sorry you're having trouble. Could you tell me which page you're on and what you see? | Customer: checkout, it keeps loading | Agent: Thanks, that helps. Could you tell me if you're paying by card or UPI?</t>
  </si>
  <si>
    <t xml:space="preserve">Paraphrase and clarify before solving; ask a clarifying question instead of a canned reply.</t>
  </si>
  <si>
    <t xml:space="preserve">I'm sorry the site isn't working for you. Could you tell me which page ____ on?</t>
  </si>
  <si>
    <t xml:space="preserve">you're</t>
  </si>
  <si>
    <t xml:space="preserve">A customer writes "ur website is broken". What is the best first reply?</t>
  </si>
  <si>
    <t xml:space="preserve">A) Our website is working fine from our side, so the problem may be with your device. | B) I'm sorry about that. Please clear your cache and cookies, then try the site again. | C) I'm sorry about that. Please use our mobile app instead while we look into the site. | D) I'm sorry the site isn't working for you. Which page are you on and what happens?</t>
  </si>
  <si>
    <t xml:space="preserve">D accepts the problem and asks for the facts you need. B and C offer a fix before you know what is wrong, which is a guess, and A tells the customer the problem is on their side.</t>
  </si>
  <si>
    <t xml:space="preserve">page / Could / me / tell / you're / you / which / on</t>
  </si>
  <si>
    <t xml:space="preserve">Could you tell me which page you're on</t>
  </si>
  <si>
    <t xml:space="preserve">Mujhe afsos hai ki aapke liye website kaam nahin kar rahi. Kya aap bata sakte hain ki aap kaunse page par hain?</t>
  </si>
  <si>
    <t xml:space="preserve">I'm sorry the site isn't working for you. Could you tell me which page you're on?</t>
  </si>
  <si>
    <t xml:space="preserve">i cant login at all</t>
  </si>
  <si>
    <t xml:space="preserve">Thanks, that helps. Do you see an error message when you try, or does nothing happen?</t>
  </si>
  <si>
    <t xml:space="preserve">Partner A writes only "ur website is broken" and gives details only when asked clearly. Partner B accepts the problem and asks short, clear questions until they know the page and the error.</t>
  </si>
  <si>
    <t xml:space="preserve">Record yourself reading your reply aloud, then say in one sentence what you still need to find out.</t>
  </si>
  <si>
    <t xml:space="preserve">Did you accept the customer's problem first? · Did you ask which page and what happened? · Did you avoid saying the website is fine?</t>
  </si>
  <si>
    <t xml:space="preserve">CSC-I-018</t>
  </si>
  <si>
    <t xml:space="preserve">i was promised a callback yesterday</t>
  </si>
  <si>
    <t xml:space="preserve">Another agent told this customer they would get a call yesterday, but no call came, and now they have opened a chat.</t>
  </si>
  <si>
    <t xml:space="preserve">A customer says a promised call never came. What has gone wrong for them, and what must your reply include?</t>
  </si>
  <si>
    <t xml:space="preserve">i was PROM-ist a CALL-back YES-ter-day</t>
  </si>
  <si>
    <t xml:space="preserve">If read aloud: promised_a → "PROM-is-ta" · callback_yesterday → "KOL-bak-YES-ter-day"</t>
  </si>
  <si>
    <t xml:space="preserve">If read aloud: steady and falling, with heavy stress on "PROM-ised" and "YES-ter-day"; it is disappointed, not shouting.</t>
  </si>
  <si>
    <t xml:space="preserve">If read aloud: "promised" ends in "st" ("PROM-ist"), not "prom-ised"; and "yesterday" stresses the first syllable, YES-ter-day.</t>
  </si>
  <si>
    <t xml:space="preserve">Disappointed, let down, firm</t>
  </si>
  <si>
    <t xml:space="preserve">Let down and losing trust because a promise was broken.</t>
  </si>
  <si>
    <t xml:space="preserve">Think of a friend who waited all evening for your call: say sorry for the missed call itself, then fix a new time you will keep.</t>
  </si>
  <si>
    <t xml:space="preserve">मुझसे कल कॉल बैक का वादा किया गया था।</t>
  </si>
  <si>
    <t xml:space="preserve">Mujhse kal callback ka vaada kiya gaya tha.</t>
  </si>
  <si>
    <t xml:space="preserve">Someone said you would call me yesterday, but nobody called. I am disappointed.</t>
  </si>
  <si>
    <t xml:space="preserve">The customer is reporting a broken promise, so trust is low. They need a specific apology for the missed call, ownership from you now, and a new commitment with a time that you will keep.</t>
  </si>
  <si>
    <t xml:space="preserve">I'm sorry you didn't get the callback you were promised. I'll ___ now. What time ___?</t>
  </si>
  <si>
    <t xml:space="preserve">I + was + promised + noun (passive: someone promised me) · Reply: I'm sorry + you didn't get + noun</t>
  </si>
  <si>
    <t xml:space="preserve">"I was promised a callback" is passive: it means "someone promised to call me".</t>
  </si>
  <si>
    <t xml:space="preserve">Own it as the company, even if another agent made the promise. "That was a different agent" pushes the blame away and makes it worse.</t>
  </si>
  <si>
    <t xml:space="preserve">✗ That agent is not available, I can't say why. → ✓ I'm sorry you didn't get the callback you were promised yesterday. I'll arrange it now.</t>
  </si>
  <si>
    <t xml:space="preserve">"There is no note of a callback in the system." It suggests the customer is lying.</t>
  </si>
  <si>
    <t xml:space="preserve">Instead of "I don't know why that agent didn't call", say "I'm sorry you didn't get the callback you were promised. I'll arrange it now; what time suits you today?"</t>
  </si>
  <si>
    <t xml:space="preserve">I'm really sorry nobody called you yesterday. I'll book the call myself now. When is a good time today?</t>
  </si>
  <si>
    <t xml:space="preserve">That shouldn't have happened, and I'm sorry. Let me set up the call now; what time works for you?</t>
  </si>
  <si>
    <t xml:space="preserve">I apologise that you did not receive the callback you were promised yesterday. I will arrange it now; what time would suit you today?</t>
  </si>
  <si>
    <t xml:space="preserve">I'm sorry you didn't get the callback you were promised yesterday. I'll arrange it now. What time suits you today?</t>
  </si>
  <si>
    <t xml:space="preserve">anytime before 6 · why should I believe it this time · can't you just solve it here</t>
  </si>
  <si>
    <t xml:space="preserve">Customer: "why should I believe you this time" → Agent: "That's fair. I'll book it under my name for 4 pm and send you a confirmation now, so you have it in writing."</t>
  </si>
  <si>
    <t xml:space="preserve">Agents sometimes explain internal reasons ("the team was busy"). International customers usually want a direct apology, ownership and a new time, not internal details.</t>
  </si>
  <si>
    <t xml:space="preserve">Voice: say the new time twice and confirm the number to call. Email: put the apology and the new time in the first two lines.</t>
  </si>
  <si>
    <t xml:space="preserve">Do not offer another callback if you can solve the issue right now in the chat; offer to help immediately instead.</t>
  </si>
  <si>
    <t xml:space="preserve">Customer: i was promised a callback yesterday | Agent: I'm sorry you were left waiting for that call. I'll arrange it now. What time today suits you? | Customer: before 6 | Agent: I've booked a call for 4 pm today under my name, and you'll get a confirmation text now.</t>
  </si>
  <si>
    <t xml:space="preserve">Apologise specifically and take responsibility, then commit with "I will" plus a time.</t>
  </si>
  <si>
    <t xml:space="preserve">I'm sorry you didn't get the callback you were ____ (starts with p) yesterday.</t>
  </si>
  <si>
    <t xml:space="preserve">promised</t>
  </si>
  <si>
    <t xml:space="preserve">A customer writes "i was promised a callback yesterday". What are they mainly telling you?</t>
  </si>
  <si>
    <t xml:space="preserve">A) They want to cancel their order because the delivery was late. | B) They want to know the name of the agent who made the promise. | C) They would prefer to talk on chat instead of on the phone. | D) A promise to call them back was broken, and they feel let down.</t>
  </si>
  <si>
    <t xml:space="preserve">D: the passive "I was promised" plus "yesterday" means a commitment was not kept. B is tempting, but the name of the agent does not fix the problem; A and C add things the message does not say.</t>
  </si>
  <si>
    <t xml:space="preserve">callback / get / I'm / the / didn't / sorry / you</t>
  </si>
  <si>
    <t xml:space="preserve">I'm sorry you didn't get the callback</t>
  </si>
  <si>
    <t xml:space="preserve">Mujhe afsos hai ki kal aapko call nahin aaya. Main abhi call arrange karta/karti hoon. Aapko kaunsa time theek rahega?</t>
  </si>
  <si>
    <t xml:space="preserve">I'm sorry you didn't get the call yesterday. I'll arrange it now. What time suits you?</t>
  </si>
  <si>
    <t xml:space="preserve">can't you just solve it here in the chat?</t>
  </si>
  <si>
    <t xml:space="preserve">Let me try. Tell me briefly what the call was about, and I'll work on it right now. If I can't solve it here, I'll book the call for you.</t>
  </si>
  <si>
    <t xml:space="preserve">Partner A was promised a callback yesterday and is disappointed. Partner B apologises for the missed call, owns it and books a new call with a time and a confirmation.</t>
  </si>
  <si>
    <t xml:space="preserve">Record yourself reading the customer's line with a let-down tone, then your reply with a sincere, firm tone.</t>
  </si>
  <si>
    <t xml:space="preserve">Did you apologise for the missed callback itself? · Did you avoid blaming the other agent? · Did you give a new time you can keep?</t>
  </si>
  <si>
    <t xml:space="preserve">CSC-I-019</t>
  </si>
  <si>
    <t xml:space="preserve">can u do it or not?</t>
  </si>
  <si>
    <t xml:space="preserve">You have explained the exchange process in two long messages, and the customer still does not know if the exchange will happen.</t>
  </si>
  <si>
    <t xml:space="preserve">A customer asks for a straight yes or no after your long explanations. What went wrong, and how should your next message start?</t>
  </si>
  <si>
    <t xml:space="preserve">CAN you DO it OR NOT</t>
  </si>
  <si>
    <t xml:space="preserve">If read aloud: can_you → "kan-yoo" · do_it → "doo-wit" · or_not → "or-not" (sharp)</t>
  </si>
  <si>
    <t xml:space="preserve">If read aloud: rise on "do it", then a sharp fall on "or not"; it is a challenge, not a polite question.</t>
  </si>
  <si>
    <t xml:space="preserve">If read aloud: keep "not" short with a clear final "t" and a light English "t" (tongue behind the top teeth), not a heavy retroflex one.</t>
  </si>
  <si>
    <t xml:space="preserve">Impatient, direct, challenging</t>
  </si>
  <si>
    <t xml:space="preserve">Impatient and confused by too much explanation.</t>
  </si>
  <si>
    <t xml:space="preserve">Think of a traffic light: the driver only wants red or green, not a talk on how the signal works.</t>
  </si>
  <si>
    <t xml:space="preserve">आप यह कर सकते हैं या नहीं?</t>
  </si>
  <si>
    <t xml:space="preserve">Aap yeh kar sakte hain ya nahin?</t>
  </si>
  <si>
    <t xml:space="preserve">Stop explaining and tell me clearly: yes or no, will you do this for me?</t>
  </si>
  <si>
    <t xml:space="preserve">The customer is overloaded with detail and wants a clear decision. Start with "Yes" or a clear "No" plus what you can do, then give one next step; the explanation can follow only if they ask.</t>
  </si>
  <si>
    <t xml:space="preserve">Yes, I can. I'll ___ now, and you'll ___.</t>
  </si>
  <si>
    <t xml:space="preserve">Can + you + verb + or not? (chat: "u" = "you") · Reply: Yes, I can. · I'll + verb + now</t>
  </si>
  <si>
    <t xml:space="preserve">"or not" at the end demands a yes/no answer; a short answer "Yes, I can" matches it exactly.</t>
  </si>
  <si>
    <t xml:space="preserve">A clear first word shows respect for their time. Another long paragraph before the answer feels like avoiding the question.</t>
  </si>
  <si>
    <t xml:space="preserve">✗ Yes, I can do. I'll set the exchange now. → ✓ Yes, I can. I'll set up the exchange now.</t>
  </si>
  <si>
    <t xml:space="preserve">"As I mentioned earlier..." It sounds like the customer did not read properly.</t>
  </si>
  <si>
    <t xml:space="preserve">Instead of "As I already explained, the process is...", say "Yes, I can. I'll set up the exchange now, and the pickup will be tomorrow."</t>
  </si>
  <si>
    <t xml:space="preserve">Yes. I'm booking the exchange now, and the courier will collect the old one tomorrow.</t>
  </si>
  <si>
    <t xml:space="preserve">Yes, I can do that. The exchange is booked, and you'll get a confirmation email in a few minutes.</t>
  </si>
  <si>
    <t xml:space="preserve">Yes, I can arrange that for you. I am setting up the exchange now, and you will receive a confirmation shortly.</t>
  </si>
  <si>
    <t xml:space="preserve">Yes, I can. I'll set up the exchange now, and the courier will collect the old one tomorrow.</t>
  </si>
  <si>
    <t xml:space="preserve">ok good · finally · what time tomorrow</t>
  </si>
  <si>
    <t xml:space="preserve">Customer: "so why all those long messages?" → Agent: "You're right, and I'm sorry. I should have led with the answer. It's booked, and I'll keep the rest short."</t>
  </si>
  <si>
    <t xml:space="preserve">Many agents explain the whole process before giving the answer, to be thorough. International customers usually expect the answer first and the details after, only if needed.</t>
  </si>
  <si>
    <t xml:space="preserve">Voice: say "Yes" clearly first, then one sentence. Email: put the answer in the first line, details below.</t>
  </si>
  <si>
    <t xml:space="preserve">Do not say "Yes" if the answer is really no; say "I can offer a refund instead, because this item can't be exchanged" in one clear line.</t>
  </si>
  <si>
    <t xml:space="preserve">Customer: can u do it or not? | Agent: Yes, I can. I'm setting up the exchange now, and the old one will be collected tomorrow. | Customer: ok what time | Agent: Between 10 am and 2 pm. You'll get a text when the courier is on the way.</t>
  </si>
  <si>
    <t xml:space="preserve">Keep chat replies short and answer the question asked; give one clear next step.</t>
  </si>
  <si>
    <t xml:space="preserve">Yes, I can. I'll set ____ the exchange now.</t>
  </si>
  <si>
    <t xml:space="preserve">After two long explanations, the customer writes "can u do it or not?". How should your reply start?</t>
  </si>
  <si>
    <t xml:space="preserve">A) As I mentioned earlier, the process is... | B) Sir, please read my previous message. | C) It depends on many factors. | D) Yes, I can. I'll set up the exchange now.</t>
  </si>
  <si>
    <t xml:space="preserve">D answers the yes/no question first and gives one action. A is accurate, but repeating the process is exactly what frustrated the customer.</t>
  </si>
  <si>
    <t xml:space="preserve">the / I'll / up / exchange / set / now</t>
  </si>
  <si>
    <t xml:space="preserve">I'll set up the exchange now</t>
  </si>
  <si>
    <t xml:space="preserve">Haan, main kar sakta/sakti hoon. Main abhi aapka refund process karta/karti hoon.</t>
  </si>
  <si>
    <t xml:space="preserve">Yes, I can. I'll process your refund now.</t>
  </si>
  <si>
    <t xml:space="preserve">do I need to pack the old one myself?</t>
  </si>
  <si>
    <t xml:space="preserve">Yes, please put it in a sealed box or bag before the courier arrives. I'll email you the packing steps now.</t>
  </si>
  <si>
    <t xml:space="preserve">Partner B gives a long explanation; Partner A replies "can u do it or not?". B answers in the first word ("Yes" or a clear "No" with an option) and gives one next step.</t>
  </si>
  <si>
    <t xml:space="preserve">Record yourself reading the customer's line with an impatient tone, then your reply starting with a clear "Yes".</t>
  </si>
  <si>
    <t xml:space="preserve">Did your first word answer the question? · Did you keep the reply to two short sentences at most? · Did you give one clear next step?</t>
  </si>
  <si>
    <t xml:space="preserve">CSC-I-020</t>
  </si>
  <si>
    <t xml:space="preserve">never mind then</t>
  </si>
  <si>
    <t xml:space="preserve">You asked the customer for their order number a second time, and they reply with just these three words.</t>
  </si>
  <si>
    <t xml:space="preserve">A customer suddenly writes a short phrase that sounds like they are giving up. What could they mean, and what should you not do next?</t>
  </si>
  <si>
    <t xml:space="preserve">NEV-er MIND · THEN</t>
  </si>
  <si>
    <t xml:space="preserve">If read aloud: never_mind → "nev-er-maind" · mind_then → "main-then" (flat, quick)</t>
  </si>
  <si>
    <t xml:space="preserve">If read aloud: a flat, falling tone; it can sound tired or annoyed, not relaxed.</t>
  </si>
  <si>
    <t xml:space="preserve">If read aloud: "never" needs top teeth on the lower lip for "v" ("NEV-er", not "NEH-wer"), and "mind" ends with a clear "nd".</t>
  </si>
  <si>
    <t xml:space="preserve">Tired, giving up, ambiguous</t>
  </si>
  <si>
    <t xml:space="preserve">Possibly frustrated and giving up, or the problem may have solved itself.</t>
  </si>
  <si>
    <t xml:space="preserve">Think of a guest who walks away from the counter saying "Forget it": a good host asks "Wait, can I still help?" before they reach the door.</t>
  </si>
  <si>
    <t xml:space="preserve">रहने दीजिए फिर / कोई बात नहीं।</t>
  </si>
  <si>
    <t xml:space="preserve">Rehne dijiye phir / koi baat nahin.</t>
  </si>
  <si>
    <t xml:space="preserve">Forget it. I do not want to continue this, or it does not matter any more.</t>
  </si>
  <si>
    <t xml:space="preserve">"Never mind" can mean the problem is solved, or that the customer has given up because the chat feels like too much work. Do not just close: check gently which it is and make it easy to carry on.</t>
  </si>
  <si>
    <t xml:space="preserve">Before you go, is ___ sorted, or would you like me to ___?</t>
  </si>
  <si>
    <t xml:space="preserve">never mind = fixed phrase ("forget it") · Reply: Before you go, + yes/no question + or + would you like me to + verb?</t>
  </si>
  <si>
    <t xml:space="preserve">"Never mind" is a fixed phrase meaning "forget it" or "it doesn't matter"; it has nothing to do with the word "mind" as in brain.</t>
  </si>
  <si>
    <t xml:space="preserve">A short, gentle check keeps the door open without pressure. "OK, closing the chat" accepts a possible failure as if it were a success.</t>
  </si>
  <si>
    <t xml:space="preserve">✗ OK, thank you for contacting us, closing the chat. → ✓ Before you go, is the issue sorted, or would you like me to keep helping?</t>
  </si>
  <si>
    <t xml:space="preserve">"Okay, thank you for contacting us. Have a nice day." It ends the chat when the customer may still have the problem.</t>
  </si>
  <si>
    <t xml:space="preserve">Instead of "OK, closing this chat", say "Before you go, is the issue sorted, or would you like me to keep helping?"</t>
  </si>
  <si>
    <t xml:space="preserve">I'm sorry if this has felt like hard work. If you'd still like help, I can find your order using your email instead.</t>
  </si>
  <si>
    <t xml:space="preserve">Sorry for the extra step. Just to check, has it been sorted, or can I still help? I can look it up by your phone number.</t>
  </si>
  <si>
    <t xml:space="preserve">I understand. Before we close, could I check whether the issue has been resolved, or would you like me to continue helping?</t>
  </si>
  <si>
    <t xml:space="preserve">Before you go, is the issue sorted, or would you like me to keep helping? I can look up your order with your email instead.</t>
  </si>
  <si>
    <t xml:space="preserve">its fine i found it · forget it, too much hassle · ok use my email then</t>
  </si>
  <si>
    <t xml:space="preserve">Customer: "no just forget it" → Agent: "Of course. I'm sorry it was hard work today. If you need us later, just message us again and we'll pick it up."</t>
  </si>
  <si>
    <t xml:space="preserve">Agents may read "never mind" as a polite goodbye and close at once. International customers often use it when they feel the help is too slow; one gentle check can save the contact.</t>
  </si>
  <si>
    <t xml:space="preserve">Voice: the caller may sigh and say "never mind"; ask "Before you go, can I try one more way to help?" Email: rarely seen; reply with one simple next step.</t>
  </si>
  <si>
    <t xml:space="preserve">Do not push again if the customer has clearly said the issue is solved; thank them and close.</t>
  </si>
  <si>
    <t xml:space="preserve">Agent: Could you share your order number once more? | Customer: never mind then | Agent: Before you go, is the issue sorted? If not, I can look up your order with your email instead. | Customer: ok use my email then</t>
  </si>
  <si>
    <t xml:space="preserve">Check the issue is resolved before closing; don't treat silence or giving up as success.</t>
  </si>
  <si>
    <t xml:space="preserve">Before you go, is the issue sorted, ____ would you like me to keep helping?</t>
  </si>
  <si>
    <t xml:space="preserve">or</t>
  </si>
  <si>
    <t xml:space="preserve">After you ask for the order number again, the customer writes "never mind then". What is the best reply?</t>
  </si>
  <si>
    <t xml:space="preserve">A) Before you go, is the issue sorted? If not, I can use your email instead. | B) OK, no problem. Thank you for contacting us, and have a nice day. | C) I need the order number to continue, so please share it when you can. | D) Why do you not want help? I only need your order number to carry on.</t>
  </si>
  <si>
    <t xml:space="preserve">A checks gently and removes the effort that made them give up. B sounds polite, but it may close a chat with the problem still unsolved; C repeats the demand that caused the problem, and D sounds like an accusation.</t>
  </si>
  <si>
    <t xml:space="preserve">go / you / Before / sorted / the / is / issue</t>
  </si>
  <si>
    <t xml:space="preserve">Before you go is the issue sorted</t>
  </si>
  <si>
    <t xml:space="preserve">Jaane se pehle, kya aapki problem solve ho gayi hai, ya main aur madad karoon?</t>
  </si>
  <si>
    <t xml:space="preserve">Before you go, is the issue sorted, or would you like me to keep helping?</t>
  </si>
  <si>
    <t xml:space="preserve">its fine now, i sorted it out myself</t>
  </si>
  <si>
    <t xml:space="preserve">Great, I'm glad it's sorted. If you need anything else, just message us again.</t>
  </si>
  <si>
    <t xml:space="preserve">Partner B asks for an order number twice; Partner A replies "never mind then". B checks gently whether it is solved and offers an easier way, then closes or continues depending on A's answer.</t>
  </si>
  <si>
    <t xml:space="preserve">Record yourself reading "never mind then" in two ways (relieved and fed up), then your reply that works for both.</t>
  </si>
  <si>
    <t xml:space="preserve">Did you avoid closing the chat straight away? · Did you ask if the issue is sorted? · Did you offer an easier way to continue?</t>
  </si>
  <si>
    <t xml:space="preserve">CSC-A-001</t>
  </si>
  <si>
    <t xml:space="preserve">I can see this has been really frustrating, Daniel, and I'm taking it over now. I'll check your account and update you in two minutes.</t>
  </si>
  <si>
    <t xml:space="preserve">Daniel has sent three angry messages about a subscription that renewed after he cancelled it, and you have just picked up the chat.</t>
  </si>
  <si>
    <t xml:space="preserve">An angry customer has sent several heated messages in a row. What three things should your first written reply do?</t>
  </si>
  <si>
    <t xml:space="preserve">i can SEE this has been REAL-ly FRUS-trat-ing · i'm TAK-ing it O-ver NOW · i'll CHECK your ac-COUNT · up-DATE you in TWO MIN-utes</t>
  </si>
  <si>
    <t xml:space="preserve">If read aloud: taking_it_over → "tay-king-i-to-ver" · check_your → "chek-yer" · update_you → "up-day-choo"</t>
  </si>
  <si>
    <t xml:space="preserve">If read aloud: steady and low, falling on "frustrating" and on "now". Pause briefly before "I'll check" so the promise stands out. Do not sound cheerful.</t>
  </si>
  <si>
    <t xml:space="preserve">If read aloud: "frustrating" is FRUS-tray-ting, stress on the first syllable. Make each "t" with the tongue tip on the bump just behind the top teeth, not curled back, so the word sounds light, not heavy.</t>
  </si>
  <si>
    <t xml:space="preserve">Calm, serious, taking charge</t>
  </si>
  <si>
    <t xml:space="preserve">Angry and tired of repeating himself, expecting another useless answer.</t>
  </si>
  <si>
    <t xml:space="preserve">Think of a firefighter arriving: "I see the fire", then "I'm in charge now", then "water in two minutes".</t>
  </si>
  <si>
    <t xml:space="preserve">मैं समझ सकता/सकती हूँ कि यह सच में बहुत परेशान करने वाला रहा है, डैनियल, और अब इसे मैं संभाल रहा/रही हूँ। मैं आपका अकाउंट देखता/देखती हूँ और दो मिनट में आपको बताता/बताती हूँ।</t>
  </si>
  <si>
    <t xml:space="preserve">Main samajh sakta/sakti hoon ki yeh sach mein bahut pareshaan karne wala raha hai, Daniel, aur ab ise main sambhaal raha/rahi hoon. Main aapka account dekhta/dekhti hoon aur do minute mein aapko batata/batati hoon.</t>
  </si>
  <si>
    <t xml:space="preserve">I understand you are very annoyed. I am now responsible for this problem. I will look at your account and write back in two minutes.</t>
  </si>
  <si>
    <t xml:space="preserve">It names the feeling without arguing, shows that one person now owns the problem, and gives a short, real time, so the customer has a reason to stop typing and wait.</t>
  </si>
  <si>
    <t xml:space="preserve">I can see this has been ___, and I'm taking it over now.</t>
  </si>
  <si>
    <t xml:space="preserve">I can see + (that) + present perfect · I'll + base verb + in + time</t>
  </si>
  <si>
    <t xml:space="preserve">"Has been" (present perfect) shows the frustration started earlier and is still going on now.</t>
  </si>
  <si>
    <t xml:space="preserve">Naming the feeling and then acting sounds calm and in control. "Please don't be angry" or "There is no need to shout" tells the customer how to feel and makes things worse.</t>
  </si>
  <si>
    <t xml:space="preserve">✗ I am understanding your frustration, I will check. → ✓ I can see this has been really frustrating. I'll check your account now.</t>
  </si>
  <si>
    <t xml:space="preserve">"Please calm down, sir, I am checking." — "calm down" adds fuel to the fire, and the line gives no time and no owner.</t>
  </si>
  <si>
    <t xml:space="preserve">Instead of "Please don't get angry", say "I can see this has been really frustrating, and I'm taking it over now."</t>
  </si>
  <si>
    <t xml:space="preserve">I'm sorry this has dragged on, Daniel. I'm on it now and will update you within two minutes.</t>
  </si>
  <si>
    <t xml:space="preserve">That sounds really frustrating, and I want to fix it today. Give me two minutes to look at your account.</t>
  </si>
  <si>
    <t xml:space="preserve">I understand how frustrating this has been, Mr Hughes. I am taking personal responsibility for your case and will update you within two minutes.</t>
  </si>
  <si>
    <t xml:space="preserve">Thanks for waiting, Daniel. I've found the renewal, and I've started a full refund for it.</t>
  </si>
  <si>
    <t xml:space="preserve">finally someone who listens · two minutes, not twenty · I've heard that before</t>
  </si>
  <si>
    <t xml:space="preserve">Customer: "I've heard that before." → Agent: "I understand why you'd doubt it. I'm checking now, and I'll write back by 10:32 with whatever I find."</t>
  </si>
  <si>
    <t xml:space="preserve">Many Indian agents open with "Sorry for the inconvenience caused"; international customers may hear it as scripted, so name the feeling and say what you are doing instead.</t>
  </si>
  <si>
    <t xml:space="preserve">Voice: say it slowly and drop your pitch a little. Email: add one line on what went wrong and a time for the next update.</t>
  </si>
  <si>
    <t xml:space="preserve">Do not use it when the customer is only mildly confused and not upset; "Let me check that for you" is enough there.</t>
  </si>
  <si>
    <t xml:space="preserve">Customer: third time asking, why was I charged again?? | Agent: I can see this has been really frustrating, Daniel, and I'm taking it over now. I'll check your account and update you in two minutes. | Customer: fine | Agent: Thanks for waiting. The renewal was our error, and I've started a full refund.</t>
  </si>
  <si>
    <t xml:space="preserve">Empathy line, then action: name the feeling, never say "calm down", and give a real time.</t>
  </si>
  <si>
    <t xml:space="preserve">I can see this has been really frustrating, Daniel, and I'm ____ it over now.</t>
  </si>
  <si>
    <t xml:space="preserve">taking</t>
  </si>
  <si>
    <t xml:space="preserve">A customer has sent three angry messages in a row, some in capital letters. Which reply de-escalates best in writing?</t>
  </si>
  <si>
    <t xml:space="preserve">A) Please calm down, sir, and give me a little time so that I can try to help you with this. | B) I'm sorry for the inconvenience caused to you. Your query is very important to us. | C) I can see how frustrating this is. I'm taking over now and will update you in two minutes. | D) There is no need to use capital letters. Please write politely so that I can help you.</t>
  </si>
  <si>
    <t xml:space="preserve">C names the feeling, takes ownership and gives a time. B is polite but vague and scripted; A and D tell the customer how to behave, which usually makes them angrier.</t>
  </si>
  <si>
    <t xml:space="preserve">over / I'm / it / now / taking</t>
  </si>
  <si>
    <t xml:space="preserve">I'm taking it over now</t>
  </si>
  <si>
    <t xml:space="preserve">Main samajh sakti hoon ki aap bahut pareshaan hain. Ab yeh main sambhaalungi aur do minute mein update dungi.</t>
  </si>
  <si>
    <t xml:space="preserve">I can see you're really frustrated. I'm taking this over now, and I'll update you in two minutes.</t>
  </si>
  <si>
    <t xml:space="preserve">two minutes, not twenty</t>
  </si>
  <si>
    <t xml:space="preserve">Two minutes, I promise. I'll write back even if I'm still checking.</t>
  </si>
  <si>
    <t xml:space="preserve">Partner A sends three angry chat messages about being charged after cancelling. Partner B replies once to name the feeling, take ownership and give a time, then comes back with a refund update.</t>
  </si>
  <si>
    <t xml:space="preserve">Record yourself reading aloud your first reply to the angry customer and your follow-up message two minutes later.</t>
  </si>
  <si>
    <t xml:space="preserve">Did you name the feeling without saying "calm down"? · Did you say you are taking it over? · Did you give a real time?</t>
  </si>
  <si>
    <t xml:space="preserve">CSC-A-002</t>
  </si>
  <si>
    <t xml:space="preserve">I'm sorry, Olivia. I'm not able to extend your free trial, because each account can have just one. What I can do is pause your plan for a month, free.</t>
  </si>
  <si>
    <t xml:space="preserve">Olivia asks in chat for a second free trial because she was travelling during her first one; your system allows only one trial per account but lets you offer a free one-month pause.</t>
  </si>
  <si>
    <t xml:space="preserve">A customer asks for something the rules do not allow. In what order do you give the refusal, the reason and the option?</t>
  </si>
  <si>
    <t xml:space="preserve">i'm SOR-ry o-LIV-i-a · i'm NOT AB-le to ex-TEND your free TRI-al · each ac-COUNT can have just ONE · what i CAN do · is PAUSE your PLAN for a MONTH · FREE</t>
  </si>
  <si>
    <t xml:space="preserve">If read aloud: not_able → "no-tay-bul" · what_I_can → "wo-tai-kan" · pause_your → "paw-zyer"</t>
  </si>
  <si>
    <t xml:space="preserve">If read aloud: a soft, falling tone on "I'm sorry, Olivia." Then fall gently on "one" to close the refusal, and lift your voice slightly on "What I can do" because the good news starts there.</t>
  </si>
  <si>
    <t xml:space="preserve">If read aloud: "extend" ends in a "-nd" cluster; say both sounds (ex-TEND), not "exten". "Month" has a soft "th" with the tongue between the teeth, not "mont".</t>
  </si>
  <si>
    <t xml:space="preserve">Firm, kind, solution-focused</t>
  </si>
  <si>
    <t xml:space="preserve">Disappointed and a bit embarrassed to ask, hoping for an exception.</t>
  </si>
  <si>
    <t xml:space="preserve">A closed door with a sign pointing to the open door next to it: "This one's locked; walk through here."</t>
  </si>
  <si>
    <t xml:space="preserve">मुझे अफ़सोस है, ओलिविया। मैं आपका फ़्री ट्रायल नहीं बढ़ा सकता/सकती, क्योंकि हर अकाउंट को सिर्फ़ एक ट्रायल मिलता है। मैं यह कर सकता/सकती हूँ कि आपका प्लान एक महीने के लिए मुफ़्त में रोक दूँ।</t>
  </si>
  <si>
    <t xml:space="preserve">Mujhe afsos hai, Olivia. Main aapka free trial nahin badha sakta/sakti, kyunki har account ko sirf ek trial milta hai. Main yeh kar sakta/sakti hoon ki aapka plan ek mahine ke liye muft mein rok doon.</t>
  </si>
  <si>
    <t xml:space="preserve">I am sorry. I can't give you more free days, because every account gets only one trial. But I can stop your plan for one month without charging you.</t>
  </si>
  <si>
    <t xml:space="preserve">The refusal comes once, with a plain reason, and the sentence ends on something the customer can actually have. The customer leaves with an option, not a closed door.</t>
  </si>
  <si>
    <t xml:space="preserve">I'm sorry. I'm not able to ___, because ___. What I can do is ___.</t>
  </si>
  <si>
    <t xml:space="preserve">I'm not able to + base verb + because + reason · What I can do is + base verb</t>
  </si>
  <si>
    <t xml:space="preserve">"What I can do is…" moves the focus from the refusal to the option, so the customer reads the option last.</t>
  </si>
  <si>
    <t xml:space="preserve">The reason makes the refusal feel fair, not personal. A bare "Not possible" or "Our system doesn't allow it" sounds like a wall and invites an argument.</t>
  </si>
  <si>
    <t xml:space="preserve">✗ It is not possible, that is our policy. → ✓ I'm sorry, Olivia. I'm not able to extend your free trial, because each account can have just one. What I can do is pause your plan for a month, free.</t>
  </si>
  <si>
    <t xml:space="preserve">"Sorry, that is not possible as per our policy." — it hides behind a rule, gives no real reason and offers nothing.</t>
  </si>
  <si>
    <t xml:space="preserve">Instead of "We can't give a second trial", say "What I can do is pause your plan for a month, free."</t>
  </si>
  <si>
    <t xml:space="preserve">A second trial isn't something I can set up, as it's one per account. I can pause your plan for a month at no cost, though.</t>
  </si>
  <si>
    <t xml:space="preserve">I can't add more trial days, because the trial is one per account. Would a free one-month pause help instead?</t>
  </si>
  <si>
    <t xml:space="preserve">I'm afraid I'm unable to extend the free trial, as it is limited to one per account. However, I would be happy to pause your plan for one month at no charge.</t>
  </si>
  <si>
    <t xml:space="preserve">Would you like me to set up the pause now, starting today?</t>
  </si>
  <si>
    <t xml:space="preserve">ok, pause it then · but I didn't even use it · can't you make one exception?</t>
  </si>
  <si>
    <t xml:space="preserve">Customer: "Can't you make one exception?" → Agent: "I understand why you're asking, and I'd like to help. The trial is one per account for everyone, but the free pause gives you a month to decide."</t>
  </si>
  <si>
    <t xml:space="preserve">Indian agents often write "As per policy, it is not possible"; international customers may read that as hiding behind rules. Give the reason in plain words, then the option.</t>
  </si>
  <si>
    <t xml:space="preserve">Voice: say "I'm afraid" first to soften it. Email: give the reason, empathy, the option and a follow-up step, in separate short lines.</t>
  </si>
  <si>
    <t xml:space="preserve">Do not use it if there is an exception process you have not checked; ask a supervisor before you refuse.</t>
  </si>
  <si>
    <t xml:space="preserve">Customer: can I get another free trial? I was travelling | Agent: I'm sorry, Olivia. I'm not able to extend your free trial, because each account can have just one. What I can do is pause your plan for a month, free. | Customer: ok, do that | Agent: Done. Your plan is paused until 14 November, and you won't be charged.</t>
  </si>
  <si>
    <t xml:space="preserve">Saying no: reason, then empathy, then an alternative. Don't hide behind "policy" (derived advice).</t>
  </si>
  <si>
    <t xml:space="preserve">I'm sorry, Olivia. I'm not able to extend your free trial, because each account can have just one. What I can ____ is pause your plan for a month, free.</t>
  </si>
  <si>
    <t xml:space="preserve">Which chat reply refuses a second free trial in the most customer-friendly way?</t>
  </si>
  <si>
    <t xml:space="preserve">A) Not possible, ma'am. A second free trial is not available for any account, I'm afraid. | B) It is our policy that a second free trial is not allowed, so no exceptions can be made for you. | C) I'm sorry. Each account gets just one trial. What I can do is pause your plan for a month, free. | D) The system will not allow a second trial on this account, so you will need to buy a paid plan.</t>
  </si>
  <si>
    <t xml:space="preserve">C shows regret, gives a real reason and ends with a real option. D blames the system and only pushes a sale; A is a bare refusal, and B hides behind policy instead of explaining.</t>
  </si>
  <si>
    <t xml:space="preserve">do / What / is / can / I / pause / plan / your</t>
  </si>
  <si>
    <t xml:space="preserve">What I can do is pause your plan</t>
  </si>
  <si>
    <t xml:space="preserve">Main trial nahin badha sakta, kyunki har account ko ek hi milta hai. Lekin main aapka plan ek mahine ke liye free mein rok sakta hoon.</t>
  </si>
  <si>
    <t xml:space="preserve">I'm not able to extend the trial, because each account gets just one. What I can do is pause your plan for a month, free.</t>
  </si>
  <si>
    <t xml:space="preserve">but I didn't even use it</t>
  </si>
  <si>
    <t xml:space="preserve">I understand, and I'm sorry you couldn't use it. The pause means you won't pay anything for a month.</t>
  </si>
  <si>
    <t xml:space="preserve">Partner A asks for a second free trial after a holiday. Partner B refuses once with a clear reason, offers the free pause, and handles one "can't you make an exception?" message.</t>
  </si>
  <si>
    <t xml:space="preserve">Record yourself reading aloud your refusal message and your reply to "can't you make one exception?".</t>
  </si>
  <si>
    <t xml:space="preserve">Did you give a real reason, not "policy"? · Did you show regret before the refusal? · Did you end on what you can do?</t>
  </si>
  <si>
    <t xml:space="preserve">CSC-A-003</t>
  </si>
  <si>
    <t xml:space="preserve">I'm sorry you had to wait so long to reach us, Emma. That isn't the service we aim for. I'm here now, so let's sort out your refund.</t>
  </si>
  <si>
    <t xml:space="preserve">Emma waited about forty minutes in the chat queue to ask about a refund, and her first message to you says "finally".</t>
  </si>
  <si>
    <t xml:space="preserve">A customer waited a long time in the queue and opens with "finally". What should your apology include, and how should it end?</t>
  </si>
  <si>
    <t xml:space="preserve">i'm SOR-ry you had to WAIT so LONG to REACH us, EM-ma · that IS-n't the SER-vice we AIM for · i'm HERE NOW · let's SORT OUT your RE-fund</t>
  </si>
  <si>
    <t xml:space="preserve">If read aloud: had_to → "hat-tuh" · isn't_the → "iz-n-the" · sort_out → "sor-tout"</t>
  </si>
  <si>
    <t xml:space="preserve">If read aloud: sincere and slower on the apology, falling on "aim for", then a brighter, forward-moving tone on "I'm here now".</t>
  </si>
  <si>
    <t xml:space="preserve">If read aloud: keep the w in "wait" (rounded lips, no teeth on the lip) different from the v in "service" (top teeth on the lower lip), as in west and vest. Do not use one sound for both.</t>
  </si>
  <si>
    <t xml:space="preserve">Sincere apology, then action</t>
  </si>
  <si>
    <t xml:space="preserve">Irritated and impatient after a long wait, ready to complain.</t>
  </si>
  <si>
    <t xml:space="preserve">Picture a waiter who comes to a table that waited too long: "Sorry, that's not how we work. I'm here now — what can I bring you?"</t>
  </si>
  <si>
    <t xml:space="preserve">मुझे अफ़सोस है कि हम तक पहुँचने के लिए आपको इतना लंबा इंतज़ार करना पड़ा, एमा। हम ऐसी सर्विस नहीं देना चाहते। अब मैं यहाँ हूँ, चलिए आपका रिफ़ंड ठीक करते हैं।</t>
  </si>
  <si>
    <t xml:space="preserve">Mujhe afsos hai ki hum tak pahunchne ke liye aapko itna lamba intezaar karna pada, Emma. Hum aisi service nahin dena chahte. Ab main yahan hoon, chaliye aapka refund theek karte hain.</t>
  </si>
  <si>
    <t xml:space="preserve">Sorry you waited so long. We should do better. I'm ready now, so let's fix your refund.</t>
  </si>
  <si>
    <t xml:space="preserve">It apologises for the specific thing (the wait), admits it was not good enough, and turns at once to the customer's real problem, so the apology does not slow the chat down further.</t>
  </si>
  <si>
    <t xml:space="preserve">I'm sorry you had to ___. That isn't ___. I'm here now, so let's ___.</t>
  </si>
  <si>
    <t xml:space="preserve">I'm sorry (that) + you + had to + base verb · let's + base verb</t>
  </si>
  <si>
    <t xml:space="preserve">"Had to wait" is past, because the wait is over; "let's" invites the customer to work with you.</t>
  </si>
  <si>
    <t xml:space="preserve">A specific apology plus a move to action feels honest. A long, repeated apology or "Due to high volume…" sounds like an excuse and wastes more of their time.</t>
  </si>
  <si>
    <t xml:space="preserve">✗ Sorry for the delay caused due to high volume. → ✓ I'm sorry you had to wait so long to reach us.</t>
  </si>
  <si>
    <t xml:space="preserve">"We are experiencing high chat volumes, thank you for your patience." — it is an excuse, and it thanks them for patience they did not have.</t>
  </si>
  <si>
    <t xml:space="preserve">Instead of "Sorry for the delay due to heavy traffic", say "I'm sorry you had to wait so long. I'm here now, so let's sort out your refund."</t>
  </si>
  <si>
    <t xml:space="preserve">Thanks for holding on, Emma, and I'm sorry it took so long. Let's get your refund sorted now.</t>
  </si>
  <si>
    <t xml:space="preserve">I'm really sorry about the long wait. You have my full attention now, so let's fix this refund.</t>
  </si>
  <si>
    <t xml:space="preserve">Please accept my apologies for the long wait, Ms Clarke. That is not the standard we aim for. I will now look into your refund.</t>
  </si>
  <si>
    <t xml:space="preserve">Could you share the order number for the refund so I can check it straight away?</t>
  </si>
  <si>
    <t xml:space="preserve">40 minutes!! · ok, at least you're here now · I almost gave up</t>
  </si>
  <si>
    <t xml:space="preserve">Customer: "40 minutes is ridiculous." → Agent: "You're right, that is far too long, and I'm sorry. Let me start on your refund straight away."</t>
  </si>
  <si>
    <t xml:space="preserve">Indian agents often write "Sorry for the delay caused"; international customers may find it vague. Say what the delay was and move on to the fix.</t>
  </si>
  <si>
    <t xml:space="preserve">Voice: "I'm sorry you were on hold so long." Email: "I'm sorry it has taken us three days to reply," with the answer in the same email.</t>
  </si>
  <si>
    <t xml:space="preserve">Do not use it if the customer reached you quickly; an unneeded apology sounds scripted.</t>
  </si>
  <si>
    <t xml:space="preserve">Customer: finally!! been waiting forever | Agent: I'm sorry you had to wait so long to reach us, Emma. That isn't the service we aim for. I'm here now, so let's sort out your refund. | Customer: ok it's order 58213 | Agent: Thank you. I can see it now, and I'm checking the refund status.</t>
  </si>
  <si>
    <t xml:space="preserve">Apologise specifically and take responsibility, then offer a fix; no excuses for delays.</t>
  </si>
  <si>
    <t xml:space="preserve">I'm sorry you had to ____ so long to reach us, Emma. That isn't the service we aim for.</t>
  </si>
  <si>
    <t xml:space="preserve">wait</t>
  </si>
  <si>
    <t xml:space="preserve">A customer has waited 40 minutes in the chat queue to ask about a refund. Which first message is best?</t>
  </si>
  <si>
    <t xml:space="preserve">A) Due to high chat volumes there was a delay in connecting you, and we are working hard to improve it. | B) I'm sorry you had to wait so long to reach us. I'm here now, so let's sort out your refund. | C) Sorry for the inconvenience caused. Please tell me your query and I will assist you with it. | D) Thank you so much for your patience, we really do appreciate you waiting for us today!</t>
  </si>
  <si>
    <t xml:space="preserve">B apologises for the specific wait and moves straight to the fix. D thanks an angry customer for "patience", which can feel sarcastic; A is an excuse, and C is a scripted, vague apology.</t>
  </si>
  <si>
    <t xml:space="preserve">sort / let's / refund / your / out</t>
  </si>
  <si>
    <t xml:space="preserve">let's sort out your refund</t>
  </si>
  <si>
    <t xml:space="preserve">Mujhe afsos hai ki aapko itna lamba intezaar karna pada. Ab main yahan hoon, chaliye aapka order check karte hain.</t>
  </si>
  <si>
    <t xml:space="preserve">I'm sorry you had to wait so long. I'm here now, so let's check your order.</t>
  </si>
  <si>
    <t xml:space="preserve">I almost gave up</t>
  </si>
  <si>
    <t xml:space="preserve">I'm glad you stayed, and I'm sorry it came to that. Your refund is the first thing I'll look at.</t>
  </si>
  <si>
    <t xml:space="preserve">Partner A has waited in a chat queue for 40 minutes about a missing refund. Partner B apologises for the wait in one message and then moves straight to the refund.</t>
  </si>
  <si>
    <t xml:space="preserve">Record yourself reading aloud your apology for the long wait and your next message asking for the order number.</t>
  </si>
  <si>
    <t xml:space="preserve">Did you apologise for the wait itself, not "the inconvenience"? · Did you avoid excuses? · Did you move to the fix in the same message?</t>
  </si>
  <si>
    <t xml:space="preserve">CSC-A-004</t>
  </si>
  <si>
    <t xml:space="preserve">I want to sort this out for you, but I can only continue if we keep the language respectful. Shall we look at your booking together?</t>
  </si>
  <si>
    <t xml:space="preserve">A customer angry about a cancelled flight booking has started swearing at you personally in the chat.</t>
  </si>
  <si>
    <t xml:space="preserve">A customer starts insulting you personally in chat. How do you set a limit without sounding angry or giving up on them?</t>
  </si>
  <si>
    <t xml:space="preserve">i WANT to SORT this OUT for you · but i can ON-ly con-TIN-ue · if we KEEP the LAN-guage re-SPECT-ful · shall we LOOK at your BOOK-ing to-GE-ther</t>
  </si>
  <si>
    <t xml:space="preserve">If read aloud: sort_this_out → "sort-thi-sout" · look_at_your → "loo-ka-cher" · want_to → "won-tuh"</t>
  </si>
  <si>
    <t xml:space="preserve">If read aloud: even and low all through, with no rise of anger. Fall on "respectful", then rise on "together?" because it is a real yes/no question.</t>
  </si>
  <si>
    <t xml:space="preserve">If read aloud: "together" has a soft voiced "th" (tongue between the teeth) — to-GE-ther, not "to-ge-dar". Stress the middle syllable.</t>
  </si>
  <si>
    <t xml:space="preserve">Firm, calm, still helpful</t>
  </si>
  <si>
    <t xml:space="preserve">Furious and venting at the nearest person, feeling powerless about the booking.</t>
  </si>
  <si>
    <t xml:space="preserve">A referee shows a yellow card, not a red one: "One warning, and the game goes on."</t>
  </si>
  <si>
    <t xml:space="preserve">मैं आपकी यह समस्या सुलझाना चाहता/चाहती हूँ, लेकिन मैं तभी आगे बढ़ सकता/सकती हूँ जब हम भाषा सम्मानजनक रखें। क्या हम साथ में आपकी बुकिंग देखें?</t>
  </si>
  <si>
    <t xml:space="preserve">Main aapki yeh samasya suljhana chahta/chahti hoon, lekin main tabhi aage badh sakta/sakti hoon jab hum bhasha sammanjanak rakhein. Kya hum saath mein aapki booking dekhein?</t>
  </si>
  <si>
    <t xml:space="preserve">I want to help you, but I can only keep going if we both use respectful words. Let's look at your booking together.</t>
  </si>
  <si>
    <t xml:space="preserve">It states the limit once, as a condition rather than a threat, and keeps the offer of help in the same message, so the customer can step back without losing face.</t>
  </si>
  <si>
    <t xml:space="preserve">I want to ___, but I can only continue if ___.</t>
  </si>
  <si>
    <t xml:space="preserve">I want to + verb, but + I can only + verb + if + present simple · Shall we + base verb …?</t>
  </si>
  <si>
    <t xml:space="preserve">"If we keep…" uses the present simple for a real condition about what happens next.</t>
  </si>
  <si>
    <t xml:space="preserve">"We" and "together" make it a shared rule, not a punishment. "Mind your language" or "I will end this chat" sounds like a threat and escalates.</t>
  </si>
  <si>
    <t xml:space="preserve">✗ Don't use bad words or I will close the chat. → ✓ I can only continue if we keep the language respectful.</t>
  </si>
  <si>
    <t xml:space="preserve">"Sir, you are being abusive, mind your language." — it labels and lectures the customer instead of setting a calm limit.</t>
  </si>
  <si>
    <t xml:space="preserve">Instead of "Stop abusing me", say "I can only continue if we keep the language respectful."</t>
  </si>
  <si>
    <t xml:space="preserve">I'm here to help with your booking, and I'd like to keep going. Could we keep the conversation respectful?</t>
  </si>
  <si>
    <t xml:space="preserve">I can see you're really upset, and I want to help. I'll need us to keep the language respectful so we can fix this.</t>
  </si>
  <si>
    <t xml:space="preserve">I would like to resolve this for you, Mr Grant; however, I can only continue the conversation if it remains respectful.</t>
  </si>
  <si>
    <t xml:space="preserve">Thank you. I can see the cancelled flight now. Here are the two options I can offer you.</t>
  </si>
  <si>
    <t xml:space="preserve">ok sorry, I'm just so angry · whatever, just fix it · don't tell me how to talk</t>
  </si>
  <si>
    <t xml:space="preserve">Customer: "Don't tell me how to talk." → Agent: "I understand you're angry, and you have every reason to be. If the insults continue, I'll have to end this chat, but I'd much rather fix your booking."</t>
  </si>
  <si>
    <t xml:space="preserve">Some Indian-English support scripts say "Kindly refrain from using abusive language"; international customers may hear it as a scolding. Use "we", state the limit once and keep the offer of help.</t>
  </si>
  <si>
    <t xml:space="preserve">Voice: say it slowly at a low pitch, with no raised voice. Email: rarely needed; reply only to the facts and leave out any insults.</t>
  </si>
  <si>
    <t xml:space="preserve">Do not use it when the customer is angry but not insulting you; a customer who swears about the situation needs empathy, not a warning.</t>
  </si>
  <si>
    <t xml:space="preserve">Customer: you people are useless idiots | Agent: I want to sort this out for you, but I can only continue if we keep the language respectful. Shall we look at your booking together? | Customer: fine. just fix it | Agent: Thank you. I can see the cancelled flight now, and I have two options for you.</t>
  </si>
  <si>
    <t xml:space="preserve">Set the limit once, calmly and as a condition, then return to the solution (derived advice).</t>
  </si>
  <si>
    <t xml:space="preserve">I want to sort this out for you, but I can only continue if we ____ the language respectful.</t>
  </si>
  <si>
    <t xml:space="preserve">keep</t>
  </si>
  <si>
    <t xml:space="preserve">A customer starts insulting you personally. Which reply sets a limit best?</t>
  </si>
  <si>
    <t xml:space="preserve">A) Mind your language, sir. I am only here to help you, and I will not be spoken to like this. | B) I want to sort this out for you, but I can only continue if we keep the language respectful. | C) I will not tolerate this behaviour. This chat is now closed, and I am ending it right away. | D) Please calm down and stop using that language so that we can continue with your booking.</t>
  </si>
  <si>
    <t xml:space="preserve">B sets the limit as a condition and keeps the offer of help. D sounds gentle, but "calm down" usually makes angry customers angrier; A lectures and C ends the chat without a warning.</t>
  </si>
  <si>
    <t xml:space="preserve">we / Shall / booking / look / your / at / together</t>
  </si>
  <si>
    <t xml:space="preserve">Shall we look at your booking together</t>
  </si>
  <si>
    <t xml:space="preserve">Main aapki madad karna chahti hoon, lekin hum tabhi aage badh sakte hain jab baat izzat se ho.</t>
  </si>
  <si>
    <t xml:space="preserve">I want to help you, but I can only continue if we keep the conversation respectful.</t>
  </si>
  <si>
    <t xml:space="preserve">ok sorry, I'm just so angry</t>
  </si>
  <si>
    <t xml:space="preserve">That's completely understandable. Let's fix it: I can see your booking now.</t>
  </si>
  <si>
    <t xml:space="preserve">Partner A is angry about a cancelled booking and sends one insult. Partner B sets a calm limit, then returns straight to the booking when Partner A apologises.</t>
  </si>
  <si>
    <t xml:space="preserve">Record yourself reading aloud the limit-setting message and your reply when the customer says "ok sorry".</t>
  </si>
  <si>
    <t xml:space="preserve">Did you set the limit only once? · Did you keep an offer of help in the same message? · Did you avoid labels like "abusive" or "rude"?</t>
  </si>
  <si>
    <t xml:space="preserve">CSC-A-005</t>
  </si>
  <si>
    <t xml:space="preserve">Your notes stopped syncing because the latest update signed you out in the background. Once you sign in again, they'll all reappear.</t>
  </si>
  <si>
    <t xml:space="preserve">A customer thinks a note-taking app deleted all her notes after an update; in fact the update signed her out without telling her.</t>
  </si>
  <si>
    <t xml:space="preserve">A worried customer thinks her data is gone, but it is only a sign-in problem. How do you explain the cause and the fix in plain words?</t>
  </si>
  <si>
    <t xml:space="preserve">your NOTES stopped SYNC-ing · be-CAUSE the LAT-est UP-date · signed you OUT in the BACK-ground · once you SIGN IN a-GAIN · they'll ALL re-ap-PEAR</t>
  </si>
  <si>
    <t xml:space="preserve">If read aloud: signed_you_out → "sain-joo-out" · sign_in_again → "sai-ni-na-gen" · they'll_all → "thay-lawl"</t>
  </si>
  <si>
    <t xml:space="preserve">If read aloud: falling on "background" to finish the cause, short pause, then a reassuring fall on "reappear".</t>
  </si>
  <si>
    <t xml:space="preserve">If read aloud: finish the clusters at the ends of "stopped" (-pt), "signed" (-nd) and "notes" (-ts); do not drop the last sound. "Syncing" is SINK-ing, with the c said as k.</t>
  </si>
  <si>
    <t xml:space="preserve">Clear, reassuring, plain words</t>
  </si>
  <si>
    <t xml:space="preserve">Panicked, afraid months of work have been lost.</t>
  </si>
  <si>
    <t xml:space="preserve">The notes are not lost; the door just locked itself. Give the customer the key: sign in again.</t>
  </si>
  <si>
    <t xml:space="preserve">आपके नोट्स का सिंक होना इसलिए बंद हो गया क्योंकि नए अपडेट ने बैकग्राउंड में आपको साइन आउट कर दिया। दोबारा साइन इन करते ही वे सब वापस दिखने लगेंगे।</t>
  </si>
  <si>
    <t xml:space="preserve">Aapke notes ka sync hona isliye band ho gaya kyunki naye update ne background mein aapko sign out kar diya. Dobara sign in karte hi ve sab wapas dikhne lagenge.</t>
  </si>
  <si>
    <t xml:space="preserve">Your notes are safe. The new update logged you out without showing it. Log in again and you will see them all.</t>
  </si>
  <si>
    <t xml:space="preserve">It gives the cause in one short line, with no jargon, and ends with one action and a clear result. Plain language means easy to read and use, not dumbed down.</t>
  </si>
  <si>
    <t xml:space="preserve">Your ___ stopped ___ because ___. Once you ___, ___.</t>
  </si>
  <si>
    <t xml:space="preserve">Subject + past simple + because + clause · Once + present simple, + will + verb</t>
  </si>
  <si>
    <t xml:space="preserve">"Once you sign in" means "as soon as you sign in"; use the present simple after "once", not "will".</t>
  </si>
  <si>
    <t xml:space="preserve">Cause, then action, then result calms a panicking customer. Words like "authentication token expired" or "user error" confuse or blame them.</t>
  </si>
  <si>
    <t xml:space="preserve">✗ Once you will sign in, the notes will come. → ✓ Once you sign in again, they'll all reappear.</t>
  </si>
  <si>
    <t xml:space="preserve">"Your session token was invalidated during the client update." — it is jargon the customer cannot act on.</t>
  </si>
  <si>
    <t xml:space="preserve">Instead of "You were logged out because you didn't update properly", say "The latest update signed you out in the background. Once you sign in again, they'll all reappear."</t>
  </si>
  <si>
    <t xml:space="preserve">Your notes are safe. The last update logged you out without warning, so signing in again will bring them back.</t>
  </si>
  <si>
    <t xml:space="preserve">Good news: nothing has been deleted. The update signed you out, and your notes will return as soon as you sign in.</t>
  </si>
  <si>
    <t xml:space="preserve">Your notes have not been deleted. The latest update signed you out in the background, so they will reappear as soon as you sign in again.</t>
  </si>
  <si>
    <t xml:space="preserve">Could you try signing in now and tell me if your notes are back?</t>
  </si>
  <si>
    <t xml:space="preserve">oh thank god · I'm signed in but still nothing · why did it do that?</t>
  </si>
  <si>
    <t xml:space="preserve">Customer: "I'm signed in but still nothing." → Agent: "Thanks for trying. Could you pull down on the notes list to refresh it? If they're still missing, I'll check your account from here."</t>
  </si>
  <si>
    <t xml:space="preserve">Indian-English support writing sometimes uses "re-login" or "login" as a verb; international customers may expect "sign in again" or "log in again" (the verb is two words), and everyday words rather than system terms.</t>
  </si>
  <si>
    <t xml:space="preserve">Voice: pause after the cause and check: "Does that make sense?" Email: number the steps if there are more than one.</t>
  </si>
  <si>
    <t xml:space="preserve">Do not use it before you have checked that the data really is safe; never promise it will "reappear" if you are guessing.</t>
  </si>
  <si>
    <t xml:space="preserve">Customer: all my notes are GONE after the update | Agent: Your notes stopped syncing because the latest update signed you out in the background. Once you sign in again, they'll all reappear. | Customer: ok signing in... yes they're back! | Agent: I'm so glad. Is there anything else I can help with today?</t>
  </si>
  <si>
    <t xml:space="preserve">Plain language: explain the cause without jargon, then give one clear next step.</t>
  </si>
  <si>
    <t xml:space="preserve">Your notes stopped syncing because the latest update signed you out in the ____. Once you sign in again, they'll all reappear.</t>
  </si>
  <si>
    <t xml:space="preserve">background</t>
  </si>
  <si>
    <t xml:space="preserve">Which explanation is clearest for a non-technical customer who thinks her notes were deleted?</t>
  </si>
  <si>
    <t xml:space="preserve">A) Your authentication token expired after the client patch, so the app can no longer reach your data. | B) The latest update signed you out in the background. Once you sign in again, your notes will reappear. | C) This is a known issue with the latest release, and our engineers are looking into it for you now. | D) You did not sign in properly after updating, so the app has not loaded any of your notes yet.</t>
  </si>
  <si>
    <t xml:space="preserve">B gives the cause in plain words and one clear action. A is accurate but full of jargon; D blames the customer, and C gives no action.</t>
  </si>
  <si>
    <t xml:space="preserve">sign / Once / again / you / in</t>
  </si>
  <si>
    <t xml:space="preserve">Once you sign in again</t>
  </si>
  <si>
    <t xml:space="preserve">Update ki wajah se aap sign out ho gaye the. Dobara sign in kijiye, aapke saare notes wapas aa jayenge.</t>
  </si>
  <si>
    <t xml:space="preserve">The update signed you out. Once you sign in again, all your notes will come back.</t>
  </si>
  <si>
    <t xml:space="preserve">why did it do that?</t>
  </si>
  <si>
    <t xml:space="preserve">I'm sorry it gave you such a fright. I don't know the exact cause yet, so I'll report it to our technical team today.</t>
  </si>
  <si>
    <t xml:space="preserve">Partner A messages in panic that all their notes vanished after an update. Partner B explains the sign-out cause in plain words, gives one step, and checks the result.</t>
  </si>
  <si>
    <t xml:space="preserve">Record yourself reading aloud your explanation, then your reply if the customer says "still nothing".</t>
  </si>
  <si>
    <t xml:space="preserve">Did you avoid jargon? · Did you give the cause in one short line? · Did you end with one clear action?</t>
  </si>
  <si>
    <t xml:space="preserve">CSC-A-006</t>
  </si>
  <si>
    <t xml:space="preserve">I'm passing you to Rohan in our payments team, as he can fix the double charge. I've sent him a summary, so you won't need to explain again.</t>
  </si>
  <si>
    <t xml:space="preserve">A customer was charged twice for one order, and only the payments team can reverse a charge, so you must hand the chat over.</t>
  </si>
  <si>
    <t xml:space="preserve">You must hand a chat to a specialist. What three things should the customer learn from your handover message?</t>
  </si>
  <si>
    <t xml:space="preserve">i'm PASS-ing you to RO-han · in our PAY-ments TEAM · he can FIX the DOUB-le CHARGE · i've SENT him a SUM-ma-ry · you WON'T need to ex-PLAIN a-GAIN</t>
  </si>
  <si>
    <t xml:space="preserve">If read aloud: passing_you → "pa-sing-yoo" · sent_him → "sen-tim" · won't_need → "wohn-need"</t>
  </si>
  <si>
    <t xml:space="preserve">If read aloud: steady and confident, falling on "charge" and again on "again"; no rising "is that okay?" tone, because you have already decided.</t>
  </si>
  <si>
    <t xml:space="preserve">If read aloud: "charge" begins with a clear "ch" and ends in a soft "j" sound (charj); do not end it with an extra vowel like "char-ja".</t>
  </si>
  <si>
    <t xml:space="preserve">Confident, reassuring handover</t>
  </si>
  <si>
    <t xml:space="preserve">Worried about being bounced around and having to repeat the whole story.</t>
  </si>
  <si>
    <t xml:space="preserve">A relay runner hands over the baton with a note taped to it, so the next runner knows the race.</t>
  </si>
  <si>
    <t xml:space="preserve">मैं आपको हमारी पेमेंट्स टीम के रोहन से जोड़ रहा/रही हूँ, क्योंकि वह डबल चार्ज ठीक कर सकते हैं। मैंने उन्हें एक सारांश भेज दिया है, ताकि आपको दोबारा समझाना न पड़े।</t>
  </si>
  <si>
    <t xml:space="preserve">Main aapko hamari payments team ke Rohan se jod raha/rahi hoon, kyunki vah double charge theek kar sakte hain. Maine unhein ek saaraansh bhej diya hai, taaki aapko dobara samjhaana na pade.</t>
  </si>
  <si>
    <t xml:space="preserve">Rohan from payments will now help you, because he can remove the extra charge. I have already sent him the details, so you do not have to explain it all again.</t>
  </si>
  <si>
    <t xml:space="preserve">It says who the customer is going to, why that person is the right one, and that the story has been passed on, so the transfer feels like progress rather than being bounced around.</t>
  </si>
  <si>
    <t xml:space="preserve">I'm passing you to ___ in our ___ team, as ___. I've sent ___ a summary.</t>
  </si>
  <si>
    <t xml:space="preserve">I'm + verb-ing (planned action) · as + reason · so + you won't + verb</t>
  </si>
  <si>
    <t xml:space="preserve">"I'm passing you" uses the present continuous for something happening right now.</t>
  </si>
  <si>
    <t xml:space="preserve">A name, a reason and a summary sound organised and caring. "Transferring you to another department" with no reason sounds like getting rid of the customer.</t>
  </si>
  <si>
    <t xml:space="preserve">✗ I will transfer you to other department, please wait. → ✓ I'm passing you to Rohan in our payments team.</t>
  </si>
  <si>
    <t xml:space="preserve">"This is not my department, transferring you." — it sounds like the agent does not care, and it gives no reason or name.</t>
  </si>
  <si>
    <t xml:space="preserve">Instead of "I can't do refunds, you need payments", say "I'm passing you to Rohan in our payments team, as he can fix the double charge."</t>
  </si>
  <si>
    <t xml:space="preserve">Rohan from our payments team can reverse the extra charge, so I'm connecting you with him now. He already has all the details.</t>
  </si>
  <si>
    <t xml:space="preserve">I'm bringing in Rohan from payments, who can fix this directly. I've shared our chat with him, so there's nothing to repeat.</t>
  </si>
  <si>
    <t xml:space="preserve">I am now transferring you to Rohan in our payments team, who is able to reverse the duplicate charge. I have shared a full summary with him, so you will not need to explain the issue again.</t>
  </si>
  <si>
    <t xml:space="preserve">Rohan will join in about a minute. Is there anything you'd like me to add to the summary?</t>
  </si>
  <si>
    <t xml:space="preserve">ok thanks · how long will that take? · can't you just do it?</t>
  </si>
  <si>
    <t xml:space="preserve">Customer: "Can't you just do it?" → Agent: "I wish I could. Only the payments team can reverse a charge, and Rohan can do it in this chat, so it's the fastest way."</t>
  </si>
  <si>
    <t xml:space="preserve">"Transferring to the concerned team" is common Indian business English; international customers may not know who that is, so name the team and the person.</t>
  </si>
  <si>
    <t xml:space="preserve">Voice: ask permission, brief the colleague first, then introduce the caller (warm transfer). Email: copy the colleague in and introduce them by name.</t>
  </si>
  <si>
    <t xml:space="preserve">Do not use it if you can fix the issue yourself; an unneeded transfer adds effort for the customer.</t>
  </si>
  <si>
    <t xml:space="preserve">Customer: I was charged twice for order 77140 | Agent: I'm passing you to Rohan in our payments team, as he can fix the double charge. I've sent him a summary, so you won't need to explain again. | Customer: ok thanks | Agent: Rohan will join in about a minute. Thanks for your patience, Nikhil.</t>
  </si>
  <si>
    <t xml:space="preserve">Transfer warm: say who and why, brief the colleague, so the customer doesn't repeat themselves.</t>
  </si>
  <si>
    <t xml:space="preserve">I'm passing you to Rohan in our payments team, as he can fix the double charge. I've sent him a summary, so you won't need to explain ____.</t>
  </si>
  <si>
    <t xml:space="preserve">again</t>
  </si>
  <si>
    <t xml:space="preserve">Which handover message is best when a payments specialist must take over the chat?</t>
  </si>
  <si>
    <t xml:space="preserve">A) I am transferring your chat to another department now. Someone will reply to you soon. | B) This is not my department, so I am not able to help you with the double charge today. | C) I'm passing you to Rohan in our payments team, who can fix this. I've sent him the details. | D) Please explain your issue again to the next agent, so that they can help you properly.</t>
  </si>
  <si>
    <t xml:space="preserve">C names the person and team, gives the reason and avoids repetition. A tells the customer nothing about who or why; B refuses without a next step; D makes the customer repeat the story.</t>
  </si>
  <si>
    <t xml:space="preserve">him / sent / summary / I've / a</t>
  </si>
  <si>
    <t xml:space="preserve">I've sent him a summary</t>
  </si>
  <si>
    <t xml:space="preserve">Main aapko technical team ke Dev se jod rahi hoon, kyunki woh aapka router theek kar sakte hain. Maine unhein ek summary bhej di hai.</t>
  </si>
  <si>
    <t xml:space="preserve">I'm passing you to Dev in our technical team, as he can fix your router. I've sent him a summary.</t>
  </si>
  <si>
    <t xml:space="preserve">how long will that take?</t>
  </si>
  <si>
    <t xml:space="preserve">Rohan will join in about a minute, and I'll stay in the chat until he does.</t>
  </si>
  <si>
    <t xml:space="preserve">Partner A was charged twice. Partner B decides payments must help, writes the handover message with a name, a reason and a summary, then answers "how long will that take?".</t>
  </si>
  <si>
    <t xml:space="preserve">Record yourself reading aloud your handover message and the two-line summary you would send to Rohan.</t>
  </si>
  <si>
    <t xml:space="preserve">Did you name the person and team? · Did you say why they can help? · Did you promise the customer won't repeat themselves?</t>
  </si>
  <si>
    <t xml:space="preserve">CSC-A-007</t>
  </si>
  <si>
    <t xml:space="preserve">To keep your account safe, could you confirm the last four digits of your card? Please don't send the full card number or any one-time passcode.</t>
  </si>
  <si>
    <t xml:space="preserve">A customer wants to change the email on their account, and you need to check they are the account holder before you make changes.</t>
  </si>
  <si>
    <t xml:space="preserve">You need to verify a chat customer without putting them at risk. What do you ask for, and what do you warn them never to send?</t>
  </si>
  <si>
    <t xml:space="preserve">to KEEP your ac-COUNT SAFE · could you con-FIRM the LAST FOUR DIG-its of your CARD · please DON'T send the FULL card NUM-ber · or any ONE-time PASS-code</t>
  </si>
  <si>
    <t xml:space="preserve">If read aloud: keep_your → "kee-pyer" · last_four → "last-four", with a very light t · don't_send → "dohn-send"</t>
  </si>
  <si>
    <t xml:space="preserve">If read aloud: rise on "card?" because it is a yes/no request, then a firm, falling tone on the warning about the passcode.</t>
  </si>
  <si>
    <t xml:space="preserve">If read aloud: "last four" has a "-st" cluster before "f"; keep a light "t" (last), not "las". "Digits" is DI-jits, stress on the first syllable.</t>
  </si>
  <si>
    <t xml:space="preserve">Careful, protective, clear</t>
  </si>
  <si>
    <t xml:space="preserve">Slightly impatient, and possibly unsure why so many checks are needed.</t>
  </si>
  <si>
    <t xml:space="preserve">A bank locker: you show your face, not the key. Four digits open the chat; the full number and the code stay in your pocket.</t>
  </si>
  <si>
    <t xml:space="preserve">आपका अकाउंट सुरक्षित रखने के लिए, क्या आप अपने कार्ड के आख़िरी चार अंक बता सकते हैं? कृपया पूरा कार्ड नंबर या कोई भी ओटीपी न भेजें।</t>
  </si>
  <si>
    <t xml:space="preserve">Aapka account surakshit rakhne ke liye, kya aap apne card ke aakhri chaar ank bata sakte hain? Kripya poora card number ya koi bhi OTP na bhejein.</t>
  </si>
  <si>
    <t xml:space="preserve">For your safety, tell me only the last four numbers on your card. Never type your full card number or a one-time code here.</t>
  </si>
  <si>
    <t xml:space="preserve">It says why the check is needed, asks only for what is enough, and warns the customer about what scammers ask for, so the customer feels protected rather than questioned.</t>
  </si>
  <si>
    <t xml:space="preserve">To keep your account safe, could you confirm ___?</t>
  </si>
  <si>
    <t xml:space="preserve">To + base verb (purpose), + could you + base verb …? · Please don't + base verb</t>
  </si>
  <si>
    <t xml:space="preserve">"To keep…" at the start gives the purpose before the request, which makes the request feel reasonable.</t>
  </si>
  <si>
    <t xml:space="preserve">Giving the purpose makes the request feel like protection. "Send your card details for verification" sounds like a scam and teaches customers an unsafe habit.</t>
  </si>
  <si>
    <t xml:space="preserve">✗ Please share your card number and OTP for verification. → ✓ Could you confirm the last four digits of your card? Please don't send any one-time passcode.</t>
  </si>
  <si>
    <t xml:space="preserve">"Share your full card number and the OTP you received." — no genuine agent needs these, and it trains customers to fall for scams.</t>
  </si>
  <si>
    <t xml:space="preserve">Instead of "Give me your card details", say "To keep your account safe, could you confirm the last four digits of your card?"</t>
  </si>
  <si>
    <t xml:space="preserve">For your security, could you tell me the last four digits of the card on your account? Never share the full number or a passcode in chat.</t>
  </si>
  <si>
    <t xml:space="preserve">Before I change anything, could you confirm the last four digits of your card? We'll never ask for your full card number or a one-time code.</t>
  </si>
  <si>
    <t xml:space="preserve">To protect your account, could you please confirm the last four digits of the card registered with us? Please do not share your full card number or any one-time passcode.</t>
  </si>
  <si>
    <t xml:space="preserve">Thank you, that matches. Which new email address would you like on the account?</t>
  </si>
  <si>
    <t xml:space="preserve">4471 · why do you need that? · I just got a code, do you need it?</t>
  </si>
  <si>
    <t xml:space="preserve">Customer: "I just got a code, do you need it?" → Agent: "No, please keep it to yourself. We'll never ask for a code in chat, and four digits are all I need."</t>
  </si>
  <si>
    <t xml:space="preserve">Many Indian customers are used to OTPs for every payment, so they may offer one; tell them clearly not to share it, and use plain "one-time passcode" with international customers.</t>
  </si>
  <si>
    <t xml:space="preserve">Voice: say "To protect your account" first, slowly. Email: never ask for card details by email; send the customer to a secure sign-in instead.</t>
  </si>
  <si>
    <t xml:space="preserve">Do not use it if your company verifies through a different method, such as the registered email; ask only what your process requires.</t>
  </si>
  <si>
    <t xml:space="preserve">Customer: I want to change my email | Agent: To keep your account safe, could you confirm the last four digits of your card? Please don't send the full card number or any one-time passcode. | Customer: 4471 | Agent: Thank you, that matches. Could you type the new email address?</t>
  </si>
  <si>
    <t xml:space="preserve">____ keep your account safe, could you confirm the last four digits of your card?</t>
  </si>
  <si>
    <t xml:space="preserve">Which verification message is safest in a chat?</t>
  </si>
  <si>
    <t xml:space="preserve">A) Please type your full card number and the OTP we have just sent to your phone. | B) Please send us a photo of the front and back of your card so that we can verify you. | C) Could you confirm the last four digits of your card? Please don't send the full number. | D) For security, please confirm your card's expiry date and the three-digit CVV on the back.</t>
  </si>
  <si>
    <t xml:space="preserve">C asks only for the last four digits and warns against sharing more. D looks like a normal check but asks for the security code; A and B expose full card details.</t>
  </si>
  <si>
    <t xml:space="preserve">account / your / To / safe / keep</t>
  </si>
  <si>
    <t xml:space="preserve">To keep your account safe</t>
  </si>
  <si>
    <t xml:space="preserve">Aapke account ki suraksha ke liye, apne card ke aakhri chaar ank bataiye. OTP kabhi share mat kijiye.</t>
  </si>
  <si>
    <t xml:space="preserve">To keep your account safe, could you confirm the last four digits of your card? Please never share a one-time passcode.</t>
  </si>
  <si>
    <t xml:space="preserve">why do you need that?</t>
  </si>
  <si>
    <t xml:space="preserve">It lets me check you're the account holder before I change anything, so nobody else can.</t>
  </si>
  <si>
    <t xml:space="preserve">Partner A wants to change their account email and offers their OTP. Partner B asks only for the last four digits, explains why, and stops A from sharing the code.</t>
  </si>
  <si>
    <t xml:space="preserve">Record yourself reading aloud the verification message and your reply when the customer offers to send their code.</t>
  </si>
  <si>
    <t xml:space="preserve">Did you give the purpose first? · Did you ask only for the last four digits? · Did you warn against sharing a passcode?</t>
  </si>
  <si>
    <t xml:space="preserve">CSC-A-008</t>
  </si>
  <si>
    <t xml:space="preserve">I'm sorry your last chat didn't go well. I'll pass your feedback to our team lead, and I'll make sure your address is updated right now.</t>
  </si>
  <si>
    <t xml:space="preserve">A customer says the previous agent was rude and did not update their delivery address, and now they want it fixed.</t>
  </si>
  <si>
    <t xml:space="preserve">A customer complains about a colleague who served them earlier. How do you respond without blaming or defending that colleague?</t>
  </si>
  <si>
    <t xml:space="preserve">i'm SOR-ry your LAST CHAT · DID-n't go WELL · i'll PASS your FEED-back · to our TEAM LEAD · i'll MAKE SURE your ad-DRESS is UP-dat-ed RIGHT NOW</t>
  </si>
  <si>
    <t xml:space="preserve">If read aloud: last_chat → "las-chat" · pass_your → "pa-shyer" · right_now → "rai-now"</t>
  </si>
  <si>
    <t xml:space="preserve">If read aloud: low and sincere on the apology, then firmer and falling on "right now" to show action.</t>
  </si>
  <si>
    <t xml:space="preserve">If read aloud: "address" is a-DRESS in British English (many Americans say AD-dress for the noun); end on a clean "s" with no extra vowel, and make "feedback" a clear final "k".</t>
  </si>
  <si>
    <t xml:space="preserve">Accountable, neutral, action-first</t>
  </si>
  <si>
    <t xml:space="preserve">Annoyed and let down, expecting to be ignored again.</t>
  </si>
  <si>
    <t xml:space="preserve">One team, one shirt: you don't blame your teammate in front of the fans; you take the ball and score.</t>
  </si>
  <si>
    <t xml:space="preserve">मुझे खेद है कि आपकी पिछली चैट ठीक नहीं रही। मैं आपका फ़ीडबैक हमारे टीम लीड तक पहुँचाऊँगा/पहुँचाऊँगी, और अभी आपका पता अपडेट करवाता/करवाती हूँ।</t>
  </si>
  <si>
    <t xml:space="preserve">Mujhe khed hai ki aapki pichhli chat theek nahin rahi. Main aapka feedback hamare team lead tak pahunchaunga/pahunchaungi, aur abhi aapka pata update karwata/karwati hoon.</t>
  </si>
  <si>
    <t xml:space="preserve">Sorry the last conversation was bad. I will tell my manager what you said, and I will fix your address now.</t>
  </si>
  <si>
    <t xml:space="preserve">It accepts the complaint without blaming the colleague or arguing, shows the feedback goes somewhere real, and fixes the actual problem straight away.</t>
  </si>
  <si>
    <t xml:space="preserve">I'm sorry your last ___ didn't go well. I'll pass your feedback to ___.</t>
  </si>
  <si>
    <t xml:space="preserve">I'm sorry + (that) + past simple negative · I'll make sure + clause</t>
  </si>
  <si>
    <t xml:space="preserve">"I'll make sure" is a strong promise that something will happen.</t>
  </si>
  <si>
    <t xml:space="preserve">Speaking for the company keeps it professional. "He is new" or "That agent was wrong" sounds like gossip and makes the customer doubt the whole team.</t>
  </si>
  <si>
    <t xml:space="preserve">✗ Sorry, that agent is new, he doesn't know. → ✓ I'm sorry your last chat didn't go well. I'll pass your feedback to our team lead.</t>
  </si>
  <si>
    <t xml:space="preserve">"I can't comment on other agents." — it sounds defensive and makes the customer feel the complaint is going nowhere.</t>
  </si>
  <si>
    <t xml:space="preserve">Instead of "That wasn't me, I can't comment", say "I'm sorry your last chat didn't go well. I'll pass your feedback to our team lead."</t>
  </si>
  <si>
    <t xml:space="preserve">Thank you for telling me, and I'm sorry that chat left you frustrated. I'll share this with my team lead and update your address now.</t>
  </si>
  <si>
    <t xml:space="preserve">That's not the experience we want you to have. I'll report it to our team lead, and I'll update your address myself right now.</t>
  </si>
  <si>
    <t xml:space="preserve">I am sorry that your previous conversation with us was not satisfactory. I will share your feedback with our team lead and ensure your address is updated immediately.</t>
  </si>
  <si>
    <t xml:space="preserve">Could you confirm the new address, including the postcode?</t>
  </si>
  <si>
    <t xml:space="preserve">he was so rude · will anything actually happen? · just fix the address</t>
  </si>
  <si>
    <t xml:space="preserve">Customer: "Will anything actually happen?" → Agent: "I'll send your feedback to our team lead today, and they decide what happens next. What I can do right now is make sure your address is correct."</t>
  </si>
  <si>
    <t xml:space="preserve">Defending a colleague ("He is new, sir") can feel loyal, but international customers may hear it as an excuse, so speak for the company instead.</t>
  </si>
  <si>
    <t xml:space="preserve">Voice: thank the caller for telling you before anything else. Email: acknowledge the complaint in the first line and keep the fix in the same email.</t>
  </si>
  <si>
    <t xml:space="preserve">Do not use it if the customer is reporting a serious issue such as harassment or fraud by staff; escalate it under your formal process instead.</t>
  </si>
  <si>
    <t xml:space="preserve">Customer: your last agent was rude and didn't even change my address | Agent: I'm sorry your last chat didn't go well. I'll pass your feedback to our team lead, and I'll make sure your address is updated right now. | Customer: 22 Mill Lane, Leeds | Agent: Thank you. That's updated, and your next parcel will go there.</t>
  </si>
  <si>
    <t xml:space="preserve">Take responsibility for the company (HEARD, often credited to Disney: apologise on its behalf), then act.</t>
  </si>
  <si>
    <t xml:space="preserve">I'm sorry your last chat didn't go well. I'll pass your feedback to our team lead, and I'll ____ sure your address is updated right now.</t>
  </si>
  <si>
    <t xml:space="preserve">make</t>
  </si>
  <si>
    <t xml:space="preserve">A customer says the previous agent was rude. What is the best reply?</t>
  </si>
  <si>
    <t xml:space="preserve">A) He is new, sir, so please excuse him. I am sure that he did not mean to be rude to you today. | B) I am not able to comment on other agents, but I will be happy to help you with your address now. | C) I'm sorry your last chat didn't go well. I'll pass your feedback to our team lead and fix your address. | D) Are you sure he was rude? He may have been following the process, so let me check the chat first.</t>
  </si>
  <si>
    <t xml:space="preserve">C accepts the feedback, says where it goes and fixes the problem. A sounds kind but makes excuses for the colleague; B is defensive and D questions the customer.</t>
  </si>
  <si>
    <t xml:space="preserve">team / pass / to / your / I'll / our / feedback / lead</t>
  </si>
  <si>
    <t xml:space="preserve">I'll pass your feedback to our team lead</t>
  </si>
  <si>
    <t xml:space="preserve">Mujhe afsos hai ki pichhli chat achhi nahin rahi. Main yeh baat apne team lead ko bataunga/bataungi aur abhi aapka kaam karta/karti hoon.</t>
  </si>
  <si>
    <t xml:space="preserve">I'm sorry your last chat didn't go well. I'll pass this on to my team lead, and I'll sort it out for you now.</t>
  </si>
  <si>
    <t xml:space="preserve">he was so rude to me</t>
  </si>
  <si>
    <t xml:space="preserve">I'm really sorry you had that experience. I'll include exactly what you've told me in my feedback, and I'll update your address now.</t>
  </si>
  <si>
    <t xml:space="preserve">Partner A complains that the last agent was rude and didn't update their address. Partner B accepts the feedback without blaming the colleague and fixes the address in the same chat.</t>
  </si>
  <si>
    <t xml:space="preserve">Record yourself reading aloud your reply to the complaint and your message confirming the new address.</t>
  </si>
  <si>
    <t xml:space="preserve">Did you avoid blaming or defending the colleague? · Did you say where the feedback goes? · Did you fix the real problem?</t>
  </si>
  <si>
    <t xml:space="preserve">CSC-A-009</t>
  </si>
  <si>
    <t xml:space="preserve">I can cancel that for you right away. Before I do, would the Basic plan help? It costs less and keeps all your saved files.</t>
  </si>
  <si>
    <t xml:space="preserve">A customer writes that they want to cancel their cloud storage plan because it has become too expensive; you can see the cheaper Basic plan has room for all their saved files.</t>
  </si>
  <si>
    <t xml:space="preserve">A customer wants to cancel because of price. How do you offer one option without blocking or pressuring them?</t>
  </si>
  <si>
    <t xml:space="preserve">i CAN CAN-cel that for you RIGHT a-WAY · be-FORE i DO · would the BA-sic PLAN HELP · it COSTS LESS · and KEEPS ALL your SAVED FILES</t>
  </si>
  <si>
    <t xml:space="preserve">If read aloud: cancel_that → "kan-sul-that" · right_away → "rai-ta-way" · keeps_all → "keep-sawl"</t>
  </si>
  <si>
    <t xml:space="preserve">If read aloud: a falling, sure tone on "right away", then a light rise on "help?" because it is a genuine yes/no question.</t>
  </si>
  <si>
    <t xml:space="preserve">If read aloud: "files" ends in a "z" sound (failz), and "saved" ends in "vd" with the top teeth on the lower lip for v; do not say "sev".</t>
  </si>
  <si>
    <t xml:space="preserve">Respectful, helpful, no pressure</t>
  </si>
  <si>
    <t xml:space="preserve">Decided but slightly guilty, expecting a hard sell.</t>
  </si>
  <si>
    <t xml:space="preserve">Hold the exit door open with one hand and point to a cheaper seat with the other: the customer chooses.</t>
  </si>
  <si>
    <t xml:space="preserve">मैं इसे अभी कैंसल कर सकता/सकती हूँ। उससे पहले, क्या बेसिक प्लान से मदद मिलेगी? वह सस्ता है और आपकी सारी सेव की हुई फ़ाइलें बनी रहती हैं।</t>
  </si>
  <si>
    <t xml:space="preserve">Main ise abhi cancel kar sakta/sakti hoon. Usse pehle, kya Basic plan se madad milegi? Vah sasta hai aur aapki saari save ki hui files bani rehti hain.</t>
  </si>
  <si>
    <t xml:space="preserve">I will cancel if you want. But first, would a cheaper plan that keeps your files work for you?</t>
  </si>
  <si>
    <t xml:space="preserve">It says yes to the request first, so the customer does not feel trapped, then offers one option that fixes their real reason (price) and leaves the choice with them.</t>
  </si>
  <si>
    <t xml:space="preserve">I can ___ for you right away. Before I do, would ___ help?</t>
  </si>
  <si>
    <t xml:space="preserve">I can + verb + right away · Before I do, + would + noun + base verb …?</t>
  </si>
  <si>
    <t xml:space="preserve">"Before I do" uses "do" to avoid repeating "cancel"; it means "before I cancel".</t>
  </si>
  <si>
    <t xml:space="preserve">Agreeing first shows respect for the decision. Pushing several offers, or asking "Why do you want to leave?" again and again, feels like pressure.</t>
  </si>
  <si>
    <t xml:space="preserve">✗ Sir, why you want to cancel? You will lose all benefits. → ✓ I can cancel that for you right away. Before I do, would the Basic plan help?</t>
  </si>
  <si>
    <t xml:space="preserve">"Are you sure? You will lose everything." — it uses fear instead of a real option, and many customers leave angrier.</t>
  </si>
  <si>
    <t xml:space="preserve">Instead of "You will lose all your files if you cancel", say "Would the Basic plan help? It costs less and keeps all your saved files."</t>
  </si>
  <si>
    <t xml:space="preserve">Of course, I can cancel it now. One quick option first: the Basic plan is cheaper and keeps your files. Would that suit you?</t>
  </si>
  <si>
    <t xml:space="preserve">Happy to cancel today. If price is the main reason, the Basic plan might help, as it keeps your files for less. Shall I tell you more, or go ahead?</t>
  </si>
  <si>
    <t xml:space="preserve">I can certainly cancel your plan today. Before I proceed, may I mention that the Basic plan costs less and retains all your saved files?</t>
  </si>
  <si>
    <t xml:space="preserve">Would you like me to switch you to Basic, or shall I go ahead with the cancellation?</t>
  </si>
  <si>
    <t xml:space="preserve">how much is Basic? · no thanks, just cancel · ok tell me more</t>
  </si>
  <si>
    <t xml:space="preserve">Customer: "Why are you trying to sell me something?" → Agent: "That's fair, and I'm sorry if it felt that way. I mentioned it only because you said price was the problem. Shall I go ahead and cancel now?"</t>
  </si>
  <si>
    <t xml:space="preserve">Some sales-trained agents repeat the offer several times; international customers may find that pushy, so offer once and then respect the answer.</t>
  </si>
  <si>
    <t xml:space="preserve">Voice: pause after the question and let the customer answer. Email: confirm the cancellation and mention the option in one short line.</t>
  </si>
  <si>
    <t xml:space="preserve">Do not use it when the customer is leaving because of a serious failure you caused; apologise and fix that first. Never say it "keeps all your saved files" before you have checked that it is true.</t>
  </si>
  <si>
    <t xml:space="preserve">Customer: I want to cancel, it's too expensive | Agent: I can cancel that for you right away. Before I do, would the Basic plan help? It costs less and keeps all your saved files. | Customer: no, just cancel please | Agent: Of course. I've cancelled your plan, and you'll keep access until 30 November.</t>
  </si>
  <si>
    <t xml:space="preserve">Lead with what you can do and keep effort low; offer one option, then respect the choice.</t>
  </si>
  <si>
    <t xml:space="preserve">I can cancel that for you right away. ____ I do, would the Basic plan help?</t>
  </si>
  <si>
    <t xml:space="preserve">Before</t>
  </si>
  <si>
    <t xml:space="preserve">A customer wants to cancel because of price. Which reply is best?</t>
  </si>
  <si>
    <t xml:space="preserve">A) Are you sure? You will lose all your saved files and every benefit of your plan today. | B) Before I cancel, may I ask why you want to leave us? Your answer will help us to improve. | C) Cancellations cannot be done in chat, so please call our helpline on a weekday morning. | D) I can cancel that for you right away. Before I do, would the Basic plan help? It costs less.</t>
  </si>
  <si>
    <t xml:space="preserve">D agrees first, then offers one useful option. B looks caring but delays the customer and feels like pressure; A uses fear and C blocks them.</t>
  </si>
  <si>
    <t xml:space="preserve">right / that / cancel / I / away / can</t>
  </si>
  <si>
    <t xml:space="preserve">I can cancel that right away</t>
  </si>
  <si>
    <t xml:space="preserve">Main abhi cancel kar sakti hoon. Usse pehle, kya sasta plan aapke kaam aayega?</t>
  </si>
  <si>
    <t xml:space="preserve">I can cancel that for you right away. Before I do, would a cheaper plan help?</t>
  </si>
  <si>
    <t xml:space="preserve">how much is Basic?</t>
  </si>
  <si>
    <t xml:space="preserve">It's half the price of your current plan, and all your files stay where they are. Would you like to switch?</t>
  </si>
  <si>
    <t xml:space="preserve">Partner A wants to cancel a storage plan because of cost. Partner B agrees, offers the Basic plan once, and then cancels politely when Partner A says no.</t>
  </si>
  <si>
    <t xml:space="preserve">Record yourself reading aloud the cancellation reply and your answer when the customer says "no, just cancel".</t>
  </si>
  <si>
    <t xml:space="preserve">Did you agree to cancel first? · Did you offer only one option? · Did you respect a "no" straight away?</t>
  </si>
  <si>
    <t xml:space="preserve">CSC-A-010</t>
  </si>
  <si>
    <t xml:space="preserve">You're right, and the mistake was ours: we used your old address. I'm sorry. I've already sent a replacement to your new one, free of charge.</t>
  </si>
  <si>
    <t xml:space="preserve">A customer's parcel went to her old flat, even though she updated her address before ordering; you have checked the order history, can see the error was ours, and have already dispatched a free replacement to her new address.</t>
  </si>
  <si>
    <t xml:space="preserve">The company clearly made the error. How do you admit it in chat in a way that is honest, short and already fixed?</t>
  </si>
  <si>
    <t xml:space="preserve">you're RIGHT · the mis-TAKE was OURS · we USED your OLD ad-DRESS · i'm SOR-ry · i've al-READ-y SENT a re-PLACE-ment to your NEW one · FREE of CHARGE</t>
  </si>
  <si>
    <t xml:space="preserve">If read aloud: mistake_was_ours → "mis-tay-kwaz-ours" · sent_a → "sen-ta" · free_of → "free-yuv"</t>
  </si>
  <si>
    <t xml:space="preserve">If read aloud: firm fall on "ours", a short pause, a soft "I'm sorry", then a confident fall on "free of charge".</t>
  </si>
  <si>
    <t xml:space="preserve">If read aloud: "ours" rhymes with "hours" and ends in "z"; "old" needs a clear final "d" — do not say "ol".</t>
  </si>
  <si>
    <t xml:space="preserve">Honest, accountable, solved</t>
  </si>
  <si>
    <t xml:space="preserve">Annoyed and ready to argue that it was not her fault.</t>
  </si>
  <si>
    <t xml:space="preserve">Own it, say sorry, show the fix: three quick taps, like stamping "PAID" on a bill.</t>
  </si>
  <si>
    <t xml:space="preserve">आप सही हैं, गलती हमारी थी: हमने आपका पुराना पता इस्तेमाल किया। माफ़ कीजिए। मैंने आपके नए पते पर मुफ़्त रिप्लेसमेंट पहले ही भेज दिया है।</t>
  </si>
  <si>
    <t xml:space="preserve">Aap sahi hain, galti hamari thi: humne aapka purana pata istemaal kiya. Maaf kijiye. Maine aapke naye pate par muft replacement pehle hi bhej diya hai.</t>
  </si>
  <si>
    <t xml:space="preserve">You did nothing wrong; we made the error. Sorry. A new one is already on its way to your new address, and you pay nothing.</t>
  </si>
  <si>
    <t xml:space="preserve">It admits responsibility in plain words before the customer has to argue, apologises once, and shows the repair is already done. Lewicki's 2016 apology study ranked accepting responsibility and offering repair as the two most important parts.</t>
  </si>
  <si>
    <t xml:space="preserve">You're right, and the mistake was ours: ___. I've already ___.</t>
  </si>
  <si>
    <t xml:space="preserve">You're right + and + the mistake was ours + colon + past simple · I've already + past participle</t>
  </si>
  <si>
    <t xml:space="preserve">"I've already sent" (present perfect + already) shows the fix is done, not just promised.</t>
  </si>
  <si>
    <t xml:space="preserve">Clear ownership ends the argument before it starts. "There may have been some issue at our end" sounds evasive and keeps the customer fighting.</t>
  </si>
  <si>
    <t xml:space="preserve">✗ There was some issue at our end, sorry for it. → ✓ The mistake was ours: we used your old address.</t>
  </si>
  <si>
    <t xml:space="preserve">"It seems the system took the old address." — it blames the system and avoids saying "we".</t>
  </si>
  <si>
    <t xml:space="preserve">Instead of "The system picked the old address", say "You're right, and the mistake was ours: we used your old address."</t>
  </si>
  <si>
    <t xml:space="preserve">That was our error, not yours: we shipped to your old address. I'm sorry. A replacement is already on its way to your new one, at no cost.</t>
  </si>
  <si>
    <t xml:space="preserve">You're absolutely right, we got the address wrong. I'm sorry about that. I've already sent a free replacement to your new address.</t>
  </si>
  <si>
    <t xml:space="preserve">You are quite right, and the error was ours: your order was sent to your previous address. Please accept my apologies. A replacement has already been dispatched to your new address at no charge.</t>
  </si>
  <si>
    <t xml:space="preserve">Would you like me to send the tracking link here, so you can follow the replacement?</t>
  </si>
  <si>
    <t xml:space="preserve">thank you for admitting it · what about the parcel at my old flat? · when will it arrive?</t>
  </si>
  <si>
    <t xml:space="preserve">Customer: "What about the parcel at my old flat?" → Agent: "You don't need to do anything with it. I'll ask the courier today to collect it, at no cost to you."</t>
  </si>
  <si>
    <t xml:space="preserve">Agents trained to avoid admitting fault may write "some issue from our end"; international customers usually trust a plain "the mistake was ours" more.</t>
  </si>
  <si>
    <t xml:space="preserve">Voice: say "I'm sorry" slowly and sincerely, not quickly at the end. Email: put the admission and the fix in the first two lines.</t>
  </si>
  <si>
    <t xml:space="preserve">Do not use it before you have checked what happened; admit a mistake only when you know it was the company's.</t>
  </si>
  <si>
    <t xml:space="preserve">Customer: my order went to my OLD address even though I changed it | Agent: You're right, and the mistake was ours: we used your old address. I'm sorry. I've already sent a replacement to your new one, free of charge. | Customer: oh ok, thank you | Agent: It should arrive on Thursday. I'll send the tracking link here now.</t>
  </si>
  <si>
    <t xml:space="preserve">Apologise specifically, accept responsibility, then offer repair (Lewicki et al., 2016).</t>
  </si>
  <si>
    <t xml:space="preserve">You're right, and the mistake was ____: we used your old address.</t>
  </si>
  <si>
    <t xml:space="preserve">ours</t>
  </si>
  <si>
    <t xml:space="preserve">The company sent an order to the wrong address. Which message admits the error best?</t>
  </si>
  <si>
    <t xml:space="preserve">A) The mistake was ours: we used your old address. I'm sorry. I've already sent a replacement. | B) There may have been some issue at our end with your address, and we are looking into it. | C) The system picked up your old address by mistake, so the parcel went to the wrong flat. | D) Did you update the address correctly? Please check your account settings and try again.</t>
  </si>
  <si>
    <t xml:space="preserve">A accepts responsibility, apologises and shows the repair. C sounds factual but blames the system; B is vague and D suggests the customer is at fault.</t>
  </si>
  <si>
    <t xml:space="preserve">was / right / and / You're / mistake / ours / the</t>
  </si>
  <si>
    <t xml:space="preserve">You're right and the mistake was ours</t>
  </si>
  <si>
    <t xml:space="preserve">Aap sahi hain, galti hamari thi. Maaf kijiye. Maine naya order pehle hi free mein bhej diya hai.</t>
  </si>
  <si>
    <t xml:space="preserve">You're right, and the mistake was ours. I'm sorry. I've already sent you a new order, free of charge.</t>
  </si>
  <si>
    <t xml:space="preserve">can you make sure this doesn't happen again?</t>
  </si>
  <si>
    <t xml:space="preserve">I've checked, and your new address is now the only one saved on your account, so your next order will go there.</t>
  </si>
  <si>
    <t xml:space="preserve">Partner A's parcel went to their old address after they changed it. Partner B admits the company's mistake in one message, apologises once, and confirms the free replacement.</t>
  </si>
  <si>
    <t xml:space="preserve">Record yourself reading aloud the admission message and your reply to "what about the parcel at my old flat?".</t>
  </si>
  <si>
    <t xml:space="preserve">Did you say "the mistake was ours" clearly? · Did you apologise only once? · Did you show the fix is already done?</t>
  </si>
  <si>
    <t xml:space="preserve">CSC-A-011</t>
  </si>
  <si>
    <t xml:space="preserve">I know today hasn't been easy, Mark. Your refund is confirmed for Friday, and I'll message you here if anything changes. Thanks for staying with me.</t>
  </si>
  <si>
    <t xml:space="preserve">After a long, tense chat about a faulty laptop, the refund is now approved, but the customer is still cold and short with you.</t>
  </si>
  <si>
    <t xml:space="preserve">An angry chat is resolved but the customer is still upset. How do you close without sounding cheerful or scripted?</t>
  </si>
  <si>
    <t xml:space="preserve">i KNOW to-DAY HAS-n't been EA-sy · your RE-fund is con-FIRMED for FRI-day · i'll MES-sage you HERE · if AN-y-thing CHAN-ges · THANKS for STAY-ing with me</t>
  </si>
  <si>
    <t xml:space="preserve">If read aloud: hasn't_been → "haz-n-bin" · message_you → "mes-ij-yoo" · staying_with_me → "stay-ing-with-mee"</t>
  </si>
  <si>
    <t xml:space="preserve">If read aloud: low and warm on the first sentence, steady and clear on "Friday", and a gentle fall on "staying with me". Avoid a bright, sing-song "Have a nice day!".</t>
  </si>
  <si>
    <t xml:space="preserve">If read aloud: "Thanks" and "with" need a soft "th" made with the tongue between the teeth, not a "t" (tanks, wit).</t>
  </si>
  <si>
    <t xml:space="preserve">Warm, sober, reassuring</t>
  </si>
  <si>
    <t xml:space="preserve">Drained and still a bit angry, though relieved the refund is coming.</t>
  </si>
  <si>
    <t xml:space="preserve">Close the door gently, not with a bang: name the hard day, repeat the promise, leave the light on.</t>
  </si>
  <si>
    <t xml:space="preserve">मैं जानता/जानती हूँ कि आज का दिन आसान नहीं रहा, मार्क। आपका रिफ़ंड शुक्रवार के लिए पक्का है, और कुछ भी बदला तो मैं आपको यहीं मैसेज करूँगा/करूँगी। मेरे साथ बने रहने के लिए धन्यवाद।</t>
  </si>
  <si>
    <t xml:space="preserve">Main jaanta/jaanti hoon ki aaj ka din aasaan nahin raha, Mark. Aapka refund Shukravaar ke liye pakka hai, aur kuchh bhi badla to main aapko yahin message karunga/karungi. Mere saath bane rehne ke liye dhanyavaad.</t>
  </si>
  <si>
    <t xml:space="preserve">I understand this was a hard day for you. Your refund is confirmed for Friday. I will tell you here if anything changes. Thank you for staying with me.</t>
  </si>
  <si>
    <t xml:space="preserve">It recognises the customer's feeling instead of pretending all is well, repeats the one fact that matters (the refund date), and leaves a clear next step, so the chat ends on trust rather than tension.</t>
  </si>
  <si>
    <t xml:space="preserve">I know today hasn't been easy. Your ___ is confirmed for ___, and I'll ___ if anything changes.</t>
  </si>
  <si>
    <t xml:space="preserve">Present perfect negative (hasn't been) · is confirmed for + day · I'll + verb + if + present simple</t>
  </si>
  <si>
    <t xml:space="preserve">"If anything changes" uses the present simple after "if", even though it is about the future.</t>
  </si>
  <si>
    <t xml:space="preserve">A quiet, specific close fits the mood. A cheerful "Have a wonderful day! 😊" after an angry chat feels like the agent was not listening.</t>
  </si>
  <si>
    <t xml:space="preserve">✗ Is there anything else? Have a nice day! 😊 → ✓ I know today hasn't been easy. Your refund is confirmed for Friday.</t>
  </si>
  <si>
    <t xml:space="preserve">"Glad I could help! Please rate our chat 5 stars!" — it ignores how the customer feels and sounds like you care only about the score.</t>
  </si>
  <si>
    <t xml:space="preserve">Instead of "Sorry for the inconvenience, have a nice day", say "I know today hasn't been easy. Your refund is confirmed for Friday, and I'll message you here if anything changes."</t>
  </si>
  <si>
    <t xml:space="preserve">I'm sorry today has been so stressful, Mark. The refund is due to reach you on Friday, and I'll update you here if that changes.</t>
  </si>
  <si>
    <t xml:space="preserve">Thank you for your patience through all this, Mark. Your refund is booked for Friday, and I'll keep an eye on it for you.</t>
  </si>
  <si>
    <t xml:space="preserve">I appreciate that today has been difficult, Mr Evans. Your refund is confirmed for Friday, and I will contact you if anything changes. Thank you for your patience.</t>
  </si>
  <si>
    <t xml:space="preserve">Is there anything about the refund you'd like me to check before you go?</t>
  </si>
  <si>
    <t xml:space="preserve">ok. thanks · it shouldn't have taken this long · fine, bye</t>
  </si>
  <si>
    <t xml:space="preserve">Customer: "It shouldn't have taken this long." → Agent: "You're right, and I'm sorry it did. I've added a note so our team can see where the delay happened."</t>
  </si>
  <si>
    <t xml:space="preserve">Many agents end every chat with "Sorry for the inconvenience, have a nice day"; international customers may hear it as copy-paste, especially after a tense chat.</t>
  </si>
  <si>
    <t xml:space="preserve">Voice: say it slowly and let the caller say goodbye first. Email: repeat the refund date in the subject line, too.</t>
  </si>
  <si>
    <t xml:space="preserve">Do not use it if the issue is not resolved yet; then close with the next step and time, not a confirmed result.</t>
  </si>
  <si>
    <t xml:space="preserve">Customer: fine. is that it? | Agent: I know today hasn't been easy, Mark. Your refund is confirmed for Friday, and I'll message you here if anything changes. Thanks for staying with me. | Customer: ok. bye | Agent: Goodbye, Mark. Take care.</t>
  </si>
  <si>
    <t xml:space="preserve">Close by summarising the next step; return the goodbye; no emoji with upset customers.</t>
  </si>
  <si>
    <t xml:space="preserve">I know today ____ been easy, Mark.</t>
  </si>
  <si>
    <t xml:space="preserve">hasn't</t>
  </si>
  <si>
    <t xml:space="preserve">An angry chat has just been resolved, but the customer is still upset. Which close fits best?</t>
  </si>
  <si>
    <t xml:space="preserve">A) I know today hasn't been easy. Your refund is confirmed for Friday, and I'll message you here if it changes. | B) Glad I could help, Mark! Your refund is confirmed for Friday, so now you can relax and have an awesome day! 😊 | C) Sorry for the inconvenience caused to you. Your refund has been processed and will be credited in due course. | D) Is there anything else I can help you with today? If not, please take a moment to rate this chat.</t>
  </si>
  <si>
    <t xml:space="preserve">A recognises the feeling and repeats the key fact and next step. B is friendly but too cheerful for an upset customer; C and D are scripted and ignore the mood.</t>
  </si>
  <si>
    <t xml:space="preserve">hasn't / today / I / easy / been / know</t>
  </si>
  <si>
    <t xml:space="preserve">I know today hasn't been easy</t>
  </si>
  <si>
    <t xml:space="preserve">Main jaanti hoon aaj ka din mushkil raha. Aapka refund Shukravaar ke liye pakka ho gaya hai. Saath bane rehne ke liye shukriya.</t>
  </si>
  <si>
    <t xml:space="preserve">I know today hasn't been easy. Your refund is confirmed for Friday. Thanks for staying with me.</t>
  </si>
  <si>
    <t xml:space="preserve">ok. bye then</t>
  </si>
  <si>
    <t xml:space="preserve">Goodbye, Mark. Take care, and I'll be in touch if anything changes.</t>
  </si>
  <si>
    <t xml:space="preserve">Partner A has spent an hour in a tense chat about a faulty laptop; the refund is now approved. Partner B writes a calm closing message and returns Partner A's short goodbye.</t>
  </si>
  <si>
    <t xml:space="preserve">Record yourself reading aloud your closing message and your reply to "it shouldn't have taken this long".</t>
  </si>
  <si>
    <t xml:space="preserve">Did you avoid emoji and cheerful filler? · Did you repeat the key date? · Did you say what happens if anything changes?</t>
  </si>
  <si>
    <t xml:space="preserve">CSC-A-012</t>
  </si>
  <si>
    <t xml:space="preserve">Hi Laura, I'm following up on yesterday's outage. Everything is working again now. Could you check your dashboard and let me know if anything still looks wrong?</t>
  </si>
  <si>
    <t xml:space="preserve">Laura reported that her online shop dashboard was down during yesterday's service outage, and you are messaging her the next morning.</t>
  </si>
  <si>
    <t xml:space="preserve">The service was down yesterday and is now fixed. What does a good follow-up message tell the customer and ask them to do?</t>
  </si>
  <si>
    <t xml:space="preserve">hi LAU-ra · i'm FOL-low-ing UP on YES-ter-day's OUT-age · EV-ery-thing is WORK-ing a-GAIN · could you CHECK your DASH-board · if AN-y-thing STILL looks WRONG</t>
  </si>
  <si>
    <t xml:space="preserve">If read aloud: following_up → "fol-oh-wing-up" · check_your → "chek-yer" · let_me_know → "let-mee-noh" (very light "t")</t>
  </si>
  <si>
    <t xml:space="preserve">If read aloud: friendly lift on "Hi Laura", a confident fall on "working again now", and a rise on "wrong?" because it is a yes/no request.</t>
  </si>
  <si>
    <t xml:space="preserve">If read aloud: "working" and "wrong" start with a rounded-lip w, not v. "Outage" is OW-tij, stress on the first part.</t>
  </si>
  <si>
    <t xml:space="preserve">Proactive, reassuring, checking</t>
  </si>
  <si>
    <t xml:space="preserve">Still a little anxious and unsure if she lost any sales or data.</t>
  </si>
  <si>
    <t xml:space="preserve">Like a doctor who phones the day after: "The fever's gone. How do you feel today?"</t>
  </si>
  <si>
    <t xml:space="preserve">हाय लॉरा, मैं कल के आउटेज के बारे में फ़ॉलो-अप कर रहा/रही हूँ। अब सब कुछ फिर से चल रहा है। क्या आप अपना डैशबोर्ड देखकर बता सकती हैं कि कहीं कुछ अब भी गलत तो नहीं दिख रहा?</t>
  </si>
  <si>
    <t xml:space="preserve">Hi Laura, main kal ke outage ke baare mein follow-up kar raha/rahi hoon. Ab sab kuchh phir se chal raha hai. Kya aap apna dashboard dekhkar bata sakti hain ki kahin kuchh ab bhi galat to nahin dikh raha?</t>
  </si>
  <si>
    <t xml:space="preserve">I'm writing about yesterday's problem. The service works again. Please look at your dashboard and tell me if anything is still wrong.</t>
  </si>
  <si>
    <t xml:space="preserve">The customer did not have to chase you. It says why you are writing, gives the good news first, and asks her to confirm, so any leftover problem is found early.</t>
  </si>
  <si>
    <t xml:space="preserve">I'm following up on ___. Could you check ___ and let me know if ___?</t>
  </si>
  <si>
    <t xml:space="preserve">I'm following up on + noun · Could you + verb + and + let me know + if + clause?</t>
  </si>
  <si>
    <t xml:space="preserve">"Follow up on" means you are writing again about something from before; "on" is needed.</t>
  </si>
  <si>
    <t xml:space="preserve">A short, friendly follow-up shows care. "Please confirm the issue is resolved so we can close your ticket" sounds like you care more about closing the ticket than about her.</t>
  </si>
  <si>
    <t xml:space="preserve">✗ I am following up for the outage of yesterday. → ✓ I'm following up on yesterday's outage.</t>
  </si>
  <si>
    <t xml:space="preserve">"Please confirm closure of your ticket." — it puts the ticket first and the customer second.</t>
  </si>
  <si>
    <t xml:space="preserve">Instead of "Please confirm we can close the ticket", say "Could you check your dashboard and let me know if anything still looks wrong?"</t>
  </si>
  <si>
    <t xml:space="preserve">Hi Laura, just checking in after yesterday's outage. Everything's back up now. Is your dashboard looking normal?</t>
  </si>
  <si>
    <t xml:space="preserve">Good morning, Laura. Yesterday's outage is fixed, and I wanted to make sure your shop is running smoothly. Does everything look right on your side?</t>
  </si>
  <si>
    <t xml:space="preserve">Dear Laura, I am writing to follow up on yesterday's service outage. All systems are now working normally. Could you please check your dashboard and let me know if anything still appears incorrect?</t>
  </si>
  <si>
    <t xml:space="preserve">Thanks for checking. If you see any orders missing from yesterday, send me the order numbers and I'll look into them.</t>
  </si>
  <si>
    <t xml:space="preserve">all good now, thanks · two orders are missing · what caused it?</t>
  </si>
  <si>
    <t xml:space="preserve">Customer: "What caused it? I lost sales." → Agent: "I'm sorry it hit your shop. I don't want to guess at the cause, so I'll ask our engineers and write to you with what they find by 5 pm today."</t>
  </si>
  <si>
    <t xml:space="preserve">Some agents write "Hope you are doing well" before every follow-up; that is fine, but international customers often prefer the reason for writing in the first line.</t>
  </si>
  <si>
    <t xml:space="preserve">Voice: a short call works for key accounts. Email: use a subject like "Follow-up: yesterday's outage" so it is not mistaken for a new issue.</t>
  </si>
  <si>
    <t xml:space="preserve">Do not send it if the outage is not fully fixed; send a status update with the next time instead.</t>
  </si>
  <si>
    <t xml:space="preserve">Agent: Hi Laura, I'm following up on yesterday's outage. Everything is working again now. Could you check your dashboard and let me know if anything still looks wrong? | Customer: looks ok but 2 orders missing | Agent: Thanks for telling me. Could you send me the two order numbers? | Customer: 30512 and 30518 | Agent: Thank you. I'll check them and update you within the hour.</t>
  </si>
  <si>
    <t xml:space="preserve">Follow up proactively; say it is a follow-up, give the status, and give one clear next step.</t>
  </si>
  <si>
    <t xml:space="preserve">Hi Laura, I'm following ____ on yesterday's outage.</t>
  </si>
  <si>
    <t xml:space="preserve">The service outage is fixed. Which follow-up message is best?</t>
  </si>
  <si>
    <t xml:space="preserve">A) Hi Laura, please confirm that you are happy for us to close your ticket about yesterday's outage today. | B) Hi Laura, I'm following up on yesterday's outage. Everything is working again. Could you check your dashboard? | C) Hope you are doing well. Yesterday's outage is done and dusted, so I will close the matter on my side. | D) We regret the inconvenience caused yesterday. Thank you for your understanding and patience in this matter.</t>
  </si>
  <si>
    <t xml:space="preserve">B gives the reason, the status and one clear request. D is polite but says nothing useful; A puts the ticket first, and C is casual and vague.</t>
  </si>
  <si>
    <t xml:space="preserve">following / I'm / outage / up / yesterday's / on</t>
  </si>
  <si>
    <t xml:space="preserve">I'm following up on yesterday's outage</t>
  </si>
  <si>
    <t xml:space="preserve">Kal ke outage ke baare mein follow-up kar rahi hoon. Ab sab theek chal raha hai. Kuchh galat dikhe to bataiye.</t>
  </si>
  <si>
    <t xml:space="preserve">I'm following up on yesterday's outage. Everything is working again now. Please let me know if anything still looks wrong.</t>
  </si>
  <si>
    <t xml:space="preserve">two orders are missing</t>
  </si>
  <si>
    <t xml:space="preserve">Thanks for checking. Could you send me the order numbers? I'll look into them straight away.</t>
  </si>
  <si>
    <t xml:space="preserve">Partner B writes to Partner A, a shop owner, the morning after an outage. Partner A reports two missing orders, and Partner B asks for the numbers and gives a time.</t>
  </si>
  <si>
    <t xml:space="preserve">Record yourself reading aloud your follow-up message and your reply when the customer reports missing orders.</t>
  </si>
  <si>
    <t xml:space="preserve">Did you say why you are writing in the first line? · Did you give the current status? · Did you ask one clear question?</t>
  </si>
  <si>
    <t xml:space="preserve">CSC-A-013</t>
  </si>
  <si>
    <t xml:space="preserve">There's no fix yet, but your case stays with me. Our engineers are testing a solution, and I'll message you by 3 pm tomorrow with an update.</t>
  </si>
  <si>
    <t xml:space="preserve">A customer's video calls keep dropping because of a known bug, the engineers have not fixed it yet, and the customer asks what happens now.</t>
  </si>
  <si>
    <t xml:space="preserve">You can't solve the customer's problem today. How do you show ownership and give them something certain?</t>
  </si>
  <si>
    <t xml:space="preserve">there's NO FIX YET · but your CASE STAYS with ME · our en-gi-NEERS are TEST-ing a so-LU-tion · i'll MES-sage you by THREE P-M to-MOR-row</t>
  </si>
  <si>
    <t xml:space="preserve">If read aloud: there's_no → "theirz-noh" · stays_with_me → "stay-zwith-mee" · message_you → "mes-ij-yoo"</t>
  </si>
  <si>
    <t xml:space="preserve">If read aloud: honest and level on "no fix yet", then firmer on "stays with me", and a clear, slower fall on "by 3 pm tomorrow".</t>
  </si>
  <si>
    <t xml:space="preserve">If read aloud: "engineers" is en-ji-NEERS with stress on the last part, not EN-gi-neers; "There's" starts with a soft voiced "th".</t>
  </si>
  <si>
    <t xml:space="preserve">Honest, committed, specific</t>
  </si>
  <si>
    <t xml:space="preserve">Frustrated and worried they will be forgotten once the chat ends.</t>
  </si>
  <si>
    <t xml:space="preserve">Like a hospital nurse: "The doctor hasn't decided yet, but I'm your nurse, and I'll be back at three."</t>
  </si>
  <si>
    <t xml:space="preserve">अभी तक कोई समाधान नहीं है, लेकिन आपका केस मेरे पास ही रहेगा। हमारे इंजीनियर एक हल टेस्ट कर रहे हैं, और मैं कल दोपहर 3 बजे तक आपको अपडेट भेजूँगा/भेजूँगी।</t>
  </si>
  <si>
    <t xml:space="preserve">Abhi tak koi samaadhaan nahin hai, lekin aapka case mere paas hi rahega. Hamare engineer ek hal test kar rahe hain, aur main kal dopahar 3 baje tak aapko update bhejunga/bhejungi.</t>
  </si>
  <si>
    <t xml:space="preserve">We haven't fixed it yet, but I am responsible for your case. The engineers are trying a fix, and I will write to you by 3 pm tomorrow.</t>
  </si>
  <si>
    <t xml:space="preserve">It is honest that there is no fix, but it gives the customer something certain: one named owner and a time for the next update, which they can hold you to.</t>
  </si>
  <si>
    <t xml:space="preserve">There's no ___ yet, but ___. I'll message you by ___ with an update.</t>
  </si>
  <si>
    <t xml:space="preserve">There's no + noun + yet · I'll + verb + by + time</t>
  </si>
  <si>
    <t xml:space="preserve">"By 3 pm" means "at or before 3 pm"; it is a deadline, not an exact time.</t>
  </si>
  <si>
    <t xml:space="preserve">A specific time sounds trustworthy. "We'll try to fix it soon, hopefully" sounds like nobody is responsible and nothing will happen.</t>
  </si>
  <si>
    <t xml:space="preserve">✗ I will update you when there is some progress. → ✓ I'll message you by 3 pm tomorrow with an update.</t>
  </si>
  <si>
    <t xml:space="preserve">"Hopefully it will be fixed soon." — it gives no time and no owner, so the customer has nothing to rely on.</t>
  </si>
  <si>
    <t xml:space="preserve">Instead of "We'll try to fix it ASAP", say "Our engineers are testing a solution, and I'll message you by 3 pm tomorrow with an update."</t>
  </si>
  <si>
    <t xml:space="preserve">I don't have a fix for you yet, but I'm keeping your case. I'll update you by 3 pm tomorrow, whatever the engineers find.</t>
  </si>
  <si>
    <t xml:space="preserve">The engineers are still working on this, so there's no fix today. I'm your contact for it, and you'll hear from me by 3 pm tomorrow.</t>
  </si>
  <si>
    <t xml:space="preserve">Unfortunately, a fix is not yet available. I will remain responsible for your case and will update you by 3 pm tomorrow on the engineers' progress.</t>
  </si>
  <si>
    <t xml:space="preserve">In the meantime, joining calls from the browser instead of the app should keep them stable. Would you like the steps?</t>
  </si>
  <si>
    <t xml:space="preserve">so I just wait? · what if it's not fixed by then? · ok, thanks for being honest</t>
  </si>
  <si>
    <t xml:space="preserve">Customer: "What if it's not fixed by then?" → Agent: "I'll still message you at 3 pm with what the engineers know and the next update time. You won't be left waiting without news."</t>
  </si>
  <si>
    <t xml:space="preserve">"At the earliest" and "ASAP" are common in Indian business English; international customers may read them as vague. Give a clock time and a day.</t>
  </si>
  <si>
    <t xml:space="preserve">Voice: repeat the time slowly and offer to call back. Email: put the update time in the subject line, too.</t>
  </si>
  <si>
    <t xml:space="preserve">Do not use it if you won't be on shift to send the update; name the colleague who will, or give the team's contact instead.</t>
  </si>
  <si>
    <t xml:space="preserve">Customer: so when will my calls stop dropping? | Agent: There's no fix yet, but your case stays with me. Our engineers are testing a solution, and I'll message you by 3 pm tomorrow with an update. | Customer: so I just wait? | Agent: Not quite. Using the browser instead of the app should keep your calls stable until then.</t>
  </si>
  <si>
    <t xml:space="preserve">Use "I will" plus a time instead of "we'll try" or "hopefully soon"; give the next step.</t>
  </si>
  <si>
    <t xml:space="preserve">There's no fix yet, but your case stays ____ me.</t>
  </si>
  <si>
    <t xml:space="preserve">There is no fix for the customer's bug yet. Which message sets expectations best?</t>
  </si>
  <si>
    <t xml:space="preserve">A) There's no fix yet, but your case stays with me. I'll message you by 3 pm tomorrow with an update. | B) We will do our best to resolve this as soon as we possibly can. Thank you very much for your patience. | C) Hopefully the engineers will have it fixed soon, and we will let you know as soon as they have done so. | D) It's with the tech team now and out of my hands, so please check back with us later today or tomorrow.</t>
  </si>
  <si>
    <t xml:space="preserve">A is honest, names an owner and gives a time. B sounds committed, but "as soon as we possibly can" is not a time; C and D leave the customer with nothing certain.</t>
  </si>
  <si>
    <t xml:space="preserve">stays / case / with / Your / me</t>
  </si>
  <si>
    <t xml:space="preserve">Your case stays with me</t>
  </si>
  <si>
    <t xml:space="preserve">Abhi fix nahin hai, lekin yeh case main hi dekhunga. Kal 3 baje tak main aapko update dunga.</t>
  </si>
  <si>
    <t xml:space="preserve">There's no fix yet, but I'm keeping your case. I'll update you by 3 pm tomorrow.</t>
  </si>
  <si>
    <t xml:space="preserve">so I just wait?</t>
  </si>
  <si>
    <t xml:space="preserve">Not quite. Using the browser instead of the app should keep calls stable until the fix is ready.</t>
  </si>
  <si>
    <t xml:space="preserve">Partner A's video calls keep dropping and asks when it will be fixed. Partner B says honestly there is no fix yet, takes ownership, gives a time, and offers a workaround.</t>
  </si>
  <si>
    <t xml:space="preserve">Record yourself reading aloud the ownership message and your reply to "what if it's not fixed by then?".</t>
  </si>
  <si>
    <t xml:space="preserve">Did you say honestly that there is no fix yet? · Did you give a clock time and a day? · Did you show who owns the case?</t>
  </si>
  <si>
    <t xml:space="preserve">CSC-A-014</t>
  </si>
  <si>
    <t xml:space="preserve">Room upgrades are arranged by the hotel itself, so they can help you fastest. Here's their front desk number: +91 832 555 0147. Your booking reference is HT-5821.</t>
  </si>
  <si>
    <t xml:space="preserve">A customer who booked a hotel through [Company]'s travel app asks you to upgrade her room, which only the hotel can do.</t>
  </si>
  <si>
    <t xml:space="preserve">A customer asks you for something only another business can do. How do you redirect them without making them feel dismissed?</t>
  </si>
  <si>
    <t xml:space="preserve">ROOM UP-grades are ar-RANGED · by the ho-TEL it-SELF · they can HELP you FAST-est · here's their FRONT DESK NUM-ber · your BOOK-ing REF-er-ence</t>
  </si>
  <si>
    <t xml:space="preserve">If read aloud: arranged_by → "a-raynj-bai" · help_you → "hel-pyoo" · front_desk → "frun-desk"</t>
  </si>
  <si>
    <t xml:space="preserve">If read aloud: helpful and steady, falling on "fastest"; slow down for the number and the reference so they are clear.</t>
  </si>
  <si>
    <t xml:space="preserve">If read aloud: "hotel" is ho-TEL with stress on the second syllable, and "fastest" has two "st" clusters — say both clearly, not "fas-tes".</t>
  </si>
  <si>
    <t xml:space="preserve">Helpful redirect, not a brush-off</t>
  </si>
  <si>
    <t xml:space="preserve">Hopeful, and a little annoyed at being sent somewhere else.</t>
  </si>
  <si>
    <t xml:space="preserve">A good receptionist doesn't say "not my job"; she walks you to the right door and hands you the key.</t>
  </si>
  <si>
    <t xml:space="preserve">रूम अपग्रेड होटल ख़ुद करता है, इसलिए वही आपकी सबसे जल्दी मदद कर सकते हैं। यह उनके फ़्रंट डेस्क का नंबर है: +91 832 555 0147। आपका बुकिंग रेफ़रेंस HT-5821 है।</t>
  </si>
  <si>
    <t xml:space="preserve">Room upgrade hotel khud karta hai, isliye wahi aapki sabse jaldi madad kar sakte hain. Yeh unke front desk ka number hai: +91 832 555 0147. Aapka booking reference HT-5821 hai.</t>
  </si>
  <si>
    <t xml:space="preserve">Only the hotel can change your room, so contact them directly. Here is their phone number and your booking code.</t>
  </si>
  <si>
    <t xml:space="preserve">It explains who can help and why that is faster, then hands over everything the customer needs, so the redirect saves effort instead of feeling like a brush-off.</t>
  </si>
  <si>
    <t xml:space="preserve">___ are arranged by ___, so they can help you fastest. Here's ___.</t>
  </si>
  <si>
    <t xml:space="preserve">Noun + are + past participle + by + noun (passive) · so + they can + verb</t>
  </si>
  <si>
    <t xml:space="preserve">The passive "are arranged by the hotel" puts the focus on the upgrade, not on what you cannot do.</t>
  </si>
  <si>
    <t xml:space="preserve">Giving the reason and the contact details feels helpful. "That's not our department" or "We don't handle that" sounds like you don't care.</t>
  </si>
  <si>
    <t xml:space="preserve">✗ We don't do upgrades, you call hotel yourself. → ✓ Room upgrades are arranged by the hotel itself, so they can help you fastest.</t>
  </si>
  <si>
    <t xml:space="preserve">"That's not our department, please contact the hotel." — it refuses without a reason and leaves the customer to find the details.</t>
  </si>
  <si>
    <t xml:space="preserve">Instead of "We can't do upgrades", say "Room upgrades are arranged by the hotel itself, so they can help you fastest."</t>
  </si>
  <si>
    <t xml:space="preserve">The hotel handles upgrades directly, so they're the quickest people to ask. Their front desk number is +91 832 555 0147, and your reference is HT-5821.</t>
  </si>
  <si>
    <t xml:space="preserve">Upgrades are up to the hotel, so I'd contact them first. Here's their number: +91 832 555 0147. Quote your booking reference HT-5821 and they'll find you straight away.</t>
  </si>
  <si>
    <t xml:space="preserve">Room upgrades are managed directly by the hotel, so they will be able to assist you most quickly. Their front desk can be reached on +91 832 555 0147, and your booking reference is HT-5821.</t>
  </si>
  <si>
    <t xml:space="preserve">If the upgrade changes your price, let me know and I'll update your booking on our side.</t>
  </si>
  <si>
    <t xml:space="preserve">can't you call them for me? · ok, thanks · I booked with you, not them</t>
  </si>
  <si>
    <t xml:space="preserve">Customer: "I booked with you, not them." → Agent: "That's fair, and I'm still here for anything about your booking. The hotel controls which rooms are free, so they can confirm an upgrade on the spot."</t>
  </si>
  <si>
    <t xml:space="preserve">"Not in our scope" is common in Indian business English; international customers may hear it as a refusal to help. Say who can help and give the details.</t>
  </si>
  <si>
    <t xml:space="preserve">Voice: offer to transfer or conference the hotel in if your system allows it. Email: put the contact details on separate lines so they are easy to copy.</t>
  </si>
  <si>
    <t xml:space="preserve">Do not use it if [Company] can request the upgrade itself; never redirect a customer when you could help directly.</t>
  </si>
  <si>
    <t xml:space="preserve">Customer: can you upgrade my room to a sea view? | Agent: Room upgrades are arranged by the hotel itself, so they can help you fastest. Here's their front desk number: +91 832 555 0147. Your booking reference is HT-5821. | Customer: can't you call them for me? | Agent: I'm not able to request upgrades, but if the price changes, I'll update your booking on our side straight away.</t>
  </si>
  <si>
    <t xml:space="preserve">Lead with what is possible; give the reason in plain words, then an alternative.</t>
  </si>
  <si>
    <t xml:space="preserve">Room upgrades are arranged ____ the hotel itself, so they can help you fastest.</t>
  </si>
  <si>
    <t xml:space="preserve">by</t>
  </si>
  <si>
    <t xml:space="preserve">A customer asks you to upgrade a hotel room, but only the hotel can do it. Which reply is best?</t>
  </si>
  <si>
    <t xml:space="preserve">A) That's not our department, I'm afraid. You will need to sort out any room upgrade with the hotel yourself. | B) Room upgrades are arranged by the hotel, so they can help you fastest. Their front desk number is +91 832 555 0147. | C) Please contact the hotel directly regarding your request, as they will be able to assist you with it today. | D) We don't do upgrades, sorry. It's a hotel matter, so you will have to ask them yourself when you arrive.</t>
  </si>
  <si>
    <t xml:space="preserve">B explains who can help and why, and gives the number. C sounds polite but gives nothing to act on; A and D just refuse.</t>
  </si>
  <si>
    <t xml:space="preserve">help / They / you / can / fastest</t>
  </si>
  <si>
    <t xml:space="preserve">They can help you fastest</t>
  </si>
  <si>
    <t xml:space="preserve">Yeh kaam aapka bank karta hai, isliye wahi jaldi madad kar sakte hain. Main aapko payment reference bhej deti hoon.</t>
  </si>
  <si>
    <t xml:space="preserve">Your bank handles this, so they can help you fastest. I'll send you the payment reference to give them.</t>
  </si>
  <si>
    <t xml:space="preserve">what if the hotel says no?</t>
  </si>
  <si>
    <t xml:space="preserve">Then your booking stays exactly as it is, and the price doesn't change. If you'd like, I can check which nearby hotels have sea-view rooms.</t>
  </si>
  <si>
    <t xml:space="preserve">Partner A asks the travel-app agent for a sea-view upgrade. Partner B explains that the hotel arranges upgrades, gives the number and reference, and answers "I booked with you, not them".</t>
  </si>
  <si>
    <t xml:space="preserve">Record yourself reading aloud the redirect message and your reply to "I booked with you, not them".</t>
  </si>
  <si>
    <t xml:space="preserve">Did you say who can help and why? · Did you give the contact details and reference? · Did you avoid "not our department"?</t>
  </si>
  <si>
    <t xml:space="preserve">CSC-A-015</t>
  </si>
  <si>
    <t xml:space="preserve">I want a refund NOW</t>
  </si>
  <si>
    <t xml:space="preserve">Halfway through a chat about a late delivery, the customer suddenly types this, with "NOW" in capital letters.</t>
  </si>
  <si>
    <t xml:space="preserve">A customer writes one word in capital letters at the end of a demand. What does that tell you, and what must your reply include?</t>
  </si>
  <si>
    <t xml:space="preserve">i WANT a RE-fund NOW</t>
  </si>
  <si>
    <t xml:space="preserve">If read aloud: want_a → "won-ta" · a_refund → "uh-REE-fund"</t>
  </si>
  <si>
    <t xml:space="preserve">If read aloud: hard and loud, with heavy stress on "NOW"; the capitals mean shouting.</t>
  </si>
  <si>
    <t xml:space="preserve">If you say "refund" in your reply, the noun is stressed on the first part: REE-fund. The verb is re-FUND ("we'll re-FUND you").</t>
  </si>
  <si>
    <t xml:space="preserve">Angry, demanding, impatient</t>
  </si>
  <si>
    <t xml:space="preserve">Out of patience, feeling ignored, and wanting control back.</t>
  </si>
  <si>
    <t xml:space="preserve">Capital letters are a raised voice on a screen: answer the volume with calm, and the demand with a clear yes, no or when.</t>
  </si>
  <si>
    <t xml:space="preserve">मुझे अभी रिफ़ंड चाहिए।</t>
  </si>
  <si>
    <t xml:space="preserve">Mujhe abhi refund chahiye.</t>
  </si>
  <si>
    <t xml:space="preserve">Give me my money back immediately. The capital letters show the customer is shouting because they are angry.</t>
  </si>
  <si>
    <t xml:space="preserve">The customer feels the chat is going nowhere. They need a direct answer: whether you can refund, what you are doing this minute, and when the money will arrive — not more questions or a script.</t>
  </si>
  <si>
    <t xml:space="preserve">I want a ___ NOW = I want it immediately, and I'm angry</t>
  </si>
  <si>
    <t xml:space="preserve">I want + a + noun + NOW (capitals = shouting in writing)</t>
  </si>
  <si>
    <t xml:space="preserve">Capitals on one word add strong stress, like raising your voice on that word.</t>
  </si>
  <si>
    <t xml:space="preserve">Reply with calm, plain words and a clear action. Telling the customer not to use capitals, or copying their tone, makes the chat worse.</t>
  </si>
  <si>
    <t xml:space="preserve">✗ Sir, please don't use capital letters. → ✓ I understand you want this settled now. I can start the refund straight away.</t>
  </si>
  <si>
    <t xml:space="preserve">"Refunds take 7–10 working days as per policy." — it ignores the feeling, hides behind a rule and says nothing about what you are doing now.</t>
  </si>
  <si>
    <t xml:space="preserve">Instead of "Please wait, refund process takes time", say "I can start your refund right now. It should reach your card within 5 working days."</t>
  </si>
  <si>
    <t xml:space="preserve">just give me my money back</t>
  </si>
  <si>
    <t xml:space="preserve">refund me right NOW</t>
  </si>
  <si>
    <t xml:space="preserve">I would like a full refund immediately, please.</t>
  </si>
  <si>
    <t xml:space="preserve">I understand you want this settled now. I've checked your order, and I can refund the full amount today. It should reach your card within 5 working days. Shall I go ahead?</t>
  </si>
  <si>
    <t xml:space="preserve">yes do it · 5 days?? I want it today · why couldn't you say that before</t>
  </si>
  <si>
    <t xml:space="preserve">Customer: "5 days?? I want it today." → Agent: "I'm sending it today. Your bank then takes up to 5 working days to show it, and I'll email you the refund confirmation now so you have proof."</t>
  </si>
  <si>
    <t xml:space="preserve">Capital letters read as shouting to every English reader, Indian or international. The customer is not being "rude" on purpose; they feel unheard.</t>
  </si>
  <si>
    <t xml:space="preserve">Voice: the caller will raise their voice; lower yours and slow down. Email: subject lines like "REFUND NOW!!!" need a reply within hours, with a clear action.</t>
  </si>
  <si>
    <t xml:space="preserve">Do not reply with a refund promise if the order is not eligible; then say clearly what you can do instead and by when.</t>
  </si>
  <si>
    <t xml:space="preserve">Customer: I want a refund NOW | Agent: I understand you want this settled now. I've checked your order, and I can refund the full amount today. It should reach your card within 5 working days. Shall I go ahead? | Customer: yes | Agent: Done. Your refund reference is RF-3097, and I've emailed you the confirmation.</t>
  </si>
  <si>
    <t xml:space="preserve">If the customer sounds urgent, reply briefly and at once; empathy line, then action and a time.</t>
  </si>
  <si>
    <t xml:space="preserve">I've checked your order, and I can refund the full amount today. Shall I go ____?</t>
  </si>
  <si>
    <t xml:space="preserve">ahead</t>
  </si>
  <si>
    <t xml:space="preserve">What does the customer most likely mean by writing "NOW" in capitals?</t>
  </si>
  <si>
    <t xml:space="preserve">A) They pressed the caps lock key by mistake while typing quickly | B) They are adding emphasis, but they are calm and happy to wait a little | C) They are asking you to check the delivery time for the late parcel | D) They are shouting because they feel ignored and want action at once</t>
  </si>
  <si>
    <t xml:space="preserve">Capitals in chat show shouting and strong feeling. A is tempting because people do mistype, but one word in capitals at the end of a demand is deliberate; B and C ignore the demand.</t>
  </si>
  <si>
    <t xml:space="preserve">refund / I / today / can / you</t>
  </si>
  <si>
    <t xml:space="preserve">I can refund you today</t>
  </si>
  <si>
    <t xml:space="preserve">Main samajh sakti hoon ki aap yeh abhi suljhana chahte hain. Main aaj hi aapka refund kar sakti hoon. Kya main aage badhoon?</t>
  </si>
  <si>
    <t xml:space="preserve">I understand you want this settled now. I can refund you today. Shall I go ahead?</t>
  </si>
  <si>
    <t xml:space="preserve">why couldn't you say that before</t>
  </si>
  <si>
    <t xml:space="preserve">I'm sorry it took this long. I wanted to check your order first, and the refund is now on its way.</t>
  </si>
  <si>
    <t xml:space="preserve">Partner A types "I want a refund NOW" after a late delivery. Partner B replies calmly with a clear yes, what happens today and when the money arrives, then handles "5 days??".</t>
  </si>
  <si>
    <t xml:space="preserve">Record yourself reading aloud your first reply to "I want a refund NOW" and your answer to "5 days?? I want it today".</t>
  </si>
  <si>
    <t xml:space="preserve">Did you avoid commenting on the capital letters? · Did you say clearly what you can do today? · Did you give a time for the money?</t>
  </si>
  <si>
    <t xml:space="preserve">CSC-A-016</t>
  </si>
  <si>
    <t xml:space="preserve">this is a joke</t>
  </si>
  <si>
    <t xml:space="preserve">You have just told a customer that their repair will take another two weeks, and they reply with this; your system shows a loan device can be sent for long repairs.</t>
  </si>
  <si>
    <t xml:space="preserve">A customer replies to bad news with a short sarcastic line. Is it really about humour, and what do they want from you?</t>
  </si>
  <si>
    <t xml:space="preserve">THIS is a JOKE</t>
  </si>
  <si>
    <t xml:space="preserve">If read aloud: this_is_a → "thi-si-za" · a_joke → "uh-johk"</t>
  </si>
  <si>
    <t xml:space="preserve">If read aloud: flat and falling, slow and tired; it is disgust, not laughter.</t>
  </si>
  <si>
    <t xml:space="preserve">If you read it aloud, "joke" has a long "oh" sound (johk), not a short "jok"; "this" starts with a soft "th", not "dis".</t>
  </si>
  <si>
    <t xml:space="preserve">Sarcastic, fed up, disappointed</t>
  </si>
  <si>
    <t xml:space="preserve">Disappointed and insulted, feeling the company does not take them seriously.</t>
  </si>
  <si>
    <t xml:space="preserve">Nobody is laughing: "this is a joke" means "this is so bad it can't be serious".</t>
  </si>
  <si>
    <t xml:space="preserve">यह तो मज़ाक है। (मतलब: यह बिल्कुल बेकार और बेतुका है।)</t>
  </si>
  <si>
    <t xml:space="preserve">Yeh to mazaak hai. (Matlab: yeh bilkul bekaar aur betuka hai.)</t>
  </si>
  <si>
    <t xml:space="preserve">This is ridiculous and unacceptable. The customer is not joking; they mean the service is so bad it feels unreal.</t>
  </si>
  <si>
    <t xml:space="preserve">The customer feels let down and not taken seriously. They need you to agree that the wait is too long, without arguing, and then to offer something concrete: a faster option, a loan item or a firm date.</t>
  </si>
  <si>
    <t xml:space="preserve">this is a joke = this is unacceptable / ridiculous</t>
  </si>
  <si>
    <t xml:space="preserve">This + is + a + joke (sarcasm: says the opposite of serious)</t>
  </si>
  <si>
    <t xml:space="preserve">Sarcasm uses words that sound light to show strong annoyance; read it as a complaint.</t>
  </si>
  <si>
    <t xml:space="preserve">Treat it as a serious complaint. Replying with a laugh, "😊", or "It's not a joke, sir" misses the point and sounds mocking.</t>
  </si>
  <si>
    <t xml:space="preserve">✗ No sir, it is not a joke, it is our process. → ✓ I understand, two more weeks is a long time. Here's what I can do.</t>
  </si>
  <si>
    <t xml:space="preserve">"Sorry, but this is our standard repair time." — it defends the process and ignores the feeling.</t>
  </si>
  <si>
    <t xml:space="preserve">Instead of "That is the standard time", say "You're right, two more weeks is a long wait. Here's what I can do to help."</t>
  </si>
  <si>
    <t xml:space="preserve">are you kidding me</t>
  </si>
  <si>
    <t xml:space="preserve">unbelievable, are you serious?</t>
  </si>
  <si>
    <t xml:space="preserve">I find this completely unacceptable.</t>
  </si>
  <si>
    <t xml:space="preserve">You're right, two more weeks is a long wait. What I can do is send you a loan device tomorrow, so you're not left without one. Would that help?</t>
  </si>
  <si>
    <t xml:space="preserve">yes, that would help · I don't want a loan, I want mine back · why does it take so long?</t>
  </si>
  <si>
    <t xml:space="preserve">Customer: "Why does it take so long?" → Agent: "The part has to come from the manufacturer. I'll check its delivery date today and message you with it by 5 pm, and again the moment your device is fixed."</t>
  </si>
  <si>
    <t xml:space="preserve">Customers in many English-speaking countries use sarcasm in complaints, and it is easy to read it literally when English is not your first language. "This is a joke" is almost never about humour.</t>
  </si>
  <si>
    <t xml:space="preserve">Voice: you will hear a flat, tired tone; slow down and lower your voice. Email: it may appear as "Is this some kind of joke?" — answer the complaint, not the question.</t>
  </si>
  <si>
    <t xml:space="preserve">Do not read it as a complaint if the customer adds "lol" after a real joke in a friendly chat; check the context.</t>
  </si>
  <si>
    <t xml:space="preserve">Customer: this is a joke | Agent: You're right, two more weeks is a long wait. What I can do is send you a loan device tomorrow, so you're not left without one. Would that help? | Customer: yes ok | Agent: Done. It will arrive by 1 pm tomorrow, and I'll send the tracking link here.</t>
  </si>
  <si>
    <t xml:space="preserve">Empathy line, then action; lead with what you can do, never defend the process alone.</t>
  </si>
  <si>
    <t xml:space="preserve">You're right, two more weeks is a long ____ (starts with w). What I can do is send you a loan device tomorrow.</t>
  </si>
  <si>
    <t xml:space="preserve">After hearing about a two-week delay, a customer writes "this is a joke". What do they mean?</t>
  </si>
  <si>
    <t xml:space="preserve">A) They found your message funny and are laughing about it with you | B) They are making a friendly joke and expect you to joke back now | C) They are pleased but surprised that the repair takes two weeks | D) They think the delay is unacceptable and feel let down by it</t>
  </si>
  <si>
    <t xml:space="preserve">It is sarcasm for "this is unacceptable". A and B take the words literally, and C ignores the bad news; the context of a two-week delay shows strong annoyance.</t>
  </si>
  <si>
    <t xml:space="preserve">do / what / I / Here's / can</t>
  </si>
  <si>
    <t xml:space="preserve">Here's what I can do</t>
  </si>
  <si>
    <t xml:space="preserve">Aap sahi hain, do hafte bahut lamba intezaar hai. Main yeh kar sakti hoon: kal aapko ek loan device bhej deti hoon.</t>
  </si>
  <si>
    <t xml:space="preserve">You're right, two weeks is a long wait. Here's what I can do: I'll send you a loan device tomorrow.</t>
  </si>
  <si>
    <t xml:space="preserve">I don't want a loan, I want mine back</t>
  </si>
  <si>
    <t xml:space="preserve">I understand, and your own device is still our priority. The loan is only so you're not left without one, and I'll message you the day yours is ready.</t>
  </si>
  <si>
    <t xml:space="preserve">Partner B tells Partner A their repair needs two more weeks. Partner A replies "this is a joke". Partner B agrees the wait is long and offers a loan device.</t>
  </si>
  <si>
    <t xml:space="preserve">Record yourself reading aloud your reply to "this is a joke" and your answer to "why does it take so long?".</t>
  </si>
  <si>
    <t xml:space="preserve">Did you treat it as a complaint, not humour? · Did you agree without arguing? · Did you offer something concrete?</t>
  </si>
  <si>
    <t xml:space="preserve">CSC-A-017</t>
  </si>
  <si>
    <t xml:space="preserve">your bot was useless</t>
  </si>
  <si>
    <t xml:space="preserve">A customer is passed to you after ten minutes with the automated chatbot, which kept sending the same help article.</t>
  </si>
  <si>
    <t xml:space="preserve">A customer reaches a human after a chatbot failed them. What are they really feeling, and what should you avoid making them do?</t>
  </si>
  <si>
    <t xml:space="preserve">your BOT was USE-less</t>
  </si>
  <si>
    <t xml:space="preserve">If read aloud: bot_was → "bot-wuz" · was_useless → "wuz-YOOS-lus"</t>
  </si>
  <si>
    <t xml:space="preserve">If read aloud: flat, annoyed, falling on "useless".</t>
  </si>
  <si>
    <t xml:space="preserve">If you read it aloud, "was" starts with a rounded-lip w (not v) and ends in a "z" sound; "useless" is YOOS-lus, stress on the first part.</t>
  </si>
  <si>
    <t xml:space="preserve">Annoyed, impatient, let down</t>
  </si>
  <si>
    <t xml:space="preserve">Fed up after wasted time and afraid they must start all over again.</t>
  </si>
  <si>
    <t xml:space="preserve">The customer has already climbed one wrong staircase: don't send them back to the bottom.</t>
  </si>
  <si>
    <t xml:space="preserve">आपका बॉट बिल्कुल बेकार था।</t>
  </si>
  <si>
    <t xml:space="preserve">Aapka bot bilkul bekaar tha.</t>
  </si>
  <si>
    <t xml:space="preserve">The automatic chat did not help me at all. I wasted time, and I want a real person to fix it.</t>
  </si>
  <si>
    <t xml:space="preserve">The customer is tired of repeating themselves and fears starting again. They need a real person who has read what they already typed, agrees without excuses, and moves straight to the problem.</t>
  </si>
  <si>
    <t xml:space="preserve">your bot was useless = the automated help didn't solve my problem</t>
  </si>
  <si>
    <t xml:space="preserve">Your + noun + was + adjective (past: the bad experience is over)</t>
  </si>
  <si>
    <t xml:space="preserve">"Was" shows the bot conversation is finished; now they expect something different.</t>
  </si>
  <si>
    <t xml:space="preserve">Agree briefly and act. Defending the bot ("It is very helpful for most customers") or asking them to explain everything again feels like a second failure.</t>
  </si>
  <si>
    <t xml:space="preserve">✗ Our bot helps many customers, please try it again, sir. → ✓ I'm sorry it didn't help. I can see what you wrote, so let's fix it now.</t>
  </si>
  <si>
    <t xml:space="preserve">"Please explain your issue again." — it ignores what the customer already typed and repeats the bot's failure.</t>
  </si>
  <si>
    <t xml:space="preserve">Instead of "Please tell me your issue from the start", say "I can see what you told the bot, so you won't need to repeat it."</t>
  </si>
  <si>
    <t xml:space="preserve">the chatbot was no help at all</t>
  </si>
  <si>
    <t xml:space="preserve">finally a human. that bot kept sending me one link</t>
  </si>
  <si>
    <t xml:space="preserve">The automated assistant was unable to help me with my issue.</t>
  </si>
  <si>
    <t xml:space="preserve">I'm sorry it didn't help. I can see you're trying to change your delivery date, so let's do that now. Which day suits you?</t>
  </si>
  <si>
    <t xml:space="preserve">thank god a real person · I've explained it 3 times already · ok, Thursday</t>
  </si>
  <si>
    <t xml:space="preserve">Customer: "I've explained it 3 times already." → Agent: "I know, and I'm sorry. I've read the whole conversation, so you won't need to explain again. I'm changing the date now."</t>
  </si>
  <si>
    <t xml:space="preserve">Replies such as "Please tell your issue" can be heard in Indian-English support chats; after a bot failure, international customers may find them abrupt, so show that you have already read their messages.</t>
  </si>
  <si>
    <t xml:space="preserve">Voice: "Your automated system was useless" after an IVR menu; same response, keep it short. Email: reply to the issue, not the tool.</t>
  </si>
  <si>
    <t xml:space="preserve">Do not apologise for the bot at length if the customer only mentioned it in passing; one short line, then fix the issue.</t>
  </si>
  <si>
    <t xml:space="preserve">Customer: your bot was useless | Agent: I'm sorry it didn't help. I can see you're trying to change your delivery date, so let's do that now. Which day suits you? | Customer: thursday | Agent: Done. Your parcel will now arrive on Thursday.</t>
  </si>
  <si>
    <t xml:space="preserve">Reduce customer effort: read the history so the customer never has to repeat themselves (CEB/Gartner effort research).</t>
  </si>
  <si>
    <t xml:space="preserve">I'm sorry it didn't help. I can see you're trying ____ change your delivery date.</t>
  </si>
  <si>
    <t xml:space="preserve">A customer writes "your bot was useless". What is the best first reply?</t>
  </si>
  <si>
    <t xml:space="preserve">A) Our bot has helped many customers, so it should work for you if you try it again. | B) Please explain your issue from the beginning so that I can understand everything properly. | C) Please use the chat bot again; it will guide you step by step through the same process. | D) I'm sorry it didn't help. I can see you want to change your delivery date, so let's do that now.</t>
  </si>
  <si>
    <t xml:space="preserve">D apologises briefly and uses what the customer already typed. B seems thorough, but it makes them repeat everything; A defends the tool and C sends them back.</t>
  </si>
  <si>
    <t xml:space="preserve">date / change / I / your / trying / see / to / can / you're / delivery</t>
  </si>
  <si>
    <t xml:space="preserve">I can see you're trying to change your delivery date</t>
  </si>
  <si>
    <t xml:space="preserve">Mujhe afsos hai ki bot se madad nahin mili. Main dekh sakti hoon aapko address badalna hai, chaliye abhi badal dete hain.</t>
  </si>
  <si>
    <t xml:space="preserve">I'm sorry the bot didn't help. I can see you want to change your address, so let's do that now.</t>
  </si>
  <si>
    <t xml:space="preserve">thank god a real person</t>
  </si>
  <si>
    <t xml:space="preserve">I'm here now, and I'm sorry it kept sending you one link over and over. I've read your messages, so we can carry on from where you stopped.</t>
  </si>
  <si>
    <t xml:space="preserve">Partner A reaches a human after a chatbot kept sending the same link. Partner B reads the history, apologises in one line and solves the request without asking A to repeat it.</t>
  </si>
  <si>
    <t xml:space="preserve">Record yourself reading aloud your first reply to "your bot was useless" and your answer to "I've explained it 3 times already".</t>
  </si>
  <si>
    <t xml:space="preserve">Did you avoid defending the bot? · Did you use what the customer already wrote? · Did you move to the fix in your first reply?</t>
  </si>
  <si>
    <t xml:space="preserve">CSC-A-018</t>
  </si>
  <si>
    <t xml:space="preserve">I'm reporting this</t>
  </si>
  <si>
    <t xml:space="preserve">After a dispute about a deposit that was not returned, the customer writes this and stops replying for a moment.</t>
  </si>
  <si>
    <t xml:space="preserve">A customer threatens to report the company. What is behind the threat, and how do you respond without getting defensive?</t>
  </si>
  <si>
    <t xml:space="preserve">i'm re-PORT-ing THIS</t>
  </si>
  <si>
    <t xml:space="preserve">If read aloud: I'm_reporting → "aim-ri-POR-ting" · reporting_this → "ri-POR-ting-this"</t>
  </si>
  <si>
    <t xml:space="preserve">If read aloud: cold and final, falling on "this".</t>
  </si>
  <si>
    <t xml:space="preserve">If you read it aloud, "reporting" is ri-POR-ting with stress on the middle, and "this" needs a soft voiced "th", not "dis".</t>
  </si>
  <si>
    <t xml:space="preserve">Cold, threatening, final</t>
  </si>
  <si>
    <t xml:space="preserve">Feeling powerless and unfairly treated, looking for someone with more power to step in.</t>
  </si>
  <si>
    <t xml:space="preserve">A threat is a flare sent up for help: answer the flare, not the smoke.</t>
  </si>
  <si>
    <t xml:space="preserve">मैं इसकी शिकायत करने जा रहा/रही हूँ।</t>
  </si>
  <si>
    <t xml:space="preserve">Main iski shikaayat karne ja raha/rahi hoon.</t>
  </si>
  <si>
    <t xml:space="preserve">I am going to complain about this to someone more powerful, such as a regulator, a consumer forum or social media.</t>
  </si>
  <si>
    <t xml:space="preserve">The customer feels nobody is listening and wants power back. They need to hear that they have the right to complain, that you are escalating it yourself, and one more chance to fix the real problem.</t>
  </si>
  <si>
    <t xml:space="preserve">I'm reporting this = I'm going to complain to a higher authority</t>
  </si>
  <si>
    <t xml:space="preserve">I'm + verb-ing (present continuous for a decided future plan)</t>
  </si>
  <si>
    <t xml:space="preserve">The present continuous here means the customer has already decided to do it.</t>
  </si>
  <si>
    <t xml:space="preserve">Stay respectful and do not argue or threaten back. "Do whatever you want" or "That won't change anything" makes the customer certain to report it.</t>
  </si>
  <si>
    <t xml:space="preserve">✗ Sir, you can report, it will not change anything. → ✓ You have every right to raise it. I'd also like to escalate it myself now.</t>
  </si>
  <si>
    <t xml:space="preserve">"That is your choice." — it sounds cold and dismissive, and it gives the customer no reason to stay.</t>
  </si>
  <si>
    <t xml:space="preserve">Instead of "You can complain if you want", say "You have every right to raise this. I'd like to escalate it to my manager myself right now."</t>
  </si>
  <si>
    <t xml:space="preserve">I'm going to report you</t>
  </si>
  <si>
    <t xml:space="preserve">I'll be taking this to the consumer forum</t>
  </si>
  <si>
    <t xml:space="preserve">I intend to make a formal complaint about this.</t>
  </si>
  <si>
    <t xml:space="preserve">You have every right to raise this. I'd also like to escalate your deposit case to my manager now, and I'll send you our formal complaint link. Would that help?</t>
  </si>
  <si>
    <t xml:space="preserve">yes, escalate it · I've already filed it · it won't help</t>
  </si>
  <si>
    <t xml:space="preserve">Customer: "It won't help." → Agent: "I understand why you feel that way. I've escalated it with a note asking for a reply by tomorrow at noon, and I'll message you here when I hear back."</t>
  </si>
  <si>
    <t xml:space="preserve">Replies such as "Please don't report this, sir" can sound like a plea or a pressure tactic to international customers; accept their right to complain and focus on fixing the cause.</t>
  </si>
  <si>
    <t xml:space="preserve">Voice: the caller may say "I'll be reporting you"; slow down and do not raise your voice. Email: reply with the formal complaints route and your escalation in writing.</t>
  </si>
  <si>
    <t xml:space="preserve">Do not treat it as a threat to you personally and stop helping; and do not make promises outside your authority just to stop the report.</t>
  </si>
  <si>
    <t xml:space="preserve">Customer: I'm reporting this | Agent: You have every right to raise this. I'd also like to escalate your deposit case to my manager now, and I'll send you our formal complaint link. Would that help? | Customer: fine, escalate it | Agent: Done. Your case number is CM-4410. I've asked for a reply by noon tomorrow, and I'll message you here either way.</t>
  </si>
  <si>
    <t xml:space="preserve">Escalate when needed; stay respectful, take ownership and give a clear next step and time.</t>
  </si>
  <si>
    <t xml:space="preserve">You ____ every right to raise this. I'd also like to escalate it to my manager now.</t>
  </si>
  <si>
    <t xml:space="preserve">A customer writes "I'm reporting this". Which reply is best?</t>
  </si>
  <si>
    <t xml:space="preserve">A) You have every right to raise this. I'd like to escalate it to my manager now, if that helps. | B) That is your choice, and you are free to report it. Our decision on the deposit will stay the same. | C) Please don't report this, sir. I will try my best to help you and I will do everything I can. | D) Reporting this will not change our decision, so I would advise you to accept the position today.</t>
  </si>
  <si>
    <t xml:space="preserve">A respects the customer's right and offers real action. C sounds polite but begs and gives nothing; B is cold and D sounds like a challenge.</t>
  </si>
  <si>
    <t xml:space="preserve">right / raise / every / You / have / this / to</t>
  </si>
  <si>
    <t xml:space="preserve">You have every right to raise this</t>
  </si>
  <si>
    <t xml:space="preserve">Aapko iski shikaayat karne ka poora haq hai. Main khud bhi ise abhi apne manager ko escalate karna chahti hoon.</t>
  </si>
  <si>
    <t xml:space="preserve">You have every right to raise this. I'd also like to escalate it to my manager myself now.</t>
  </si>
  <si>
    <t xml:space="preserve">I've already filed it</t>
  </si>
  <si>
    <t xml:space="preserve">That's completely your right. I'll still escalate your deposit case today, so my manager can look at it alongside your report.</t>
  </si>
  <si>
    <t xml:space="preserve">Partner A has not got a deposit back and writes "I'm reporting this". Partner B accepts their right to complain, escalates, gives a case number and a time.</t>
  </si>
  <si>
    <t xml:space="preserve">Record yourself reading aloud your reply to "I'm reporting this" and your answer to "it won't help".</t>
  </si>
  <si>
    <t xml:space="preserve">Did you accept the customer's right to complain? · Did you offer to escalate yourself? · Did you give a case number or a time?</t>
  </si>
  <si>
    <t xml:space="preserve">CSC-A-019</t>
  </si>
  <si>
    <t xml:space="preserve">ok fine whatever</t>
  </si>
  <si>
    <t xml:space="preserve">You have offered a partial credit instead of the full refund the customer wanted, and they reply with this.</t>
  </si>
  <si>
    <t xml:space="preserve">At the end of a chat, a customer answers your offer with three flat words. Are they happy, and how should you close?</t>
  </si>
  <si>
    <t xml:space="preserve">oh-KAY · FINE · what-EV-er</t>
  </si>
  <si>
    <t xml:space="preserve">If read aloud: ok_fine → "oh-kay-fain" · fine_whatever → "fain-wot-EV-er"</t>
  </si>
  <si>
    <t xml:space="preserve">If read aloud: flat, low and falling on every word; tired, not agreeing.</t>
  </si>
  <si>
    <t xml:space="preserve">If you read it aloud, "whatever" starts with a rounded-lip w (wot-EV-er), not "vot-ever"; the stress is on "EV".</t>
  </si>
  <si>
    <t xml:space="preserve">Resigned, unhappy, giving up</t>
  </si>
  <si>
    <t xml:space="preserve">Disappointed and tired, accepting the offer without being satisfied.</t>
  </si>
  <si>
    <t xml:space="preserve">"Fine whatever" is a door left half open: don't slam it with "Great!"; leave a light on.</t>
  </si>
  <si>
    <t xml:space="preserve">ठीक है, जो भी हो।</t>
  </si>
  <si>
    <t xml:space="preserve">Theek hai, jo bhi ho.</t>
  </si>
  <si>
    <t xml:space="preserve">I'll accept it, but I'm not happy. I've given up arguing.</t>
  </si>
  <si>
    <t xml:space="preserve">The customer is not satisfied, only tired. They need you to notice that, without arguing again, to confirm clearly what happens next, and to leave a way back if they change their mind.</t>
  </si>
  <si>
    <t xml:space="preserve">fine whatever = I accept, but I'm not happy</t>
  </si>
  <si>
    <t xml:space="preserve">ok + fine + whatever (flat words; no full sentence shows low energy)</t>
  </si>
  <si>
    <t xml:space="preserve">Very short replies with no capital or full stop often show low mood, not agreement.</t>
  </si>
  <si>
    <t xml:space="preserve">Reply with a short, sincere close and one clear fact. A bright "Great, glad I could help! 😊" sounds like you missed the customer's mood.</t>
  </si>
  <si>
    <t xml:space="preserve">✗ Great! Glad I could help! 😊 → ✓ I know it isn't what you hoped for. The £20 credit is on your account now.</t>
  </si>
  <si>
    <t xml:space="preserve">"Glad I could help! Please rate our chat." — it treats an unhappy customer as satisfied and asks for a score at the worst moment.</t>
  </si>
  <si>
    <t xml:space="preserve">Instead of "Great, so the issue is resolved", say "I know it isn't what you hoped for. The credit is on your account now, and you can message us any time."</t>
  </si>
  <si>
    <t xml:space="preserve">fine, if you say so</t>
  </si>
  <si>
    <t xml:space="preserve">forget it, whatever</t>
  </si>
  <si>
    <t xml:space="preserve">Very well, I'll accept that.</t>
  </si>
  <si>
    <t xml:space="preserve">I know it isn't what you hoped for. The £20 credit is on your account now, and if anything else comes up, just message us here.</t>
  </si>
  <si>
    <t xml:space="preserve">ok · yeah thanks · it's still not fair</t>
  </si>
  <si>
    <t xml:space="preserve">Customer: "it's still not fair" → Agent: "I understand, and I'm sorry I couldn't do more. If you'd like a manager to review it, I can pass it on today."</t>
  </si>
  <si>
    <t xml:space="preserve">In English, "fine" can mean "I accept, but I am not happy"; if English is your second language, it is easy to read it as a real yes. Look at the flat, short words around it.</t>
  </si>
  <si>
    <t xml:space="preserve">Voice: you will hear a long sigh or a flat "fine"; lower your energy to match and close gently. Email: rarely appears; customers may simply stop replying.</t>
  </si>
  <si>
    <t xml:space="preserve">Do not read it as unhappy if it comes after a friendly chat where the customer is just choosing between two equal options.</t>
  </si>
  <si>
    <t xml:space="preserve">Customer: ok fine whatever | Agent: I know it isn't what you hoped for. The £20 credit is on your account now, and if anything else comes up, just message us here. | Customer: ok | Agent: Thank you for your time today, Ben. Take care.</t>
  </si>
  <si>
    <t xml:space="preserve">Ask whether the issue is resolved rather than assuming it; on an unresolved close, give options and next steps (SQM Group).</t>
  </si>
  <si>
    <t xml:space="preserve">The £20 credit is on your account now, and if anything else comes ____, just message us here.</t>
  </si>
  <si>
    <t xml:space="preserve">After you offer a partial credit, the customer writes "ok fine whatever". What does this most likely mean?</t>
  </si>
  <si>
    <t xml:space="preserve">A) They are pleased with the offer and are ready to close the chat happily | B) They did not read the offer and want you to repeat it for them again | C) They are asking you a question about how to use the credit offered today | D) They accept the offer, but they are unhappy and tired of arguing today</t>
  </si>
  <si>
    <t xml:space="preserve">"Fine whatever" means reluctant acceptance. A is tempting because "fine" can mean "good", but here the flat tone shows disappointment.</t>
  </si>
  <si>
    <t xml:space="preserve">hoped / it / for / isn't / what / you / I / know</t>
  </si>
  <si>
    <t xml:space="preserve">I know it isn't what you hoped for</t>
  </si>
  <si>
    <t xml:space="preserve">Mujhe pata hai ki yeh aapki ummeed ke mutaabik nahin hai. £20 ka credit ab aapke account mein aa gaya hai.</t>
  </si>
  <si>
    <t xml:space="preserve">I know it isn't what you hoped for. The £20 credit is on your account now.</t>
  </si>
  <si>
    <t xml:space="preserve">yeah thanks anyway</t>
  </si>
  <si>
    <t xml:space="preserve">You're welcome, Ben. If you change your mind or anything else comes up, just message us here.</t>
  </si>
  <si>
    <t xml:space="preserve">Partner B offers Partner A a £20 credit instead of a full refund. Partner A replies "ok fine whatever". Partner B closes sincerely, confirms the credit and leaves a way back.</t>
  </si>
  <si>
    <t xml:space="preserve">Record yourself reading aloud your reply to "ok fine whatever" and your answer if the customer adds "it's still not fair".</t>
  </si>
  <si>
    <t xml:space="preserve">Did you notice the customer is not happy? · Did you avoid a cheerful close or emoji? · Did you leave a way back?</t>
  </si>
  <si>
    <t xml:space="preserve">CSC-A-020</t>
  </si>
  <si>
    <t xml:space="preserve">why should I trust you?</t>
  </si>
  <si>
    <t xml:space="preserve">The customer was promised an engineer visit twice last week and nobody came, and now you are promising a fix.</t>
  </si>
  <si>
    <t xml:space="preserve">A customer who was let down before asks why they should believe you. What earns trust in your reply: words or proof?</t>
  </si>
  <si>
    <t xml:space="preserve">WHY should i TRUST YOU</t>
  </si>
  <si>
    <t xml:space="preserve">If read aloud: should_I → "shu-dai" · trust_you → "trus-choo"</t>
  </si>
  <si>
    <t xml:space="preserve">If read aloud: a falling wh- question, slow and bitter; it is a challenge, not a real request for information.</t>
  </si>
  <si>
    <t xml:space="preserve">If you read it aloud, "trust" ends in a "-st" cluster; keep the final "t" (trust, not "trus"). "Why" starts with rounded lips, not a v sound.</t>
  </si>
  <si>
    <t xml:space="preserve">Doubtful, bitter, challenging</t>
  </si>
  <si>
    <t xml:space="preserve">Let down and suspicious after broken promises, afraid of being fooled again.</t>
  </si>
  <si>
    <t xml:space="preserve">Trust is a receipt, not a speech: show the customer something they can check.</t>
  </si>
  <si>
    <t xml:space="preserve">मैं आप पर भरोसा क्यों करूँ?</t>
  </si>
  <si>
    <t xml:space="preserve">Main aap par bharosa kyon karoon?</t>
  </si>
  <si>
    <t xml:space="preserve">You (the company) broke your promises before. Why should I believe this new promise?</t>
  </si>
  <si>
    <t xml:space="preserve">The customer has been let down and does not believe words any more. They need you to admit the broken promise, then give proof they can check: an action already done, a reference number, a time — and then keep it.</t>
  </si>
  <si>
    <t xml:space="preserve">why should I trust you? = you've let me down before; prove it this time</t>
  </si>
  <si>
    <t xml:space="preserve">Why + should + I + base verb + you? (a challenge, not a real question)</t>
  </si>
  <si>
    <t xml:space="preserve">"Should" here asks for a reason; the customer expects you to show, not tell.</t>
  </si>
  <si>
    <t xml:space="preserve">Admit the past failure and show proof. "Trust me, sir" or "I assure you 100%" sounds empty to someone who was let down twice.</t>
  </si>
  <si>
    <t xml:space="preserve">✗ Trust me, this time it will be done 100%. → ✓ You've every reason to doubt us. I've already booked the engineer for Tuesday at 10 am, and your reference is EN-2287.</t>
  </si>
  <si>
    <t xml:space="preserve">"I assure you, this time it will definitely happen." — it asks for trust without giving any proof.</t>
  </si>
  <si>
    <t xml:space="preserve">Instead of "Please trust me", say "You've every reason to doubt us. Here's what I've already done, and here's the reference so you can check."</t>
  </si>
  <si>
    <t xml:space="preserve">how do I know you won't forget me too?</t>
  </si>
  <si>
    <t xml:space="preserve">you said that last time</t>
  </si>
  <si>
    <t xml:space="preserve">Given what has happened, I'm not sure I can rely on what you're telling me.</t>
  </si>
  <si>
    <t xml:space="preserve">You've every reason to doubt us after two missed visits. I've already booked the engineer for Tuesday at 10 am, reference EN-2287, and the confirmation is in your inbox now.</t>
  </si>
  <si>
    <t xml:space="preserve">ok, I see the email · we'll see · and if nobody comes again?</t>
  </si>
  <si>
    <t xml:space="preserve">Customer: "And if nobody comes again?" → Agent: "Then message me here with that reference. I've added my name to the booking, and I'll check at 10:15 on Tuesday that the engineer has arrived."</t>
  </si>
  <si>
    <t xml:space="preserve">"Trust me" and "I assure you" are common reassurances in Indian service English; international customers who were let down usually trust a checkable reference more than a promise.</t>
  </si>
  <si>
    <t xml:space="preserve">Voice: say it slowly, admit the missed visits first, then read the reference clearly. Email: attach or forward the confirmation in the same message.</t>
  </si>
  <si>
    <t xml:space="preserve">Do not promise a time or action you cannot control (for example a Tuesday check if you will be off shift); give only proof you can actually show.</t>
  </si>
  <si>
    <t xml:space="preserve">Customer: why should I trust you? | Agent: You've every reason to doubt us after two missed visits. I've already booked the engineer for Tuesday at 10 am, reference EN-2287, and the confirmation is in your inbox now. | Customer: ok, I see the email | Agent: Thank you. I'll check on Tuesday at 10:15 that the engineer has arrived.</t>
  </si>
  <si>
    <t xml:space="preserve">Ownership: replace vague promises with a clear time, a reference number and the next step.</t>
  </si>
  <si>
    <t xml:space="preserve">You've every reason to doubt ____ (the company, not just you) after two missed visits.</t>
  </si>
  <si>
    <t xml:space="preserve">us</t>
  </si>
  <si>
    <t xml:space="preserve">A customer who was let down twice writes "why should I trust you?". Which reply earns trust best?</t>
  </si>
  <si>
    <t xml:space="preserve">A) You've every reason to doubt us. I've already booked the engineer for Tuesday at 10 am, reference EN-2287. | B) Trust me, sir, this time it will be done properly. I personally guarantee that nobody will let you down. | C) I assure you that we are a reliable company, and our customers have trusted us for many years now. | D) I am not the agent who booked you before, so I cannot say why the visits were missed last week.</t>
  </si>
  <si>
    <t xml:space="preserve">A admits the failure and gives checkable proof. C sounds professional but is only a claim; B asks for blind trust and D shifts the blame.</t>
  </si>
  <si>
    <t xml:space="preserve">doubt / reason / You've / every / us / to</t>
  </si>
  <si>
    <t xml:space="preserve">You've every reason to doubt us</t>
  </si>
  <si>
    <t xml:space="preserve">Aapke paas hum par shak karne ki poori wajah hai. Maine engineer pehle hi book kar diya hai, aur aapka reference number EN-2287 hai.</t>
  </si>
  <si>
    <t xml:space="preserve">You've every reason to doubt us. I've already booked the engineer, and your reference number is EN-2287.</t>
  </si>
  <si>
    <t xml:space="preserve">and if nobody comes again?</t>
  </si>
  <si>
    <t xml:space="preserve">Then message me here with the reference. I'll check on Tuesday at 10:15 that the engineer has arrived.</t>
  </si>
  <si>
    <t xml:space="preserve">Partner A was promised two engineer visits that never happened and writes "why should I trust you?". Partner B admits the failure and gives proof: a booking, a reference and a check-in time.</t>
  </si>
  <si>
    <t xml:space="preserve">Record yourself reading aloud your reply to "why should I trust you?" and your answer to "and if nobody comes again?".</t>
  </si>
  <si>
    <t xml:space="preserve">Did you admit the past failure? · Did you give proof the customer can check? · Did you avoid "trust me" and "I assure you"?</t>
  </si>
  <si>
    <t xml:space="preserve">CSE-B-001</t>
  </si>
  <si>
    <t xml:space="preserve">Email</t>
  </si>
  <si>
    <t xml:space="preserve">Update on your refund request – Ticket #55102</t>
  </si>
  <si>
    <t xml:space="preserve">You are sending the first update on a customer's refund, and your helpdesk lets you write the subject line of the email.</t>
  </si>
  <si>
    <t xml:space="preserve">Your email is about a refund and has a ticket number. What short subject tells the customer exactly what is inside?</t>
  </si>
  <si>
    <t xml:space="preserve">UP-date · on-your-REE-fund-re-QUEST · TICK-et-NUM-ber · five-five-one-oh-TWO</t>
  </si>
  <si>
    <t xml:space="preserve">If read aloud: update_on → "up-day-ton" · refund_request → "ree-fun-dri-kwest"</t>
  </si>
  <si>
    <t xml:space="preserve">If read aloud: a subject line is a label, so read it flat and falling, with a small pause before the ticket number.</t>
  </si>
  <si>
    <t xml:space="preserve">If read aloud, "update" is UP-date with stress on the first part, and the final "t" in "request" and "ticket" should be clear, not dropped.</t>
  </si>
  <si>
    <t xml:space="preserve">Clear, specific, businesslike</t>
  </si>
  <si>
    <t xml:space="preserve">Waiting for money back and checking the inbox for news.</t>
  </si>
  <si>
    <t xml:space="preserve">A subject line is the label on a box: the customer should know what is inside without opening the lid.</t>
  </si>
  <si>
    <t xml:space="preserve">आपकी रिफ़ंड रिक्वेस्ट पर अपडेट – टिकट #55102</t>
  </si>
  <si>
    <t xml:space="preserve">Aapki refund request par update – ticket #55102</t>
  </si>
  <si>
    <t xml:space="preserve">This email tells you the latest news about the money you asked to get back.</t>
  </si>
  <si>
    <t xml:space="preserve">The customer sees the topic and the ticket number before opening the email, so they can find it again and know it is not spam or a new problem.</t>
  </si>
  <si>
    <t xml:space="preserve">Update on your ___ – Ticket #___</t>
  </si>
  <si>
    <t xml:space="preserve">Noun (Update) + on + your + noun phrase + – + Ticket + number</t>
  </si>
  <si>
    <t xml:space="preserve">Subject lines are short labels, so they skip "This is" and usually have no full stop.</t>
  </si>
  <si>
    <t xml:space="preserve">A specific, calm label sounds professional. A subject like "URGENT!!!" or "Important information" sounds like spam and can worry the customer.</t>
  </si>
  <si>
    <t xml:space="preserve">✗ Regarding your query → ✓ Update on your refund request – Ticket #55102</t>
  </si>
  <si>
    <t xml:space="preserve">"Important information" — it says nothing about the content and looks like spam or a scam email.</t>
  </si>
  <si>
    <t xml:space="preserve">Instead of "Your complaint", write "Update on your refund request – Ticket #55102".</t>
  </si>
  <si>
    <t xml:space="preserve">Your refund for order 62408 – Ticket #55102</t>
  </si>
  <si>
    <t xml:space="preserve">Refund update for order 62408 (Ticket #55102)</t>
  </si>
  <si>
    <t xml:space="preserve">Update regarding your refund request – Ticket #55102</t>
  </si>
  <si>
    <t xml:space="preserve">Hi Daniel, I have an update on your refund for order 62408.</t>
  </si>
  <si>
    <t xml:space="preserve">Thanks, when will I get the money? · Is this about my old order? · Got it, thank you.</t>
  </si>
  <si>
    <t xml:space="preserve">Customer: "Why do you keep changing the subject line? I can't find your emails." → Agent: "I'm sorry the emails were hard to find. I'll keep the same subject line from now on so all our emails stay together."</t>
  </si>
  <si>
    <t xml:space="preserve">Many Indian office emails use "Regarding your query" or "Reg: complaint". International customers expect a specific topic plus the ticket number.</t>
  </si>
  <si>
    <t xml:space="preserve">Voice and chat: no subject line; say the topic in the first sentence instead. Email: if you reply in the customer's thread, keep their subject and the "Re:".</t>
  </si>
  <si>
    <t xml:space="preserve">Do not change the subject when replying inside an existing thread; keep the customer's subject so the emails stay together.</t>
  </si>
  <si>
    <t xml:space="preserve">Customer: I asked for a refund last week. | Agent: Subject: Update on your refund request – Ticket #55102. Hi Daniel, your refund is approved. | Customer: Great, when will I see it? | Agent: It should reach your card within five working days.</t>
  </si>
  <si>
    <t xml:space="preserve">Email subject: specific, short and with the ticket number; keep it when replying.</t>
  </si>
  <si>
    <t xml:space="preserve">Update on your refund request – ____ (starts with T) #55102</t>
  </si>
  <si>
    <t xml:space="preserve">Ticket</t>
  </si>
  <si>
    <t xml:space="preserve">You are writing the first update on a customer's refund. Which subject line is best?</t>
  </si>
  <si>
    <t xml:space="preserve">A) Important information on your account – Ticket #55102 | B) Update on your refund request – Ticket #55102 | C) Reg: your refund query – see details below | D) URGENT – PLEASE READ – Refund Ticket #55102</t>
  </si>
  <si>
    <t xml:space="preserve">B names the topic and the ticket number in a calm label. A has a ticket number but does not say what the email is about, C has no ticket number and uses an office abbreviation, and D is in capital letters, which looks like spam.</t>
  </si>
  <si>
    <t xml:space="preserve">refund / Update / Ticket / your / on / request / 55102</t>
  </si>
  <si>
    <t xml:space="preserve">Subject line likhiye: aapke exchange request par update, ticket 60417.</t>
  </si>
  <si>
    <t xml:space="preserve">Update on your exchange request – Ticket #60417</t>
  </si>
  <si>
    <t xml:space="preserve">Thanks for the update. When will the money reach my card?</t>
  </si>
  <si>
    <t xml:space="preserve">Your refund was sent today, and it should reach your card within five working days.</t>
  </si>
  <si>
    <t xml:space="preserve">Partner A is a customer who asked for a refund on order 62408. Partner B writes three possible subject lines for the update email, and A chooses the clearest one and says why.</t>
  </si>
  <si>
    <t xml:space="preserve">Write a subject line for an email updating a customer about a replacement order, Ticket #60233, and send it as text or a photo for audit.</t>
  </si>
  <si>
    <t xml:space="preserve">Does the subject name the topic in a few clear words? · Did you include the ticket number? · Did you avoid ALL CAPS, "Reg:" and "Important"?</t>
  </si>
  <si>
    <t xml:space="preserve">CSE-B-002</t>
  </si>
  <si>
    <t xml:space="preserve">Hi Daniel, this is Meera from the [Company] support team.</t>
  </si>
  <si>
    <t xml:space="preserve">You are starting your first reply to a customer called Daniel Brooks, who signed his email with his first name.</t>
  </si>
  <si>
    <t xml:space="preserve">How do you open an email to a customer who signed off with his first name, and introduce yourself in one line?</t>
  </si>
  <si>
    <t xml:space="preserve">HI-DAN-yel · this-is-MEE-ra · from-the-COM-pa-ny · sup-PORT-team</t>
  </si>
  <si>
    <t xml:space="preserve">If read aloud: this_is → "thi-siz" · support_team → "su-por-team"</t>
  </si>
  <si>
    <t xml:space="preserve">If read aloud: a short pause after "Daniel", then a friendly, falling tone at the end.</t>
  </si>
  <si>
    <t xml:space="preserve">If read aloud, "this" starts with a soft "th" (tongue lightly between the teeth), not "dis"; "support" has the stress on PORT.</t>
  </si>
  <si>
    <t xml:space="preserve">Warm, personal, professional</t>
  </si>
  <si>
    <t xml:space="preserve">Hoping a real person has read the email.</t>
  </si>
  <si>
    <t xml:space="preserve">Use the name the customer gave you, like a shopkeeper who remembers a regular and says hello by name.</t>
  </si>
  <si>
    <t xml:space="preserve">नमस्ते डैनियल, मैं [Company] की सपोर्ट टीम से मीरा हूँ।</t>
  </si>
  <si>
    <t xml:space="preserve">Namaste Daniel, main [Company] ki support team se Meera hoon.</t>
  </si>
  <si>
    <t xml:space="preserve">Hello Daniel, my name is Meera and I work in the support team.</t>
  </si>
  <si>
    <t xml:space="preserve">Using the customer's name shows a person read the email, and giving your own name tells the customer who to reply to.</t>
  </si>
  <si>
    <t xml:space="preserve">Hi ___, this is ___ from ___.</t>
  </si>
  <si>
    <t xml:space="preserve">Hi + first name + , + this is + your name + from + team</t>
  </si>
  <si>
    <t xml:space="preserve">In emails we write "this is Meera", not "I am Meera speaking".</t>
  </si>
  <si>
    <t xml:space="preserve">"Hi" plus a first name is friendly and normal in modern support. "Dear Customer" sounds like a machine, and "Respected Sir" sounds old-fashioned to many readers.</t>
  </si>
  <si>
    <t xml:space="preserve">✗ Dear Customer, I am Meera speaking from support. → ✓ Hi Daniel, this is Meera from the [Company] support team.</t>
  </si>
  <si>
    <t xml:space="preserve">"Dear Customer," — it shows nobody looked at the customer's name and feels like a mass mailing.</t>
  </si>
  <si>
    <t xml:space="preserve">Instead of "Dear Customer", write "Hi Daniel, this is Meera from the [Company] support team."</t>
  </si>
  <si>
    <t xml:space="preserve">Hello Daniel, I'm Meera from the [Company] support team.</t>
  </si>
  <si>
    <t xml:space="preserve">Hi Daniel, Meera here from [Company] support.</t>
  </si>
  <si>
    <t xml:space="preserve">Dear Mr Brooks, my name is Meera and I work in the [Company] customer support team.</t>
  </si>
  <si>
    <t xml:space="preserve">Thank you for writing to us about your order.</t>
  </si>
  <si>
    <t xml:space="preserve">Hi Meera, thanks for getting back to me. · Hello, are you a real person? · Hi, I've been waiting for a reply.</t>
  </si>
  <si>
    <t xml:space="preserve">Customer: "Is this an automatic reply?" → Agent: "No, I'm Meera and I've read your email myself. I'm looking into your order now."</t>
  </si>
  <si>
    <t xml:space="preserve">Many Indian emails start with "Respected Sir" or "Dear Sir/Madam". International customers usually expect their name; use "Hi" plus first name if they signed that way, or "Dear Mr/Ms" plus surname if they wrote formally.</t>
  </si>
  <si>
    <t xml:space="preserve">Voice: "Thank you for calling [Company], this is Meera." Chat: "Hi Daniel, I'm Meera." Email: greeting and your name in the first line, then a blank line before the message.</t>
  </si>
  <si>
    <t xml:space="preserve">Do not use "Hi" plus first name when the customer wrote formally and signed with a title and surname; use "Dear Mr Brooks" instead.</t>
  </si>
  <si>
    <t xml:space="preserve">Customer: Hello, my blender stopped working. Thanks, Daniel | Agent: Hi Daniel, this is Meera from the [Company] support team. I'm sorry your blender stopped working. | Customer: Hi Meera, can you replace it? | Agent: I'll check your warranty now and email you the next step by 3 pm tomorrow.</t>
  </si>
  <si>
    <t xml:space="preserve">Greet by name, not "Dear customer"; use a conversational voice.</t>
  </si>
  <si>
    <t xml:space="preserve">Hi Daniel, ____ is Meera from the [Company] support team.</t>
  </si>
  <si>
    <t xml:space="preserve">this</t>
  </si>
  <si>
    <t xml:space="preserve">The customer signed his email "Daniel". Which opening is best?</t>
  </si>
  <si>
    <t xml:space="preserve">A) Dear Customer, I am Meera speaking from the support desk. | B) Respected Sir, this is Meera from the [Company] support team. | C) Hi Daniel, this is Meera from the [Company] support team. | D) Hello Mr Daniel, this is Meera from the [Company] support team.</t>
  </si>
  <si>
    <t xml:space="preserve">C uses his name as he signed it and introduces you. D is tempting, but "Mr" goes with a surname (Mr Brooks), not a first name. A ignores his name and sounds like a mass mailing, and B uses "Respected Sir", which is polite in India but international customers may not expect it.</t>
  </si>
  <si>
    <t xml:space="preserve">is / from / Hi / support / Meera / the / this / Company / team / Daniel</t>
  </si>
  <si>
    <t xml:space="preserve">Customer Priya ko greet kijiye aur bataiye ki aap Rahul hain, [Company] support se.</t>
  </si>
  <si>
    <t xml:space="preserve">Hi Priya, this is Rahul from the [Company] support team.</t>
  </si>
  <si>
    <t xml:space="preserve">Hi Meera, thanks. Did you find my order?</t>
  </si>
  <si>
    <t xml:space="preserve">Yes, I found it. Your order 51736 is with the courier and is due to arrive tomorrow.</t>
  </si>
  <si>
    <t xml:space="preserve">Partner A writes a short email about a broken kettle and signs it "Sarah Jones". Partner B writes two openings, one friendly and one formal, and A says which fits her email better.</t>
  </si>
  <si>
    <t xml:space="preserve">Write the greeting and first line of a reply to a customer who signed her email "Anita Kapoor", and send it as text or a photo for audit.</t>
  </si>
  <si>
    <t xml:space="preserve">Did you use the customer's name as they wrote it? · Did you give your own name? · Did you avoid "Dear Customer", and "Respected Sir", which international customers may not expect?</t>
  </si>
  <si>
    <t xml:space="preserve">CSE-B-003</t>
  </si>
  <si>
    <t xml:space="preserve">Thank you for writing to us about your missing parcel.</t>
  </si>
  <si>
    <t xml:space="preserve">A customer has emailed to say a parcel marked as delivered never reached them, and you are starting your reply.</t>
  </si>
  <si>
    <t xml:space="preserve">The customer took time to tell you about a problem. What do you say first, and how do you show you read their email?</t>
  </si>
  <si>
    <t xml:space="preserve">THANK-you · for-WRY-ting-to-us · a-BOUT-your · MISS-ing-PAR-cel</t>
  </si>
  <si>
    <t xml:space="preserve">If read aloud: thank_you → "thang-kyoo" · about_your → "a-bou-chor"</t>
  </si>
  <si>
    <t xml:space="preserve">If read aloud: steady and warm, falling at "parcel" with no rush.</t>
  </si>
  <si>
    <t xml:space="preserve">If read aloud, "thank" starts with a soft "th" (tongue between the teeth), not "tank"; "parcel" is PAR-cel, not par-SEL.</t>
  </si>
  <si>
    <t xml:space="preserve">Grateful, attentive</t>
  </si>
  <si>
    <t xml:space="preserve">Annoyed and worried the parcel is lost.</t>
  </si>
  <si>
    <t xml:space="preserve">Thank the customer and name their problem, like a doctor who repeats your symptom so you know they listened.</t>
  </si>
  <si>
    <t xml:space="preserve">अपने गुम हुए पार्सल के बारे में हमें लिखने के लिए धन्यवाद।</t>
  </si>
  <si>
    <t xml:space="preserve">Apne gum hue parcel ke baare mein hamein likhne ke liye dhanyavaad.</t>
  </si>
  <si>
    <t xml:space="preserve">Thanks for telling us that your parcel has not arrived.</t>
  </si>
  <si>
    <t xml:space="preserve">Thanking the customer makes them feel heard, and naming the exact problem shows you read their email instead of sending a template.</t>
  </si>
  <si>
    <t xml:space="preserve">Thank you for writing to us about ___.</t>
  </si>
  <si>
    <t xml:space="preserve">Thank you + for + verb-ing + about + noun</t>
  </si>
  <si>
    <t xml:space="preserve">After "Thank you for" use the -ing form: "for writing", not "for write".</t>
  </si>
  <si>
    <t xml:space="preserve">Thanking plus naming the problem sounds personal. "Thank you for your query" alone sounds like a template and may annoy an upset customer.</t>
  </si>
  <si>
    <t xml:space="preserve">✗ Thank you for write to us. → ✓ Thank you for writing to us about your missing parcel.</t>
  </si>
  <si>
    <t xml:space="preserve">"Your query has been noted." — it sounds cold and robotic, and says nothing about the customer's problem.</t>
  </si>
  <si>
    <t xml:space="preserve">Instead of "Your query has been noted", write "Thank you for writing to us about your missing parcel."</t>
  </si>
  <si>
    <t xml:space="preserve">Thanks for letting us know that your parcel has not arrived.</t>
  </si>
  <si>
    <t xml:space="preserve">Thank you for contacting us about your missing parcel.</t>
  </si>
  <si>
    <t xml:space="preserve">Thank you for your email regarding the parcel that has not reached you.</t>
  </si>
  <si>
    <t xml:space="preserve">I'm sorry it hasn't arrived. I have already asked the courier to trace it.</t>
  </si>
  <si>
    <t xml:space="preserve">Thanks, any news? · I just want my parcel. · It says delivered but I don't have it.</t>
  </si>
  <si>
    <t xml:space="preserve">Customer: "I don't need thanks, I need my parcel." → Agent: "You're right, and I'm sorry you are still waiting. The courier is tracing it now, and I'll email you by 4 pm with an update."</t>
  </si>
  <si>
    <t xml:space="preserve">Indian office emails often begin "This is with reference to your mail". International customers expect a short thank-you and the problem in plain words.</t>
  </si>
  <si>
    <t xml:space="preserve">Voice: "Thanks for calling about your parcel." Chat: "Thanks for reaching out about your parcel." Email: one line, then the action.</t>
  </si>
  <si>
    <t xml:space="preserve">Do not start with a thank-you to a very angry customer whose second complaint was ignored; apologise first.</t>
  </si>
  <si>
    <t xml:space="preserve">Customer: My parcel says delivered, but it isn't here. | Agent: Thank you for writing to us about your missing parcel. I'm sorry it hasn't arrived. | Customer: What will you do? | Agent: I've asked the courier to trace it, and I'll update you by 4 pm today.</t>
  </si>
  <si>
    <t xml:space="preserve">Thank the customer, name the issue, then give one clear next step.</t>
  </si>
  <si>
    <t xml:space="preserve">Thank you for ____ (write) to us about your missing parcel.</t>
  </si>
  <si>
    <t xml:space="preserve">writing</t>
  </si>
  <si>
    <t xml:space="preserve">A customer emails about a missing parcel. Which first line is best?</t>
  </si>
  <si>
    <t xml:space="preserve">A) Your query has been noted and will be looked into. | B) Thank you for writing to us about your missing parcel. | C) This is with reference to your mail about the parcel. | D) Thank you for your query. We will look into it soon.</t>
  </si>
  <si>
    <t xml:space="preserve">B thanks the customer and names the exact problem. D thanks but could be sent to anyone, C is a common Indian office opening that international customers may not expect, and it does not thank, and A is a cold office phrase.</t>
  </si>
  <si>
    <t xml:space="preserve">writing / about / Thank / us / missing / you / to / parcel / for / your</t>
  </si>
  <si>
    <t xml:space="preserve">Customer ko damaged phone ke baare mein likhne ke liye thanks kahiye.</t>
  </si>
  <si>
    <t xml:space="preserve">Thank you for writing to us about your damaged phone.</t>
  </si>
  <si>
    <t xml:space="preserve">So where is my parcel?</t>
  </si>
  <si>
    <t xml:space="preserve">I'm checking the courier's last scan myself right now. I'll email you by 4 pm today with what I find.</t>
  </si>
  <si>
    <t xml:space="preserve">Partner A writes an email saying a parcel marked delivered is missing. Partner B writes the first two lines of the reply: a thank-you that names the problem, then the action taken.</t>
  </si>
  <si>
    <t xml:space="preserve">Write the first two lines of a reply to a customer whose shoes arrived in the wrong size, and send it as text or a photo for audit.</t>
  </si>
  <si>
    <t xml:space="preserve">Did you use "for" plus an -ing word? · Did you name the customer's exact problem? · Did you follow with an action?</t>
  </si>
  <si>
    <t xml:space="preserve">CSE-B-004</t>
  </si>
  <si>
    <t xml:space="preserve">We have received your email, and I will send you a full answer by 5 pm tomorrow.</t>
  </si>
  <si>
    <t xml:space="preserve">A customer has asked a question that needs a check with the billing team, so you confirm you got it and say when they will hear back.</t>
  </si>
  <si>
    <t xml:space="preserve">You cannot answer fully today. What do you tell the customer so they stop worrying their email was lost?</t>
  </si>
  <si>
    <t xml:space="preserve">we-have-re-CEIVED-your-EE-mail · and-I-will-SEND-you · a-FULL-AN-swer · by-FIVE-pee-EM-to-MOR-row</t>
  </si>
  <si>
    <t xml:space="preserve">If read aloud: received_your → "ri-SEEV-jer" (d + y join into a "j" sound) · send_you → "sen-joo" · full_answer → "fu-lan-ser"</t>
  </si>
  <si>
    <t xml:space="preserve">If read aloud: a small pause after "email", then a clear, falling tone on "tomorrow" to sound sure.</t>
  </si>
  <si>
    <t xml:space="preserve">If read aloud, say the "v" in "received" with your top teeth on your lower lip (vest, not west), and keep the final "d" in "received" and "send": ri-SEEVD, two syllables.</t>
  </si>
  <si>
    <t xml:space="preserve">Reassuring, clear promise</t>
  </si>
  <si>
    <t xml:space="preserve">Unsure whether anyone has read the email.</t>
  </si>
  <si>
    <t xml:space="preserve">Like a courier receipt: you show the parcel has arrived, and you write the delivery time on it.</t>
  </si>
  <si>
    <t xml:space="preserve">हमें आपका ईमेल मिल गया है, और मैं कल शाम 5 बजे तक आपको पूरा जवाब भेजूँगा/भेजूँगी।</t>
  </si>
  <si>
    <t xml:space="preserve">Hamein aapka email mil gaya hai, aur main kal shaam 5 baje tak aapko poora jawaab bhejunga/bhejungi.</t>
  </si>
  <si>
    <t xml:space="preserve">We got your email, and you will get a complete reply from me before 5 pm tomorrow.</t>
  </si>
  <si>
    <t xml:space="preserve">It tells the customer the email is not lost and gives a real time, so they do not need to write again or call to chase.</t>
  </si>
  <si>
    <t xml:space="preserve">I will send you ___ by ___.</t>
  </si>
  <si>
    <t xml:space="preserve">We have + past participle · I will + base verb + by + time</t>
  </si>
  <si>
    <t xml:space="preserve">"Have received" shows it has just happened; "will send" is your promise for the future.</t>
  </si>
  <si>
    <t xml:space="preserve">"I will" plus a time sounds confident and responsible. "We will try to revert soon" sounds vague and uses a word international customers may not expect.</t>
  </si>
  <si>
    <t xml:space="preserve">✗ We have received your email and will reply you soon. → ✓ We have received your email, and I will send you a full answer by 5 pm tomorrow.</t>
  </si>
  <si>
    <t xml:space="preserve">"We will get back to you shortly." — "shortly" is not a time, so the customer cannot plan and will probably chase you.</t>
  </si>
  <si>
    <t xml:space="preserve">Instead of "We will try to reply soon", write "I will send you a full answer by 5 pm tomorrow."</t>
  </si>
  <si>
    <t xml:space="preserve">Thanks for your email. I'm checking this with our billing team and will reply by 5 pm tomorrow.</t>
  </si>
  <si>
    <t xml:space="preserve">I've received your message, and you'll have a full reply from me by tomorrow at 5 pm.</t>
  </si>
  <si>
    <t xml:space="preserve">This is to confirm that we have received your email. I will send you a complete response by 5 pm tomorrow.</t>
  </si>
  <si>
    <t xml:space="preserve">If you have a copy of the invoice, please attach it to your reply so I can check it faster.</t>
  </si>
  <si>
    <t xml:space="preserve">OK, thanks for letting me know. · Can't you answer today? · Fine, but please don't forget.</t>
  </si>
  <si>
    <t xml:space="preserve">Customer: "Why can't you answer today?" → Agent: "I know you would like an answer today. I need our billing team to check two charges so that my answer is correct. I will email you by 5 pm tomorrow, and sooner if they finish early."</t>
  </si>
  <si>
    <t xml:space="preserve">"We will revert" is common in Indian office email; Oxford lists "revert" meaning "reply" as Indian English. International customers expect "reply" or "get back to you".</t>
  </si>
  <si>
    <t xml:space="preserve">Voice: "I'll call you back by 5 pm tomorrow." Chat: "I'll email you the full answer by 5 pm tomorrow." Email: one line near the top.</t>
  </si>
  <si>
    <t xml:space="preserve">Do not send a holding reply when you can answer the whole question now; just answer it.</t>
  </si>
  <si>
    <t xml:space="preserve">Customer: Why was I charged twice? | Agent: We have received your email, and I will send you a full answer by 5 pm tomorrow. | Customer: OK, please don't forget. | Agent: I won't. I'll check both charges with our billing team today.</t>
  </si>
  <si>
    <t xml:space="preserve">Use "I will" plus a time instead of "we'll try" or "soon".</t>
  </si>
  <si>
    <t xml:space="preserve">We have received your email, and I will send you a full answer ____ 5 pm tomorrow at the latest.</t>
  </si>
  <si>
    <t xml:space="preserve">You need one day to check a billing question. Which holding reply is best?</t>
  </si>
  <si>
    <t xml:space="preserve">A) Thank you for your email. We will revert back to you with an answer very soon. | B) Your email has been forwarded to the billing team and is under process. | C) We have received your email, and I will send you a full answer by 5 pm tomorrow. | D) We have received your email, and someone from our team will contact you shortly.</t>
  </si>
  <si>
    <t xml:space="preserve">C confirms the email arrived and gives a real time. A, B and D give no time ("very soon", "under process", "shortly"), and A also uses "revert back" and B "under process", which international readers may not expect.</t>
  </si>
  <si>
    <t xml:space="preserve">send / I / full / will / answer / you / a</t>
  </si>
  <si>
    <t xml:space="preserve">I will send you a full answer.</t>
  </si>
  <si>
    <t xml:space="preserve">Customer ko bataiye ki email mil gaya hai aur aap Monday dopahar 12 baje tak jawaab denge.</t>
  </si>
  <si>
    <t xml:space="preserve">We have received your email, and I will reply by 12 noon on Monday.</t>
  </si>
  <si>
    <t xml:space="preserve">OK. Do you need anything else from me?</t>
  </si>
  <si>
    <t xml:space="preserve">Yes, please could you send a screenshot of the two charges on your bank statement? You can hide your account number.</t>
  </si>
  <si>
    <t xml:space="preserve">Partner A emails about being charged twice. Partner B writes a holding reply that confirms the email arrived, explains the check in one line and gives a real time.</t>
  </si>
  <si>
    <t xml:space="preserve">Write a two-line holding reply to a customer whose warranty question needs a check with the product team, and send it as text or a photo for audit.</t>
  </si>
  <si>
    <t xml:space="preserve">Did you confirm you received the email? · Did you give a real day and time? · Did you use "I will" instead of "we will try"?</t>
  </si>
  <si>
    <t xml:space="preserve">CSE-B-005</t>
  </si>
  <si>
    <t xml:space="preserve">To find your order quickly, could you send me the order number? It starts with ORD.</t>
  </si>
  <si>
    <t xml:space="preserve">A customer has emailed about a late delivery but did not include an order number, and they have several orders with you.</t>
  </si>
  <si>
    <t xml:space="preserve">The customer forgot a detail you need to find their purchase. How do you ask for it and help them find it?</t>
  </si>
  <si>
    <t xml:space="preserve">to-FIND-your-OR-der-QUICK-ly · could-you-SEND-me · the-OR-der-NUM-ber · it-STARTS-with-oh-ar-DEE</t>
  </si>
  <si>
    <t xml:space="preserve">If read aloud: could_you → "cud-joo" · send_me → "sen-me" · starts_with → "star-tswith"</t>
  </si>
  <si>
    <t xml:space="preserve">If read aloud: rise on "order number?" because it is a yes/no question, then fall on "ORD".</t>
  </si>
  <si>
    <t xml:space="preserve">If read aloud, "order" is OR-der. For the "d", touch the ridge just behind your top teeth with the tip of your tongue; do not curl the tongue back, as in the Hindi ड.</t>
  </si>
  <si>
    <t xml:space="preserve">Polite, helpful request</t>
  </si>
  <si>
    <t xml:space="preserve">A little impatient because they expected you to know already.</t>
  </si>
  <si>
    <t xml:space="preserve">The order number is the key to the customer's locker; ask for the key and tell them which pocket it is in.</t>
  </si>
  <si>
    <t xml:space="preserve">आपका ऑर्डर जल्दी ढूँढने के लिए, क्या आप मुझे ऑर्डर नंबर भेज सकते हैं? यह ORD से शुरू होता है।</t>
  </si>
  <si>
    <t xml:space="preserve">Aapka order jaldi dhoondhne ke liye, kya aap mujhe order number bhej sakte hain? Yeh ORD se shuru hota hai.</t>
  </si>
  <si>
    <t xml:space="preserve">Please send me your order number so I can find your order fast; it begins with the letters ORD.</t>
  </si>
  <si>
    <t xml:space="preserve">It gives the reason first, so the request does not feel like a test, and tells the customer how to recognise the number.</t>
  </si>
  <si>
    <t xml:space="preserve">To ___, could you send me ___?</t>
  </si>
  <si>
    <t xml:space="preserve">To + base verb (reason) + , + could you + base verb + object?</t>
  </si>
  <si>
    <t xml:space="preserve">"To find" at the start gives the reason; "could you" makes the request polite.</t>
  </si>
  <si>
    <t xml:space="preserve">Giving a reason and a hint sounds helpful. "Provide order number" or "May I know your order ID" sounds like a form.</t>
  </si>
  <si>
    <t xml:space="preserve">✗ Please provide order no. for further process. → ✓ To find your order quickly, could you send me the order number? It starts with ORD.</t>
  </si>
  <si>
    <t xml:space="preserve">"Order number is mandatory to process your request." — it sounds like a rule and blames the customer.</t>
  </si>
  <si>
    <t xml:space="preserve">Instead of "Provide your order ID", write "To find your order quickly, could you send me the order number?"</t>
  </si>
  <si>
    <t xml:space="preserve">Could you reply with your order number? You'll find it in your confirmation email.</t>
  </si>
  <si>
    <t xml:space="preserve">So I can check your delivery, could you send me the order number that begins with ORD?</t>
  </si>
  <si>
    <t xml:space="preserve">So that I can locate your order, could you please send me the order number? It begins with the letters ORD.</t>
  </si>
  <si>
    <t xml:space="preserve">Thank you. I can see order ORD-48213 and I'm checking the delivery now.</t>
  </si>
  <si>
    <t xml:space="preserve">It's ORD-48213. · I can't find the email. · Can't you search by my email address?</t>
  </si>
  <si>
    <t xml:space="preserve">Customer: "Can't you just use my email address?" → Agent: "I can see three orders on your email address. The order number tells me which one is late, so I can fix the right one."</t>
  </si>
  <si>
    <t xml:space="preserve">"May I know your order ID?" is common in Indian scripts and is grammatical. International customers more often hear "Could you send me…?" or "Could I have…?".</t>
  </si>
  <si>
    <t xml:space="preserve">Voice: "Could I have your order number, please?" Chat: "Could you type your order number here?" Email: give the reason and where to find it, to avoid another round of emails.</t>
  </si>
  <si>
    <t xml:space="preserve">Do not ask for the order number if it is already in the customer's email or subject line; read carefully first.</t>
  </si>
  <si>
    <t xml:space="preserve">Customer: My delivery is late again. | Agent: I'm sorry your delivery is late again. To find your order quickly, could you send me the order number? It starts with ORD. | Customer: It's ORD-48213. | Agent: Thank you. I'm checking it now.</t>
  </si>
  <si>
    <t xml:space="preserve">Verification: say the purpose and ask only for what you need.</t>
  </si>
  <si>
    <t xml:space="preserve">____ find your order quickly, could you send me the order number? It starts with ORD.</t>
  </si>
  <si>
    <t xml:space="preserve">A customer with three orders writes "My delivery is late." What is the best reply?</t>
  </si>
  <si>
    <t xml:space="preserve">A) The order number is mandatory to process your request, so please send it. | B) To find your order quickly, could you send me the order number? It starts with ORD. | C) We cannot look into your delivery without further details from your side. | D) To confirm it is you, please send your full name, address, date of birth and phone number.</t>
  </si>
  <si>
    <t xml:space="preserve">B gives a reason, asks for one thing and says how to find it. D gives a reason too, but asks for far more than you need. A and C sound like rules and give the customer no help.</t>
  </si>
  <si>
    <t xml:space="preserve">send / number / you / me / Could / the / order</t>
  </si>
  <si>
    <t xml:space="preserve">Could you send me the order number?</t>
  </si>
  <si>
    <t xml:space="preserve">Customer se poochhiye ki kya woh ticket number bhej sakte hain, taaki aap complaint jaldi dhoondh saken.</t>
  </si>
  <si>
    <t xml:space="preserve">To find your complaint quickly, could you send me the ticket number?</t>
  </si>
  <si>
    <t xml:space="preserve">I can't find the confirmation email.</t>
  </si>
  <si>
    <t xml:space="preserve">That's fine. Could you tell me the date you ordered and the item name? I'll search for it that way.</t>
  </si>
  <si>
    <t xml:space="preserve">Partner A emails "Where is my delivery?" with no details. Partner B writes a reply that asks for the order number with a reason and a hint; then A says they cannot find it, and B offers another way.</t>
  </si>
  <si>
    <t xml:space="preserve">Write a reply asking a customer for their ticket number, with a reason and a hint where to find it, and send it as text or a photo for audit.</t>
  </si>
  <si>
    <t xml:space="preserve">Did you give a reason first? · Did you ask for only one thing? · Did you tell the customer where to find it?</t>
  </si>
  <si>
    <t xml:space="preserve">CSE-B-006</t>
  </si>
  <si>
    <t xml:space="preserve">Could you attach a photo of the damaged item to your reply?</t>
  </si>
  <si>
    <t xml:space="preserve">A customer writes that their new lamp arrived broken, and you need to see the damage before you arrange a replacement.</t>
  </si>
  <si>
    <t xml:space="preserve">You need to see the damage before you can send a new item. What do you ask the customer to add to their next email?</t>
  </si>
  <si>
    <t xml:space="preserve">could-you-at-TACH · a-PHO-to · of-the-DAM-aged-I-tem · to-your-re-PLY</t>
  </si>
  <si>
    <t xml:space="preserve">If read aloud: attach_a → "a-ta-cha" · damaged_item → "dam-ij-dye-tem"</t>
  </si>
  <si>
    <t xml:space="preserve">If read aloud: rise at the end on "reply?" because it is a yes/no request.</t>
  </si>
  <si>
    <t xml:space="preserve">If read aloud, "photo" is FOH-toh with a long "oh". Start with "f", with your top teeth on your lower lip (fan, not pan), not a breathy "p"; "damaged" ends in a clear "d".</t>
  </si>
  <si>
    <t xml:space="preserve">Polite, practical request</t>
  </si>
  <si>
    <t xml:space="preserve">Disappointed and wanting a quick replacement.</t>
  </si>
  <si>
    <t xml:space="preserve">A photo is worth a thousand words, so ask for one picture instead of ten emails describing the crack.</t>
  </si>
  <si>
    <t xml:space="preserve">क्या आप अपने जवाब में क्षतिग्रस्त सामान की एक फ़ोटो लगा सकते हैं?</t>
  </si>
  <si>
    <t xml:space="preserve">Kya aap apne jawaab mein kshatigrast saamaan ki ek photo laga sakte hain?</t>
  </si>
  <si>
    <t xml:space="preserve">Please add a picture of the broken item when you write back.</t>
  </si>
  <si>
    <t xml:space="preserve">It asks for one clear thing in a polite question, so the customer knows exactly what to do and you avoid more emails.</t>
  </si>
  <si>
    <t xml:space="preserve">Could you attach ___ to your reply?</t>
  </si>
  <si>
    <t xml:space="preserve">Could + you + attach + object + to + your reply?</t>
  </si>
  <si>
    <t xml:space="preserve">We "attach" a file "to" an email; we do not "attach with" it.</t>
  </si>
  <si>
    <t xml:space="preserve">A question sounds like a request. "Send photo" or "You have to send proof" sounds like the customer is not trusted.</t>
  </si>
  <si>
    <t xml:space="preserve">✗ Could you attach photo of damaged item to your reply? → ✓ Could you attach a photo of the damaged item to your reply?</t>
  </si>
  <si>
    <t xml:space="preserve">"Send proof of damage." — "proof" sounds like you think the customer may be lying.</t>
  </si>
  <si>
    <t xml:space="preserve">Instead of "You have to send proof", write "Could you attach a photo of the damaged item to your reply?"</t>
  </si>
  <si>
    <t xml:space="preserve">Please could you send a photo of the broken lamp with your reply?</t>
  </si>
  <si>
    <t xml:space="preserve">Could you reply with a photo that shows the damage?</t>
  </si>
  <si>
    <t xml:space="preserve">Would you be able to attach a photograph of the damaged item when you reply?</t>
  </si>
  <si>
    <t xml:space="preserve">A photo of the box and the label would also help, if you still have them.</t>
  </si>
  <si>
    <t xml:space="preserve">Sure, here it is. · I threw the box away. · How do I attach a photo?</t>
  </si>
  <si>
    <t xml:space="preserve">Customer: "Why do you need a photo? Don't you believe me?" → Agent: "I do believe you, and I'm sorry it arrived broken. The photo goes to our courier so they can fix the packing problem, and it lets me send your replacement today."</t>
  </si>
  <si>
    <t xml:space="preserve">Indian English often says "snap" for a photo and "the same" for the item. International customers say "photo" or "picture" and expect you to name the thing.</t>
  </si>
  <si>
    <t xml:space="preserve">Voice: "Could you email us a photo of the damage?" Chat: "Could you upload a photo here using the clip icon?" Email: ask for it as an attachment to the reply.</t>
  </si>
  <si>
    <t xml:space="preserve">Do not ask for a photo when the damage is already clear from the courier report or the customer already sent one.</t>
  </si>
  <si>
    <t xml:space="preserve">Customer: My lamp arrived broken. | Agent: I'm sorry your lamp arrived broken. Could you attach a photo of the damaged item to your reply? | Customer: Here it is. | Agent: Thank you. I've booked a replacement lamp for you today.</t>
  </si>
  <si>
    <t xml:space="preserve">Ask a clear question and give one clear next step.</t>
  </si>
  <si>
    <t xml:space="preserve">Could you attach a photo of the damaged item ____ (starts with t) your reply?</t>
  </si>
  <si>
    <t xml:space="preserve">You need to see a broken item before replacing it. Which request is best?</t>
  </si>
  <si>
    <t xml:space="preserve">A) Send proof of the damage today so that we can process your claim. | B) Kindly send the snap of the same so that we can look into the matter. | C) Could you attach a photo of the damaged item to your reply? | D) You have to send photos of the lamp, or we cannot arrange a replacement.</t>
  </si>
  <si>
    <t xml:space="preserve">C is polite and clear. B is a common Indian-English habit that international customers may find unclear ("snap", "the same"), and A and D sound like you distrust the customer.</t>
  </si>
  <si>
    <t xml:space="preserve">photo / Could / attach / you / a</t>
  </si>
  <si>
    <t xml:space="preserve">Could you attach a photo?</t>
  </si>
  <si>
    <t xml:space="preserve">Customer se kahiye ki apne jawaab mein error message ka screenshot attach karein.</t>
  </si>
  <si>
    <t xml:space="preserve">Could you attach a screenshot of the error message to your reply?</t>
  </si>
  <si>
    <t xml:space="preserve">I'm on my phone. How do I attach it?</t>
  </si>
  <si>
    <t xml:space="preserve">In most email apps, tap the paperclip icon, choose the photo and press send.</t>
  </si>
  <si>
    <t xml:space="preserve">Partner A emails that a dinner plate arrived cracked. Partner B asks for a photo politely; A asks why it is needed, and B explains the reason calmly.</t>
  </si>
  <si>
    <t xml:space="preserve">Write a two-line reply asking a customer for a screenshot of an error message, and send it as text or a photo for audit.</t>
  </si>
  <si>
    <t xml:space="preserve">Did you ask with "Could you"? · Did you name the exact thing to photograph? · Did you avoid "proof" (it sounds like distrust) and "the same" (international customers may not expect it)?</t>
  </si>
  <si>
    <t xml:space="preserve">CSE-B-007</t>
  </si>
  <si>
    <t xml:space="preserve">I'm sorry your headphones arrived two days late. I have refunded the delivery charge to your card.</t>
  </si>
  <si>
    <t xml:space="preserve">A customer paid for fast delivery, but their headphones arrived two days after the promised date.</t>
  </si>
  <si>
    <t xml:space="preserve">The delivery was late and the customer paid extra for speed. How do you say sorry for the exact problem and fix something?</t>
  </si>
  <si>
    <t xml:space="preserve">i'm-SOR-ry · your-HEAD-phones · a-RIVED · two-DAYS-LATE · i-have-re-FUND-ed · the-de-LIV-er-y-CHARGE</t>
  </si>
  <si>
    <t xml:space="preserve">If read aloud: arrived_two → "a-rive-too" · refunded_the → "ri-fun-di-the"</t>
  </si>
  <si>
    <t xml:space="preserve">If read aloud: low and sincere on the first sentence, then a clear, steady tone for the action.</t>
  </si>
  <si>
    <t xml:space="preserve">If read aloud, say the "v" in "delivery" with top teeth on the lower lip (vest, not west); "arrived" ends in a clear "d".</t>
  </si>
  <si>
    <t xml:space="preserve">Sincere, responsible</t>
  </si>
  <si>
    <t xml:space="preserve">Let down and feeling they paid for nothing.</t>
  </si>
  <si>
    <t xml:space="preserve">A real apology has two hands: one says sorry for the exact thing, the other gives something back.</t>
  </si>
  <si>
    <t xml:space="preserve">मुझे खेद है कि आपके हेडफ़ोन दो दिन देर से पहुँचे। मैंने डिलीवरी चार्ज आपके कार्ड में वापस कर दिया है।</t>
  </si>
  <si>
    <t xml:space="preserve">Mujhe khed hai ki aapke headphone do din der se pahunche. Maine delivery charge aapke card mein wapas kar diya hai.</t>
  </si>
  <si>
    <t xml:space="preserve">I apologise that your headphones came two days late, and I have given back the money you paid for delivery.</t>
  </si>
  <si>
    <t xml:space="preserve">It names the exact problem, so the customer knows you understood, and shows an action already done instead of only words.</t>
  </si>
  <si>
    <t xml:space="preserve">I'm sorry your ___. I have ___.</t>
  </si>
  <si>
    <t xml:space="preserve">I'm sorry + (that) + subject + past verb · I have + past participle</t>
  </si>
  <si>
    <t xml:space="preserve">Use "I'm sorry" plus what happened; "I have refunded" shows the action is already done.</t>
  </si>
  <si>
    <t xml:space="preserve">A specific apology plus a fix sounds sincere. "Sorry for the inconvenience caused" sounds copied and does not say what went wrong.</t>
  </si>
  <si>
    <t xml:space="preserve">✗ Sorry for the inconvenience caused. → ✓ I'm sorry your headphones arrived two days late. I have refunded the delivery charge to your card.</t>
  </si>
  <si>
    <t xml:space="preserve">"We regret the inconvenience caused." — it is a stock phrase that does not name the problem or take responsibility.</t>
  </si>
  <si>
    <t xml:space="preserve">Instead of "Sorry for the inconvenience", write "I'm sorry your headphones arrived two days late."</t>
  </si>
  <si>
    <t xml:space="preserve">I apologise that your headphones were two days late. I've refunded your delivery charge.</t>
  </si>
  <si>
    <t xml:space="preserve">I'm sorry we missed the delivery date for your headphones. I've refunded the delivery charge, and it should reach your card within five working days.</t>
  </si>
  <si>
    <t xml:space="preserve">Please accept my apologies for the two-day delay in delivering your headphones. I have refunded the delivery charge to your card.</t>
  </si>
  <si>
    <t xml:space="preserve">You do not need to do anything. The refund should show on your card within five working days.</t>
  </si>
  <si>
    <t xml:space="preserve">Thank you, that's fair. · It's not just the money, I needed them for a trip. · Will this happen again?</t>
  </si>
  <si>
    <t xml:space="preserve">Customer: "I needed them for my trip. A refund doesn't fix that." → Agent: "You're right, and I'm sorry it spoiled your plans. I've also added a note to your account so our team checks your next delivery closely."</t>
  </si>
  <si>
    <t xml:space="preserve">"Sorry for the inconvenience caused" is very common in Indian support templates. International customers often read it as a copy-paste line; name the problem instead.</t>
  </si>
  <si>
    <t xml:space="preserve">Voice: say it slowly, then pause for the customer. Chat: split into two short messages. Email: put it near the top, after the greeting.</t>
  </si>
  <si>
    <t xml:space="preserve">Do not apologise for a delay before you have checked it really was late; first confirm the facts.</t>
  </si>
  <si>
    <t xml:space="preserve">Customer: I paid for fast delivery and my headphones came two days late. | Agent: I'm sorry your headphones arrived two days late. I have refunded the delivery charge to your card. | Customer: Thanks. When will I see it? | Agent: It should reach your card within five working days.</t>
  </si>
  <si>
    <t xml:space="preserve">Apologise specifically, take responsibility, then offer a fix.</t>
  </si>
  <si>
    <t xml:space="preserve">I'm sorry your headphones arrived two days late. I ____ refunded the delivery charge to your card.</t>
  </si>
  <si>
    <t xml:space="preserve">A customer paid for fast delivery, but their headphones arrived two days late. Which apology is best?</t>
  </si>
  <si>
    <t xml:space="preserve">A) We are sorry for the inconvenience caused to you by the delay in delivering your order. | B) I'm sorry, but delays can happen with couriers, and this one was outside our control. | C) I'm sorry your headphones arrived two days late. I have refunded the delivery charge to your card. | D) We regret any inconvenience this may have caused and thank you for your patience and understanding.</t>
  </si>
  <si>
    <t xml:space="preserve">C names the problem and fixes something. A and D are stock phrases that do not say what went wrong or what you did, and B makes an excuse instead of taking responsibility.</t>
  </si>
  <si>
    <t xml:space="preserve">headphones / sorry / late / I'm / arrived / your</t>
  </si>
  <si>
    <t xml:space="preserve">I'm sorry your headphones arrived late.</t>
  </si>
  <si>
    <t xml:space="preserve">Customer se maafi maangiye ki unka phone charger galat bheja gaya, aur bataiye ki sahi charger aaj bhej diya hai.</t>
  </si>
  <si>
    <t xml:space="preserve">I'm sorry we sent you the wrong charger. I have sent the right one today.</t>
  </si>
  <si>
    <t xml:space="preserve">Will this happen again next time?</t>
  </si>
  <si>
    <t xml:space="preserve">I have reported this delay to our delivery team today. If your next order is late, reply to this email and I will look into it myself.</t>
  </si>
  <si>
    <t xml:space="preserve">Partner A emails that a birthday cake arrived a day late. Partner B writes a specific apology and one action already taken; A pushes back once, and B answers calmly.</t>
  </si>
  <si>
    <t xml:space="preserve">Write a two-sentence apology to a customer who received the wrong colour of shirt, including one action you have taken, and send it as text or a photo for audit.</t>
  </si>
  <si>
    <t xml:space="preserve">Did you name the exact problem? · Did you use "I", not only "we"? · Did you include an action already done?</t>
  </si>
  <si>
    <t xml:space="preserve">CSE-B-008</t>
  </si>
  <si>
    <t xml:space="preserve">Good news: your account is unlocked, and you can log in again now.</t>
  </si>
  <si>
    <t xml:space="preserve">A customer was locked out after too many wrong passwords, and you have just reset the account.</t>
  </si>
  <si>
    <t xml:space="preserve">The problem is solved. How do you tell the customer in one line, and what can they do now?</t>
  </si>
  <si>
    <t xml:space="preserve">GOOD-NEWS · your-ac-COUNT-is-un-LOCKED · and-you-can-LOG-in-a-GAIN-NOW</t>
  </si>
  <si>
    <t xml:space="preserve">If read aloud: account_is → "a-coun-tis" · log_in → "lo-gin" · unlocked_and → "un-lock-tand"</t>
  </si>
  <si>
    <t xml:space="preserve">If read aloud: bright, rising energy on "Good news", then a clear fall on "now".</t>
  </si>
  <si>
    <t xml:space="preserve">If read aloud, "unlocked" ends in a "t" sound (un-LOKT), not "un-lock-ed" with an extra syllable.</t>
  </si>
  <si>
    <t xml:space="preserve">Positive, clear, upbeat</t>
  </si>
  <si>
    <t xml:space="preserve">Frustrated at being locked out and relieved to hear news.</t>
  </si>
  <si>
    <t xml:space="preserve">Lead with the good news like opening the door first, then tell them they can walk in.</t>
  </si>
  <si>
    <t xml:space="preserve">अच्छी ख़बर: आपका अकाउंट अनलॉक हो गया है, और अब आप फिर से लॉग इन कर सकते हैं।</t>
  </si>
  <si>
    <t xml:space="preserve">Achchhi khabar: aapka account unlock ho gaya hai, aur ab aap phir se log in kar sakte hain.</t>
  </si>
  <si>
    <t xml:space="preserve">Your account works again, and you can sign in right now.</t>
  </si>
  <si>
    <t xml:space="preserve">The customer reads the result in the first line and knows exactly what to do next, without searching through the email.</t>
  </si>
  <si>
    <t xml:space="preserve">Good news: your ___ is ___, and you can ___ now.</t>
  </si>
  <si>
    <t xml:space="preserve">Good news + : + subject + is + adjective + , and + you can + base verb</t>
  </si>
  <si>
    <t xml:space="preserve">"Unlocked" here is an adjective that describes the account now.</t>
  </si>
  <si>
    <t xml:space="preserve">Starting with the result sounds confident and kind. "Your issue has been resolved from our end" sounds stiff and does not tell the customer what to do.</t>
  </si>
  <si>
    <t xml:space="preserve">✗ Good news: your account is unlock, and you can login again now. → ✓ Good news: your account is unlocked, and you can log in again now.</t>
  </si>
  <si>
    <t xml:space="preserve">"The issue has been resolved at our end." — it is vague, and "at our end" hints the problem may still exist at the customer's end.</t>
  </si>
  <si>
    <t xml:space="preserve">Instead of "Issue resolved from our end", write "Good news: your account is unlocked, and you can log in again now."</t>
  </si>
  <si>
    <t xml:space="preserve">Your account is working again, so you can sign in now.</t>
  </si>
  <si>
    <t xml:space="preserve">I've unlocked your account, and you can log in straight away.</t>
  </si>
  <si>
    <t xml:space="preserve">I am pleased to confirm that your account has been unlocked, and you can now log in as usual.</t>
  </si>
  <si>
    <t xml:space="preserve">If you still see an error when you log in, reply to this email and I'll check it right away.</t>
  </si>
  <si>
    <t xml:space="preserve">Great, it works, thanks! · I still can't log in. · Do I need a new password?</t>
  </si>
  <si>
    <t xml:space="preserve">Customer: "It still doesn't work." → Agent: "I'm sorry it still isn't working. Could you send me a screenshot of the message you see? I'll check it straight away."</t>
  </si>
  <si>
    <t xml:space="preserve">"Resolved from our end" is a common Indian support phrase. International customers prefer the actual result in plain words and what they can do now.</t>
  </si>
  <si>
    <t xml:space="preserve">Voice: "Good news, your account is unlocked. Could you try logging in now while I'm on the line?" Chat: same short line, then wait for them to try. Email: put it in the first line.</t>
  </si>
  <si>
    <t xml:space="preserve">Do not say an issue is fixed before you have tested it or before the change has gone through.</t>
  </si>
  <si>
    <t xml:space="preserve">Customer: I'm locked out of my account. | Agent: Good news: your account is unlocked, and you can log in again now. | Customer: It works, thank you. | Agent: You're welcome. Is there anything else I can help with?</t>
  </si>
  <si>
    <t xml:space="preserve">Give one clear next step in plain words.</t>
  </si>
  <si>
    <t xml:space="preserve">Good ____: your account is unlocked, and you can log in again now.</t>
  </si>
  <si>
    <t xml:space="preserve">You have fixed a customer's locked account. Which line is best to start the email?</t>
  </si>
  <si>
    <t xml:space="preserve">A) Your issue has been resolved from our end, so please check and confirm. | B) Good news: your account is unlocked, and you can log in again now. | C) The needful has been done on your account, and the ticket is now closed. | D) Please check and confirm if you are now able to access your account.</t>
  </si>
  <si>
    <t xml:space="preserve">B gives the result and the next step. A sounds professional but vague, and "from our end" can sound like the problem may still be on the customer's side. C is fine in Indian office English, but international customers may not expect "the needful", and it does not say what was done, and D leaves the customer to find out the result alone.</t>
  </si>
  <si>
    <t xml:space="preserve">you / account / is / unlocked / and / your / can / now / log / in</t>
  </si>
  <si>
    <t xml:space="preserve">Your account is unlocked, and you can log in now.</t>
  </si>
  <si>
    <t xml:space="preserve">Customer ko bataiye ki unka password reset ho gaya hai aur woh ab login kar sakte hain.</t>
  </si>
  <si>
    <t xml:space="preserve">Good news: your password has been reset, and you can log in now.</t>
  </si>
  <si>
    <t xml:space="preserve">Do I need to change my password?</t>
  </si>
  <si>
    <t xml:space="preserve">Your current password works again. If you would like a new one, go to Settings, then Security, after you log in.</t>
  </si>
  <si>
    <t xml:space="preserve">Partner A emails that their gift card does not work. Partner B writes the "fixed" email: the good news first, then what A can do now, then a line in case it still fails.</t>
  </si>
  <si>
    <t xml:space="preserve">Write a two-line email telling a customer that their delivery address is now corrected, and send it as text or a photo for audit.</t>
  </si>
  <si>
    <t xml:space="preserve">Did the result come in the first line? · Did you say what the customer can do now? · Did you say what was fixed, not just "resolved from our end"?</t>
  </si>
  <si>
    <t xml:space="preserve">CSE-B-009</t>
  </si>
  <si>
    <t xml:space="preserve">Next, our courier will collect the parcel from your address on Friday between 10 am and 2 pm.</t>
  </si>
  <si>
    <t xml:space="preserve">A customer is returning a faulty toaster, and you have booked a pickup for them.</t>
  </si>
  <si>
    <t xml:space="preserve">The return is booked. What does the customer need to know about what happens next, and when?</t>
  </si>
  <si>
    <t xml:space="preserve">NEXT · our-COUR-i-er-will-col-LECT · the-PAR-cel · on-FRI-day · be-TWEEN-TEN-ay-EM · and-TWO-pee-EM</t>
  </si>
  <si>
    <t xml:space="preserve">If read aloud: collect_the → "co-lec-the" · parcel_from → "par-sel-from"</t>
  </si>
  <si>
    <t xml:space="preserve">If read aloud: pause after "Next", then slow down for the day and time so they are clear.</t>
  </si>
  <si>
    <t xml:space="preserve">If read aloud, "courier" is KOO-ri-er; keep the "t" at the end of "collect" clear, not "collec".</t>
  </si>
  <si>
    <t xml:space="preserve">Clear, organised</t>
  </si>
  <si>
    <t xml:space="preserve">Wants the return to be easy and not to waste a day at home.</t>
  </si>
  <si>
    <t xml:space="preserve">Next step equals who, what, when: courier, parcel, Friday 10 to 2.</t>
  </si>
  <si>
    <t xml:space="preserve">अगला कदम: हमारा कूरियर शुक्रवार सुबह 10 से दोपहर 2 बजे के बीच आपके पते से पार्सल ले जाएगा।</t>
  </si>
  <si>
    <t xml:space="preserve">Agla kadam: hamara courier shukravaar subah 10 se dopahar 2 baje ke beech aapke pate se parcel le jayega.</t>
  </si>
  <si>
    <t xml:space="preserve">On Friday, between 10 in the morning and 2 in the afternoon, a delivery person will come to pick up the box.</t>
  </si>
  <si>
    <t xml:space="preserve">It tells the customer who will come, what they will take and when, so the customer can plan and does not need to ask again.</t>
  </si>
  <si>
    <t xml:space="preserve">Next, ___ will ___ on ___ between ___ and ___.</t>
  </si>
  <si>
    <t xml:space="preserve">Next + , + subject + will + base verb + on + day + between + time + and + time</t>
  </si>
  <si>
    <t xml:space="preserve">Use "on" for days and "between … and …" for a time window.</t>
  </si>
  <si>
    <t xml:space="preserve">Exact facts sound reliable. "Our team will contact you for pickup" leaves the customer waiting and guessing.</t>
  </si>
  <si>
    <t xml:space="preserve">✗ Pickup will be done on Friday in between 10 to 2. → ✓ Next, our courier will collect the parcel from your address on Friday between 10 am and 2 pm.</t>
  </si>
  <si>
    <t xml:space="preserve">"Pickup will happen in 3-5 days." — a wide range with no day makes the customer stay home and wait.</t>
  </si>
  <si>
    <t xml:space="preserve">Instead of "Our team will contact you shortly", write "Next, our courier will collect the parcel on Friday between 10 am and 2 pm."</t>
  </si>
  <si>
    <t xml:space="preserve">Our courier will pick up the parcel from your home on Friday, between 10 am and 2 pm.</t>
  </si>
  <si>
    <t xml:space="preserve">The next step is a pickup from your address this Friday, any time from 10 am to 2 pm.</t>
  </si>
  <si>
    <t xml:space="preserve">As the next step, our courier will collect the parcel from your address on Friday between 10:00 am and 2:00 pm.</t>
  </si>
  <si>
    <t xml:space="preserve">Please pack the toaster in its box and have it ready by the door before 10 am on Friday.</t>
  </si>
  <si>
    <t xml:space="preserve">Friday is fine. · I'm not home on Friday. · Do I need to print anything?</t>
  </si>
  <si>
    <t xml:space="preserve">Customer: "I work on Friday. Can't they come on Saturday?" → Agent: "Of course. I can see a free slot on Saturday between 9 am and 1 pm. Shall I book that for you?"</t>
  </si>
  <si>
    <t xml:space="preserve">"In between 10 to 2" is common in Indian English. International customers expect "between 10 am and 2 pm" or "from 10 am to 2 pm".</t>
  </si>
  <si>
    <t xml:space="preserve">Voice: say the time slowly and repeat it. Chat: put the day and time on their own line. Email: put the next step in bold or as a numbered step.</t>
  </si>
  <si>
    <t xml:space="preserve">Do not give a day and time before the courier has confirmed the booking.</t>
  </si>
  <si>
    <t xml:space="preserve">Customer: How do I return the toaster? | Agent: Next, our courier will collect the parcel from your address on Friday between 10 am and 2 pm. | Customer: Do I need to print a label? | Agent: No, the courier will bring one.</t>
  </si>
  <si>
    <t xml:space="preserve">Give one clear next step; number the steps if there are several.</t>
  </si>
  <si>
    <t xml:space="preserve">Next, our courier will collect the parcel from your address on Friday ____ 10 am and 2 pm.</t>
  </si>
  <si>
    <t xml:space="preserve">between</t>
  </si>
  <si>
    <t xml:space="preserve">Which line best explains the next step for a return?</t>
  </si>
  <si>
    <t xml:space="preserve">A) Your return is booked, and our courier will pick up the parcel within the next few working days. | B) Your return is booked. Our team will contact you shortly to confirm the day and time of the pickup. | C) Next, our courier will collect the parcel from your address on Friday between 10 am and 2 pm. | D) Your return is booked for Friday, and the courier will call you before arriving to collect the parcel.</t>
  </si>
  <si>
    <t xml:space="preserve">C says who, what and when, with a time window. A and B give no day or time, and D gives the day but not the time, so the customer cannot plan.</t>
  </si>
  <si>
    <t xml:space="preserve">will / Friday / collect / courier / on / Our / parcel / the</t>
  </si>
  <si>
    <t xml:space="preserve">Our courier will collect the parcel on Friday.</t>
  </si>
  <si>
    <t xml:space="preserve">Customer ko bataiye ki technician Tuesday ko subah 9 se 12 ke beech aayega.</t>
  </si>
  <si>
    <t xml:space="preserve">Next, our technician will visit you on Tuesday between 9 am and 12 noon.</t>
  </si>
  <si>
    <t xml:space="preserve">Do I need to be at home?</t>
  </si>
  <si>
    <t xml:space="preserve">Yes, or someone else can hand over the parcel for you.</t>
  </si>
  <si>
    <t xml:space="preserve">Partner A wants to return a pair of shoes. Partner B writes the next step with who, what, day and time; A asks to change the day, and B offers another slot.</t>
  </si>
  <si>
    <t xml:space="preserve">Write a one-line next step telling a customer when a technician will visit, with the day and a time window, and send it as text or a photo for audit.</t>
  </si>
  <si>
    <t xml:space="preserve">Did you say who will come? · Did you give a day and a time window? · Did you use "between … and …" correctly?</t>
  </si>
  <si>
    <t xml:space="preserve">CSE-B-010</t>
  </si>
  <si>
    <t xml:space="preserve">If you have any other questions, just reply to this email and I'll be happy to help.</t>
  </si>
  <si>
    <t xml:space="preserve">You have answered a customer's question about their warranty, and you are writing the last line before your sign-off.</t>
  </si>
  <si>
    <t xml:space="preserve">The email is almost finished. How do you invite the customer to write again without sounding like a template?</t>
  </si>
  <si>
    <t xml:space="preserve">if-you-have-AN-y-OTH-er-QUES-tions · just-re-PLY · to-THIS-EE-mail · and-I'll-be-HAP-py-to-HELP</t>
  </si>
  <si>
    <t xml:space="preserve">If read aloud: have_any → "ha-ven-ee" · reply_to → "ri-ply-tuh" · I'll_be → "ail-bee"</t>
  </si>
  <si>
    <t xml:space="preserve">If read aloud: a small pause after "questions", then a warm, falling tone on "help".</t>
  </si>
  <si>
    <t xml:space="preserve">If read aloud, "other" has a soft "th" (tongue between the teeth), not "ud-der"; "questions" ends in a clear "nz".</t>
  </si>
  <si>
    <t xml:space="preserve">Warm, open invitation</t>
  </si>
  <si>
    <t xml:space="preserve">Satisfied and ready to finish.</t>
  </si>
  <si>
    <t xml:space="preserve">Leave the door open: a closing line is like a shopkeeper saying "come back any time".</t>
  </si>
  <si>
    <t xml:space="preserve">अगर आपके कोई और सवाल हैं, तो बस इस ईमेल का जवाब दें, मुझे मदद करके ख़ुशी होगी।</t>
  </si>
  <si>
    <t xml:space="preserve">Agar aapke koi aur sawaal hain, to bas is email ka jawaab dein, mujhe madad karke khushi hogi.</t>
  </si>
  <si>
    <t xml:space="preserve">Write back to this email if you want to ask anything else; I am glad to help.</t>
  </si>
  <si>
    <t xml:space="preserve">It tells the customer exactly how to get more help (reply to this email) and sounds personal because of "I'll".</t>
  </si>
  <si>
    <t xml:space="preserve">If you have any other ___, just ___.</t>
  </si>
  <si>
    <t xml:space="preserve">If + you + have + noun + , + imperative + and + I'll + be + adjective + to + verb</t>
  </si>
  <si>
    <t xml:space="preserve">In an "if" sentence, use the present ("have") in the first part and "I'll" in the second.</t>
  </si>
  <si>
    <t xml:space="preserve">"Just reply" makes it easy and friendly. "Please feel free to revert in case of any further queries" sounds stiff to international readers.</t>
  </si>
  <si>
    <t xml:space="preserve">✗ If you will have any other questions, just reply to this email. → ✓ If you have any other questions, just reply to this email and I'll be happy to help.</t>
  </si>
  <si>
    <t xml:space="preserve">"Please do not reply to this email." on a support reply — it shuts the door when the customer may still need help.</t>
  </si>
  <si>
    <t xml:space="preserve">Instead of "Feel free to revert for further queries", write "If you have any other questions, just reply to this email."</t>
  </si>
  <si>
    <t xml:space="preserve">If anything else comes up, just reply here and I'll help.</t>
  </si>
  <si>
    <t xml:space="preserve">Do let me know if you have any other questions; I'm happy to help.</t>
  </si>
  <si>
    <t xml:space="preserve">Should you have any further questions, please reply to this email and I will be glad to assist.</t>
  </si>
  <si>
    <t xml:space="preserve">Kind regards, Meera Nair, [Company]</t>
  </si>
  <si>
    <t xml:space="preserve">Thanks, that's all. · Actually, one more thing… · Great, thank you for your help.</t>
  </si>
  <si>
    <t xml:space="preserve">Customer: "I replied last time and nobody answered." → Agent: "I'm sorry nobody answered your last email. This email comes straight to me, and I'll reply within one working day."</t>
  </si>
  <si>
    <t xml:space="preserve">"Feel free to revert" is a common Indian sign-off line; Oxford marks "revert" meaning "reply" as Indian English, so international customers may not expect it.</t>
  </si>
  <si>
    <t xml:space="preserve">Voice: "Is there anything else I can help you with today?" Chat: "Anything else I can help with?" Email: invite a reply, since the customer cannot answer you live.</t>
  </si>
  <si>
    <t xml:space="preserve">Do not use it on an email where the problem is still open; give the next step and a date instead.</t>
  </si>
  <si>
    <t xml:space="preserve">Customer: Thanks for explaining the warranty. | Agent: You're welcome. If you have any other questions, just reply to this email and I'll be happy to help. | Customer: Actually, does it cover the battery? | Agent: Yes, the battery is covered for one year.</t>
  </si>
  <si>
    <t xml:space="preserve">Close by checking the issue is resolved; don't invite "anything else" on an unresolved issue.</t>
  </si>
  <si>
    <t xml:space="preserve">If you ____ any other questions, just reply to this email and I'll be happy to help.</t>
  </si>
  <si>
    <t xml:space="preserve">You solved the customer's problem. Which closing line is best?</t>
  </si>
  <si>
    <t xml:space="preserve">A) If you have any other questions, just reply to this email and I'll be happy to help. | B) Your ticket is now closed, so please do not reply to this email, as it is not monitored. | C) Thank you for contacting us. Feel free to revert in case of any further queries. | D) Your issue is marked as resolved and the ticket has been closed from our end.</t>
  </si>
  <si>
    <t xml:space="preserve">A is warm and tells the customer how to get more help. B shuts the door and D only reports a status. C is polite in Indian office English, but "revert" may not be expected by international readers.</t>
  </si>
  <si>
    <t xml:space="preserve">reply / email / to / just / this</t>
  </si>
  <si>
    <t xml:space="preserve">Just reply to this email.</t>
  </si>
  <si>
    <t xml:space="preserve">Customer ko bataiye ki agar koi aur sawaal ho to woh is email ka jawaab de sakte hain.</t>
  </si>
  <si>
    <t xml:space="preserve">If you have any other questions, just reply to this email.</t>
  </si>
  <si>
    <t xml:space="preserve">Thanks, that's everything.</t>
  </si>
  <si>
    <t xml:space="preserve">You're welcome, Daniel. Enjoy your new speaker.</t>
  </si>
  <si>
    <t xml:space="preserve">Partner A asks by email how long their warranty lasts. Partner B answers in two lines and ends with an inviting closing line; A replies with one more question, and B answers it.</t>
  </si>
  <si>
    <t xml:space="preserve">Write the last two lines of an email to a customer whose refund is complete: a closing line and a sign-off. Send it as text or a photo for audit.</t>
  </si>
  <si>
    <t xml:space="preserve">Is the problem really solved? · Did you say how to get more help? · Did you write "reply" rather than "revert", which international customers may not expect?</t>
  </si>
  <si>
    <t xml:space="preserve">CSE-B-011</t>
  </si>
  <si>
    <t xml:space="preserve">Best regards, Meera, Customer Support, [Company]</t>
  </si>
  <si>
    <t xml:space="preserve">You are ending a reply to a customer and need a short, professional sign-off with your name and team.</t>
  </si>
  <si>
    <t xml:space="preserve">What two or three words do you write before your name at the end of a support email, and what comes after your name?</t>
  </si>
  <si>
    <t xml:space="preserve">BEST-re-GARDS · MEE-ra · CUS-tom-er-sup-PORT</t>
  </si>
  <si>
    <t xml:space="preserve">If read aloud: best_regards → "bes-ri-gardz" · customer_support → "cus-tum-er-suh-port"</t>
  </si>
  <si>
    <t xml:space="preserve">If read aloud: a sign-off is not read in a call; if you read it, keep it flat and falling.</t>
  </si>
  <si>
    <t xml:space="preserve">If read aloud, keep the "t" in "best" before "regards" light but present, and end "regards" with a "dz" sound, not "rigard".</t>
  </si>
  <si>
    <t xml:space="preserve">Friendly, professional</t>
  </si>
  <si>
    <t xml:space="preserve">Finishing the email and wanting to know who helped them.</t>
  </si>
  <si>
    <t xml:space="preserve">A sign-off is your name badge at the door: a warm word, your name, your team.</t>
  </si>
  <si>
    <t xml:space="preserve">शुभकामनाओं सहित, मीरा, ग्राहक सहायता, [Company]</t>
  </si>
  <si>
    <t xml:space="preserve">Shubhkaamnaon sahit, Meera, grahak sahayata, [Company]</t>
  </si>
  <si>
    <t xml:space="preserve">A polite goodbye, then the writer's name, team and company.</t>
  </si>
  <si>
    <t xml:space="preserve">A real name makes the customer feel a person helped them and tells them who to ask for next time; the team and company make it easy to trust.</t>
  </si>
  <si>
    <t xml:space="preserve">Best regards, ___, ___, [Company]</t>
  </si>
  <si>
    <t xml:space="preserve">Closing phrase + , + first name + , + team + , + company</t>
  </si>
  <si>
    <t xml:space="preserve">Only the first word of the closing gets a capital: "Best regards", not "Best Regards".</t>
  </si>
  <si>
    <t xml:space="preserve">"Best regards" is safe for almost every customer. "Thanks and regards" with no name, or "Yours faithfully", sounds old-fashioned or cold.</t>
  </si>
  <si>
    <t xml:space="preserve">✗ Best Regards, Customer Support → ✓ Best regards, Meera, Customer Support, [Company]</t>
  </si>
  <si>
    <t xml:space="preserve">"Regards, Team [Company]" with no name — the customer does not know who helped them and cannot ask for you again.</t>
  </si>
  <si>
    <t xml:space="preserve">Instead of "Thanks &amp; Regards, Support Team", write "Best regards, Meera, Customer Support, [Company]".</t>
  </si>
  <si>
    <t xml:space="preserve">Kind regards, Meera, Customer Support, [Company]</t>
  </si>
  <si>
    <t xml:space="preserve">Thanks, Meera, [Company] Support</t>
  </si>
  <si>
    <t xml:space="preserve">Yours sincerely, Meera Nair, Customer Support Team, [Company]</t>
  </si>
  <si>
    <t xml:space="preserve">Ticket #55931 · Reply to this email to continue the conversation.</t>
  </si>
  <si>
    <t xml:space="preserve">Thanks, Meera. · Hi Meera, I have one more question. · Can I ask for you next time?</t>
  </si>
  <si>
    <t xml:space="preserve">Customer: "Can I speak to you directly next time?" → Agent: "Just reply to this email and it will come to me. If I'm away, a colleague will see our full conversation."</t>
  </si>
  <si>
    <t xml:space="preserve">"Thanks &amp; Regards" is very common in Indian office email. International customers are used to "Best regards" or "Kind regards" plus a real first name; a Zendesk analysis (quoted secondhand) found "Best regards" did better than some other closings, but the reasons are unclear, so treat that as weak evidence.</t>
  </si>
  <si>
    <t xml:space="preserve">Voice: "Thank you for calling. Have a good day." Chat: "Thanks for chatting with us, Daniel." Email: sign-off, name, team, company, on separate lines.</t>
  </si>
  <si>
    <t xml:space="preserve">Do not use a cheerful "Cheers!" when writing to a customer who has just complained or lost money.</t>
  </si>
  <si>
    <t xml:space="preserve">Customer: Thanks for sorting out my refund. | Agent: You're welcome. Best regards, Meera, Customer Support, [Company] | Customer: Thank you, Meera. | Agent: It was a pleasure, Daniel. Have a good week.</t>
  </si>
  <si>
    <t xml:space="preserve">Sign off warmly with your own name; "Best regards" is a safe choice.</t>
  </si>
  <si>
    <t xml:space="preserve">Best ____ (starts with r), Meera, Customer Support, [Company]</t>
  </si>
  <si>
    <t xml:space="preserve">regards</t>
  </si>
  <si>
    <t xml:space="preserve">Which sign-off is best for a support email to an international customer?</t>
  </si>
  <si>
    <t xml:space="preserve">A) Thanks &amp; Regards, Support Team, [Company] | B) Best regards, Meera, Customer Support, [Company] | C) Yours obediently, Executive, Customer Care, [Company] | D) Cheers!!! Meera, Customer Support, [Company]</t>
  </si>
  <si>
    <t xml:space="preserve">B is warm, professional and gives a real name and team. A is common in Indian offices, but it has no name, so the customer does not know who helped. C is old-fashioned and also has no name, and D is too casual for a support email.</t>
  </si>
  <si>
    <t xml:space="preserve">Support / Customer / regards / Meera / Best</t>
  </si>
  <si>
    <t xml:space="preserve">Best regards, Meera, Customer Support</t>
  </si>
  <si>
    <t xml:space="preserve">Email ka sign-off likhiye: Kind regards, naam Arjun, team Billing Team, aur company [Company].</t>
  </si>
  <si>
    <t xml:space="preserve">Kind regards, Arjun, Billing Team, [Company]</t>
  </si>
  <si>
    <t xml:space="preserve">Thanks, Meera, you were very helpful.</t>
  </si>
  <si>
    <t xml:space="preserve">Thank you, Daniel, that's kind of you. I'm glad I could help.</t>
  </si>
  <si>
    <t xml:space="preserve">Partner A shows three sign-offs used in their office. Partner B rewrites each one with a closing phrase, a real first name, a team and [Company].</t>
  </si>
  <si>
    <t xml:space="preserve">Write a full sign-off for yourself (closing phrase, your first name, your team and [Company]) and send it as text or a photo for audit.</t>
  </si>
  <si>
    <t xml:space="preserve">Did you use a real first name? · Did you write "regards" with a small "r"? · Did you avoid "Thanks &amp; Regards" with no name?</t>
  </si>
  <si>
    <t xml:space="preserve">CSE-B-012</t>
  </si>
  <si>
    <t xml:space="preserve">I'm just following up on my email from Monday. Do you still need help with your refund?</t>
  </si>
  <si>
    <t xml:space="preserve">You asked a customer on Monday to choose how they want their refund (on the original card or as store credit), and it is now Thursday with no reply.</t>
  </si>
  <si>
    <t xml:space="preserve">The customer has gone quiet for three days. How do you remind them politely without sounding like you are chasing?</t>
  </si>
  <si>
    <t xml:space="preserve">i'm-JUST-FOL-low-ing-UP · on-my-EE-mail-from-MUN-day · do-you-STILL-NEED-HELP · with-your-REE-fund</t>
  </si>
  <si>
    <t xml:space="preserve">If read aloud: following_up → "fol-oh-in-gup" · still_need → "stil-need" · help_with → "hel-pwith"</t>
  </si>
  <si>
    <t xml:space="preserve">If read aloud: friendly and light on the first sentence, then rise on "refund?" because it is a yes/no question.</t>
  </si>
  <si>
    <t xml:space="preserve">If read aloud, keep the final "d" in "need" and "refund" clear; "Monday" is MUN-day, not MON-day with an "o" as in "on".</t>
  </si>
  <si>
    <t xml:space="preserve">Gentle, helpful reminder</t>
  </si>
  <si>
    <t xml:space="preserve">Busy or forgetful, not necessarily unhappy.</t>
  </si>
  <si>
    <t xml:space="preserve">A follow-up is a light knock on the door, not a loud bang.</t>
  </si>
  <si>
    <t xml:space="preserve">मैं बस सोमवार वाले अपने ईमेल के बारे में याद दिला रहा/रही हूँ। क्या आपको अभी भी रिफ़ंड के लिए मदद चाहिए?</t>
  </si>
  <si>
    <t xml:space="preserve">Main bas Somvaar waale apne email ke baare mein yaad dila raha/rahi hoon. Kya aapko abhi bhi refund ke liye madad chahiye?</t>
  </si>
  <si>
    <t xml:space="preserve">I wrote to you on Monday; I want to check if you still need help getting your money back.</t>
  </si>
  <si>
    <t xml:space="preserve">It reminds the customer which email you mean and asks an easy yes/no question, so it is simple to answer and does not sound like blame.</t>
  </si>
  <si>
    <t xml:space="preserve">I'm just following up on ___. Do you still need help with ___?</t>
  </si>
  <si>
    <t xml:space="preserve">I'm + just + verb-ing + on + noun · Do + you + still + need + noun?</t>
  </si>
  <si>
    <t xml:space="preserve">"Following up on" means writing again about something you sent before.</t>
  </si>
  <si>
    <t xml:space="preserve">"Just" and the question make it gentle. "You have not replied to our email" sounds like you are blaming the customer.</t>
  </si>
  <si>
    <t xml:space="preserve">✗ I am just follow up on my email from Monday. → ✓ I'm just following up on my email from Monday. Do you still need help with your refund?</t>
  </si>
  <si>
    <t xml:space="preserve">"As you have not responded, we are closing your ticket." — it sounds like a punishment and may lose a customer who was simply busy.</t>
  </si>
  <si>
    <t xml:space="preserve">Instead of "You have not replied yet", write "I'm just following up on my email from Monday."</t>
  </si>
  <si>
    <t xml:space="preserve">I wanted to check in about my email on Monday. Can I still help with your refund?</t>
  </si>
  <si>
    <t xml:space="preserve">Following up on Monday's email: are you still waiting for your refund?</t>
  </si>
  <si>
    <t xml:space="preserve">I am writing to follow up on my email of Monday. Please let me know whether you still need assistance with your refund.</t>
  </si>
  <si>
    <t xml:space="preserve">If so, please reply with "card" or "store credit" and I'll process the refund the same day.</t>
  </si>
  <si>
    <t xml:space="preserve">Sorry, I was travelling. · Yes, please send it to my card. · No, it's sorted now, thanks.</t>
  </si>
  <si>
    <t xml:space="preserve">Customer: "Stop emailing me, I'm busy." → Agent: "Of course, I'm sorry for the extra emails. I'll keep your request open for 14 days, so you can reply whenever it suits you."</t>
  </si>
  <si>
    <t xml:space="preserve">"Gentle reminder" is common in Indian office email and can sound pushy to some international readers. A light "just following up" plus a question feels friendlier.</t>
  </si>
  <si>
    <t xml:space="preserve">Voice: "I'm calling about the email I sent on Monday." Chat: "Are you still there, Daniel?" Email: keep the same subject line with "Follow-up" so the customer sees it is not new.</t>
  </si>
  <si>
    <t xml:space="preserve">Do not send a follow-up the next morning; give the customer a fair time to reply first.</t>
  </si>
  <si>
    <t xml:space="preserve">Customer: (no reply for three days) | Agent: I'm just following up on my email from Monday. Do you still need help with your refund? | Customer: Sorry, I was away. Yes, please. | Agent: Thank you for replying. Would you like the refund on your original card or as store credit?</t>
  </si>
  <si>
    <t xml:space="preserve">Follow-ups: say it is a follow-up (in the subject too) so it is not read as a new issue.</t>
  </si>
  <si>
    <t xml:space="preserve">I'm just ____ up on my email from Monday. Do you still need help with your refund?</t>
  </si>
  <si>
    <t xml:space="preserve">following</t>
  </si>
  <si>
    <t xml:space="preserve">A customer has not replied for three days. Which follow-up is best?</t>
  </si>
  <si>
    <t xml:space="preserve">A) I'm just following up on my email from Monday. Do you still need help with your refund? | B) You have not replied to our email from Monday, so please reply with the details we asked for. | C) Gentle reminder: please reply at the earliest, as we are still waiting for your response. | D) As we have not heard from you since Monday, your ticket will be closed today unless you reply.</t>
  </si>
  <si>
    <t xml:space="preserve">A says which email and asks an easy question. B blames the customer, C is polite in Indian office English but can feel pushy, and D sounds like a threat.</t>
  </si>
  <si>
    <t xml:space="preserve">following / just / I'm / up / my / on / email</t>
  </si>
  <si>
    <t xml:space="preserve">I'm just following up on my email.</t>
  </si>
  <si>
    <t xml:space="preserve">Customer ko yaad dilaiye ki aapne Tuesday ko email bheja tha, aur poochhiye ki kya unhe abhi bhi exchange chahiye.</t>
  </si>
  <si>
    <t xml:space="preserve">I'm just following up on my email from Tuesday. Do you still need help with your exchange?</t>
  </si>
  <si>
    <t xml:space="preserve">Sorry, I was away. What did you need?</t>
  </si>
  <si>
    <t xml:space="preserve">That's fine, thank you for replying. I need to know if you would like the refund on your original card or as store credit.</t>
  </si>
  <si>
    <t xml:space="preserve">Partner A asked for a refund but did not reply when Partner B asked how to send the money. Partner B writes a polite follow-up; A replies late and apologises, and B answers warmly.</t>
  </si>
  <si>
    <t xml:space="preserve">Write a follow-up email to a customer who has not replied for four days about a size exchange, and send it as text or a photo for audit.</t>
  </si>
  <si>
    <t xml:space="preserve">Did you say which earlier email you mean? · Did you ask an easy yes/no question? · Did you avoid blaming the customer?</t>
  </si>
  <si>
    <t xml:space="preserve">CSE-B-013</t>
  </si>
  <si>
    <t xml:space="preserve">I've attached your invoice for order 48213 as a PDF.</t>
  </si>
  <si>
    <t xml:space="preserve">A customer asked for a copy of their invoice for an office claim, and you are sending it.</t>
  </si>
  <si>
    <t xml:space="preserve">You are sending a document with your email. How do you tell the customer what is attached, without old-fashioned office phrases?</t>
  </si>
  <si>
    <t xml:space="preserve">i've-at-TACHED · your-IN-voice · for-OR-der · four-eight-two-one-THREE · as-a-pee-dee-EF</t>
  </si>
  <si>
    <t xml:space="preserve">If read aloud: I've_attached → "ai-va-tacht" · invoice_for → "in-voy-sfor"</t>
  </si>
  <si>
    <t xml:space="preserve">If read aloud: steady, falling at "PDF", with the numbers read in pairs or one by one.</t>
  </si>
  <si>
    <t xml:space="preserve">If read aloud, "attached" ends in "cht" (one syllable at the end: a-TACHT), not "a-tach-ed"; "invoice" has a clear "v", top teeth on the lower lip.</t>
  </si>
  <si>
    <t xml:space="preserve">Clear, helpful</t>
  </si>
  <si>
    <t xml:space="preserve">Needs the document quickly for a claim.</t>
  </si>
  <si>
    <t xml:space="preserve">Name the attachment like a gift tag: say what is inside the box, not "the same".</t>
  </si>
  <si>
    <t xml:space="preserve">आपके ऑर्डर 48213 का इनवॉइस मैंने PDF के रूप में अटैच कर दिया है।</t>
  </si>
  <si>
    <t xml:space="preserve">Aapke order 48213 ka invoice maine PDF ke roop mein attach kar diya hai.</t>
  </si>
  <si>
    <t xml:space="preserve">Your bill for order 48213 is added to this email as a PDF file.</t>
  </si>
  <si>
    <t xml:space="preserve">It names the document, the order and the format, so the customer knows what to look for and does not miss the attachment.</t>
  </si>
  <si>
    <t xml:space="preserve">I've attached your ___ as a ___.</t>
  </si>
  <si>
    <t xml:space="preserve">I've (I have) + attached + your + noun + for + noun + as + a + format</t>
  </si>
  <si>
    <t xml:space="preserve">"I've attached" (present perfect) tells the customer the file is already in this email.</t>
  </si>
  <si>
    <t xml:space="preserve">A short, plain sentence sounds modern and clear. "Please find the same attached herewith" sounds old-fashioned and does not say what "the same" is.</t>
  </si>
  <si>
    <t xml:space="preserve">✗ I have attach your invoice for order 48213 in PDF. → ✓ I've attached your invoice for order 48213 as a PDF.</t>
  </si>
  <si>
    <t xml:space="preserve">"PFA." — many customers do not know this abbreviation, and it looks rushed.</t>
  </si>
  <si>
    <t xml:space="preserve">Instead of "Please find the same attached", write "I've attached your invoice for order 48213 as a PDF."</t>
  </si>
  <si>
    <t xml:space="preserve">Your invoice for order 48213 is attached as a PDF.</t>
  </si>
  <si>
    <t xml:space="preserve">I've added the PDF invoice for order 48213 to this email.</t>
  </si>
  <si>
    <t xml:space="preserve">Please find attached your invoice for order 48213 in PDF format.</t>
  </si>
  <si>
    <t xml:space="preserve">If you need the invoice in your company's name, just reply with the company name and address.</t>
  </si>
  <si>
    <t xml:space="preserve">Thanks, got it. · I can't open the file. · Can you add my company name?</t>
  </si>
  <si>
    <t xml:space="preserve">Customer: "There's no attachment!" → Agent: "I'm sorry, it didn't come through. I've attached it again now; it's called Invoice-48213.pdf."</t>
  </si>
  <si>
    <t xml:space="preserve">"PFA" and "Please find the same attached" are common in Indian office email. International customers expect you to name the document in a normal sentence.</t>
  </si>
  <si>
    <t xml:space="preserve">Voice: "I'll email you the invoice now as a PDF." Chat: "I've uploaded your invoice here as a PDF." Email: name the file and attach it before you press send.</t>
  </si>
  <si>
    <t xml:space="preserve">Do not write this line until the file is really attached; check before you send, or the customer has to write again.</t>
  </si>
  <si>
    <t xml:space="preserve">Customer: Could you send me my invoice? | Agent: Of course. I've attached your invoice for order 48213 as a PDF. | Customer: Thanks, I can open it. | Agent: Great. Just reply if you need anything else.</t>
  </si>
  <si>
    <t xml:space="preserve">Name the thing instead of "the same"; use plain words.</t>
  </si>
  <si>
    <t xml:space="preserve">I've attached your invoice for order 48213 ____ (starts with a) a PDF.</t>
  </si>
  <si>
    <t xml:space="preserve">as</t>
  </si>
  <si>
    <t xml:space="preserve">You are sending an invoice. Which sentence is best for an international customer?</t>
  </si>
  <si>
    <t xml:space="preserve">A) I've attached your invoice for order 48213 as a PDF. | B) PFA the invoice for order 48213, kindly acknowledge receipt. | C) Please find the same attached herewith, as requested. | D) Invoice attachment is there in this mail, please check.</t>
  </si>
  <si>
    <t xml:space="preserve">A names the document, order and format. B uses an abbreviation many customers do not know, plus "kindly", which international customers may not expect, C is a habit from Indian office email where "the same" does not tell the reader what is attached, and D sounds abrupt.</t>
  </si>
  <si>
    <t xml:space="preserve">PDF / your / as / attached / invoice / I've / a</t>
  </si>
  <si>
    <t xml:space="preserve">I've attached your invoice as a PDF.</t>
  </si>
  <si>
    <t xml:space="preserve">Customer ko bataiye ki aapne unka warranty card PDF mein attach kiya hai.</t>
  </si>
  <si>
    <t xml:space="preserve">I've attached your warranty card as a PDF.</t>
  </si>
  <si>
    <t xml:space="preserve">Can you put my company name on it?</t>
  </si>
  <si>
    <t xml:space="preserve">Yes. Please reply with your company name and address, and I'll send a new invoice today.</t>
  </si>
  <si>
    <t xml:space="preserve">Partner A asks by email for a delivery receipt and a warranty card. Partner B writes the reply naming both attachments; A says one file will not open, and B resends it.</t>
  </si>
  <si>
    <t xml:space="preserve">Write a one-line email telling a customer you have attached their return label, and send it as text or a photo for audit.</t>
  </si>
  <si>
    <t xml:space="preserve">Did you name the document and the order? · Did you avoid "the same" and "PFA", which international customers may not expect? · Did you check the file was really attached?</t>
  </si>
  <si>
    <t xml:space="preserve">CSE-B-014</t>
  </si>
  <si>
    <t xml:space="preserve">Thanks for your email. Our team is offline right now, and we will reply by 11 am on the next working day.</t>
  </si>
  <si>
    <t xml:space="preserve">You are writing the automatic reply that customers receive when they email outside support hours.</t>
  </si>
  <si>
    <t xml:space="preserve">Nobody is at work when the customer writes. What should the automatic reply promise, and when?</t>
  </si>
  <si>
    <t xml:space="preserve">THANKS-for-your-EE-mail · our-TEAM-is-OFF-line · RIGHT-NOW · we-will-re-PLY · by-e-LEV-en-ay-EM · on-the-NEXT-WORK-ing-DAY</t>
  </si>
  <si>
    <t xml:space="preserve">If read aloud: thanks_for → "thank-sfor" · team_is → "tee-miz" · next_working → "nex-working"</t>
  </si>
  <si>
    <t xml:space="preserve">If read aloud: calm and steady, with a clear fall on "working day".</t>
  </si>
  <si>
    <t xml:space="preserve">If read aloud, "working" starts with a "w": round your lips, no teeth on the lip, so it does not sound like "vorking".</t>
  </si>
  <si>
    <t xml:space="preserve">Polite, clear, reassuring</t>
  </si>
  <si>
    <t xml:space="preserve">Hoping for help and unsure if anyone will see the email.</t>
  </si>
  <si>
    <t xml:space="preserve">An auto-reply is a note on a closed shop door: "Back tomorrow at 9", not just "Closed".</t>
  </si>
  <si>
    <t xml:space="preserve">आपके ईमेल के लिए धन्यवाद। हमारी टीम अभी ऑफ़लाइन है, और हम अगले कार्य दिवस सुबह 11 बजे तक जवाब देंगे।</t>
  </si>
  <si>
    <t xml:space="preserve">Aapke email ke liye dhanyavaad. Hamari team abhi offline hai, aur hum agle kaarya divas subah 11 baje tak jawaab denge.</t>
  </si>
  <si>
    <t xml:space="preserve">We got your email, but nobody is working now; you will get an answer before 11 in the morning on our next work day.</t>
  </si>
  <si>
    <t xml:space="preserve">It confirms the email arrived, explains the silence and gives a real time, so the customer does not send the same email again.</t>
  </si>
  <si>
    <t xml:space="preserve">Our team is ___ right now, and we will reply by ___.</t>
  </si>
  <si>
    <t xml:space="preserve">Our team + is + adjective + right now · we will + base verb + by + time</t>
  </si>
  <si>
    <t xml:space="preserve">"By 11 am" means "at 11 am or before".</t>
  </si>
  <si>
    <t xml:space="preserve">A clear time sounds trustworthy. "Your mail will be attended in due course" sounds old-fashioned and gives no time.</t>
  </si>
  <si>
    <t xml:space="preserve">✗ Your mail will be attended at the earliest. → ✓ Thanks for your email. Our team is offline right now, and we will reply by 11 am on the next working day.</t>
  </si>
  <si>
    <t xml:space="preserve">"We are closed." alone — it gives no time and makes the customer think the email is lost.</t>
  </si>
  <si>
    <t xml:space="preserve">Instead of "We will revert at the earliest", write "We will reply by 11 am on the next working day."</t>
  </si>
  <si>
    <t xml:space="preserve">Thanks for writing to us. We're away right now and will answer by 11 am on our next working day.</t>
  </si>
  <si>
    <t xml:space="preserve">We've got your email. Our support team is back at 9 am on the next working day and will reply by 11 am.</t>
  </si>
  <si>
    <t xml:space="preserve">Thank you for your email. Our support team is currently unavailable, and we will respond by 11:00 am on the next working day.</t>
  </si>
  <si>
    <t xml:space="preserve">If your order has not shipped yet, you can still cancel it in your account under My Orders.</t>
  </si>
  <si>
    <t xml:space="preserve">OK, thanks. · It's urgent, is there a phone number? · Will someone really reply?</t>
  </si>
  <si>
    <t xml:space="preserve">Customer: "It's urgent and I can't wait until tomorrow." → Agent (next morning): "Good morning, Daniel. I'm sorry you had to wait. I'm checking your order now, and I will email you within the hour."</t>
  </si>
  <si>
    <t xml:space="preserve">"At the earliest" and "will be attended" are common in Indian office English. International customers expect a plain sentence with a clear time.</t>
  </si>
  <si>
    <t xml:space="preserve">Voice: a recorded message gives the opening hours. Chat: "We're offline now; leave a message and we'll email you by 11 am." Email: the auto-reply goes out at once.</t>
  </si>
  <si>
    <t xml:space="preserve">Do not promise "by 11 am" in an auto-reply if your team cannot really meet that time on busy days.</t>
  </si>
  <si>
    <t xml:space="preserve">Customer: (emails at 10 pm) My order is wrong. | Agent: (auto-reply) Thanks for your email. Our team is offline right now, and we will reply by 11 am on the next working day. | Customer: (next day) Any update? | Agent: Good morning, Daniel. I'm sorry your order was wrong; I've arranged a replacement.</t>
  </si>
  <si>
    <t xml:space="preserve">Use "I will"/"we will" plus a real time instead of "soon".</t>
  </si>
  <si>
    <t xml:space="preserve">Our team is offline right now, and we will reply ____ 11 am on the next working day at the latest.</t>
  </si>
  <si>
    <t xml:space="preserve">Which line is best for an out-of-hours automatic reply?</t>
  </si>
  <si>
    <t xml:space="preserve">A) Thanks for your email. We are closed at the moment, so please contact us again during office hours. | B) Thank you for contacting us. Your mail will be attended at the earliest by the concerned team. | C) This is an automated message. Do not reply to this email, as this mailbox is not monitored by us. | D) Thanks for your email. Our team is offline right now, and we will reply by 11 am on the next working day.</t>
  </si>
  <si>
    <t xml:space="preserve">D confirms the email arrived and gives a real time. A gives no time and sends the customer away, B sounds polite in Indian office English but "at the earliest" is not a time, and C shuts the door.</t>
  </si>
  <si>
    <t xml:space="preserve">is / right / team / now / Our / offline</t>
  </si>
  <si>
    <t xml:space="preserve">Our team is offline right now.</t>
  </si>
  <si>
    <t xml:space="preserve">Auto-reply likhiye: email ke liye dhanyavaad, hamari team abhi offline hai aur Monday dopahar 12 baje tak jawaab denge.</t>
  </si>
  <si>
    <t xml:space="preserve">Thanks for your email. Our team is offline right now, and we will reply by 12 noon on Monday.</t>
  </si>
  <si>
    <t xml:space="preserve">It's urgent. Is there a phone number?</t>
  </si>
  <si>
    <t xml:space="preserve">Our phone line opens at 9 am, and the number is on our Contact Us page. You can also cancel an order yourself under My Orders.</t>
  </si>
  <si>
    <t xml:space="preserve">Partner A is a manager. Partner B writes an out-of-hours auto-reply with a clear time and one self-help tip; A checks it for a real time and plain words.</t>
  </si>
  <si>
    <t xml:space="preserve">Write a two-line out-of-hours auto-reply for a weekend, saying when the team will reply, and send it as text or a photo for audit.</t>
  </si>
  <si>
    <t xml:space="preserve">Did you confirm the email arrived? · Did you give a real time? · Did you avoid "at the earliest" and "will be attended"?</t>
  </si>
  <si>
    <t xml:space="preserve">CSE-B-015</t>
  </si>
  <si>
    <t xml:space="preserve">I am writing to complain about my late delivery.</t>
  </si>
  <si>
    <t xml:space="preserve">This is the first line of a new email from a customer whose order arrived a week late.</t>
  </si>
  <si>
    <t xml:space="preserve">An email starts with a formal "complain" line. What does the customer want you to understand, and what do you write first?</t>
  </si>
  <si>
    <t xml:space="preserve">i-am-WRY-ting · to-com-PLAIN · a-BOUT-my-LATE-de-LIV-er-y</t>
  </si>
  <si>
    <t xml:space="preserve">If read aloud: writing_to → "wri-ting-tuh" · about_my → "a-bou-my"</t>
  </si>
  <si>
    <t xml:space="preserve">If read aloud: firm and falling; it is a formal statement, not a question.</t>
  </si>
  <si>
    <t xml:space="preserve">If you read the customer's line aloud, "complain" is com-PLAIN with stress on the second part, and "delivery" has a clear "v" (teeth on lip).</t>
  </si>
  <si>
    <t xml:space="preserve">Formal</t>
  </si>
  <si>
    <t xml:space="preserve">Formal, unhappy, serious</t>
  </si>
  <si>
    <t xml:space="preserve">Annoyed and wanting the company to take them seriously.</t>
  </si>
  <si>
    <t xml:space="preserve">"Complain" is a red flag at the top of the email: read everything carefully and apologise for the exact problem.</t>
  </si>
  <si>
    <t xml:space="preserve">मैं अपनी देर से आई डिलीवरी के बारे में शिकायत करने के लिए लिख रहा/रही हूँ।</t>
  </si>
  <si>
    <t xml:space="preserve">Main apni der se aayi delivery ke baare mein shikaayat karne ke liye likh raha/rahi hoon.</t>
  </si>
  <si>
    <t xml:space="preserve">I am unhappy because my order came late, and I want you to know.</t>
  </si>
  <si>
    <t xml:space="preserve">The customer chose a formal, official line to show this is serious. They want an apology, an explanation and often something to make up for it, not a template.</t>
  </si>
  <si>
    <t xml:space="preserve">I am writing to complain about ___.</t>
  </si>
  <si>
    <t xml:space="preserve">I am writing + to + verb + about + noun</t>
  </si>
  <si>
    <t xml:space="preserve">"I am writing to…" is a fixed formal opening that gives the reason for the email.</t>
  </si>
  <si>
    <t xml:space="preserve">The customer is formal, so reply in a calm, respectful tone. A cheerful "Hi there!" or a smiley would sound like you are not taking it seriously.</t>
  </si>
  <si>
    <t xml:space="preserve">✗ Thank you for your feedback! 😊 → ✓ I'm sorry your delivery was late, and thank you for telling us.</t>
  </si>
  <si>
    <t xml:space="preserve">"We have noted your feedback." — a complaint is not feedback, and this line sounds like nothing will happen.</t>
  </si>
  <si>
    <t xml:space="preserve">Instead of "Thank you for your valuable feedback", write "I'm sorry your delivery was a week late."</t>
  </si>
  <si>
    <t xml:space="preserve">I want to make a complaint about my delivery.</t>
  </si>
  <si>
    <t xml:space="preserve">I'm very unhappy that my order arrived late.</t>
  </si>
  <si>
    <t xml:space="preserve">I wish to make a formal complaint regarding the late delivery of my order.</t>
  </si>
  <si>
    <t xml:space="preserve">I'm sorry your delivery was a week late. I've checked your order, and here is what happened.</t>
  </si>
  <si>
    <t xml:space="preserve">I want a refund for the delivery. · This is the second time. · I needed it for an event.</t>
  </si>
  <si>
    <t xml:space="preserve">Customer: "Sorry is not enough." → Agent: "You're right, an apology alone is not enough. I have refunded your delivery charge, and I've reported the delay to our courier partner."</t>
  </si>
  <si>
    <t xml:space="preserve">"I am writing to complain" is standard formal English, not an Indian-English phrase. International customers who use it usually expect a personal reply, so treat it as a formal complaint, not a casual question.</t>
  </si>
  <si>
    <t xml:space="preserve">Voice: "I'm calling to make a complaint." Chat: "I want to complain." Email: the formal line often means the customer may escalate if the reply is weak.</t>
  </si>
  <si>
    <t xml:space="preserve">Do not send a canned "thank you for your feedback" reply to a message that starts with "I am writing to complain".</t>
  </si>
  <si>
    <t xml:space="preserve">Customer: I am writing to complain about my late delivery. | Agent: I'm sorry your order arrived a week late, Ms Clarke. | Customer: I needed it for my son's birthday. | Agent: I understand how disappointing that was. I have refunded the delivery charge.</t>
  </si>
  <si>
    <t xml:space="preserve">Apologise specifically and take responsibility, then offer a fix.</t>
  </si>
  <si>
    <t xml:space="preserve">I am very unhappy, so I am writing to ____ about my late delivery.</t>
  </si>
  <si>
    <t xml:space="preserve">complain</t>
  </si>
  <si>
    <t xml:space="preserve">A customer's email begins "I am writing to complain about my late delivery." What does this line show?</t>
  </si>
  <si>
    <t xml:space="preserve">A) The customer is seriously unhappy and wants the complaint taken seriously. | B) The customer has a simple question and wants a quick, friendly answer. | C) The customer wants to cancel their account and is asking how to do it. | D) The customer is giving friendly feedback and does not expect a reply.</t>
  </si>
  <si>
    <t xml:space="preserve">"Complain" in a formal opening shows real dissatisfaction. B and C do not match what the line says, and D is tempting because companies call it "feedback", but the customer wants action, not thanks.</t>
  </si>
  <si>
    <t xml:space="preserve">complain / to / writing / am / I</t>
  </si>
  <si>
    <t xml:space="preserve">I am writing to complain.</t>
  </si>
  <si>
    <t xml:space="preserve">Customer ki shikaayat ka jawaab dijiye: maafi maangiye ki unka order ek hafte late aaya.</t>
  </si>
  <si>
    <t xml:space="preserve">I'm sorry your order arrived a week late.</t>
  </si>
  <si>
    <t xml:space="preserve">I want my delivery charge back.</t>
  </si>
  <si>
    <t xml:space="preserve">That's fair. I've refunded the delivery charge, and it should reach your card within five working days.</t>
  </si>
  <si>
    <t xml:space="preserve">Partner A writes a short formal complaint about a late delivery. Partner B reads it, says in one line what A feels and wants, then writes the first three lines of a reply.</t>
  </si>
  <si>
    <t xml:space="preserve">Read the customer's line, then write the first three lines of your reply: greeting, specific apology and one action. Send it as text or a photo for audit.</t>
  </si>
  <si>
    <t xml:space="preserve">Did you treat it as a complaint, not feedback? · Did you apologise for the exact problem? · Did you avoid smileys and cheerful openers?</t>
  </si>
  <si>
    <t xml:space="preserve">CSE-B-016</t>
  </si>
  <si>
    <t xml:space="preserve">Please find attached the invoice.</t>
  </si>
  <si>
    <t xml:space="preserve">A customer is asking for a refund on a damaged coffee maker and has added their purchase invoice to the email.</t>
  </si>
  <si>
    <t xml:space="preserve">The customer says a document is with their email. What should you do before you write back?</t>
  </si>
  <si>
    <t xml:space="preserve">PLEASE · FIND-at-TACHED · the-IN-voice</t>
  </si>
  <si>
    <t xml:space="preserve">If read aloud: find_attached → "fain-da-tacht" · attached_the → "a-tach-the"</t>
  </si>
  <si>
    <t xml:space="preserve">If read aloud: flat and falling; it is a formal note, not a request for action.</t>
  </si>
  <si>
    <t xml:space="preserve">If you read it aloud, "attached" is a-TACHT (two syllables), not "a-tach-ed"; "invoice" has a clear "v" (top teeth on the lower lip).</t>
  </si>
  <si>
    <t xml:space="preserve">Formal, matter-of-fact</t>
  </si>
  <si>
    <t xml:space="preserve">Organised and expecting the document to be used.</t>
  </si>
  <si>
    <t xml:space="preserve">"Find attached" means "look at the paperclip": open the file before you reply.</t>
  </si>
  <si>
    <t xml:space="preserve">कृपया संलग्न इनवॉइस देखें।</t>
  </si>
  <si>
    <t xml:space="preserve">Kripya sanlagn invoice dekhein.</t>
  </si>
  <si>
    <t xml:space="preserve">I have added the bill to this email; please look at it.</t>
  </si>
  <si>
    <t xml:space="preserve">The customer has already sent what you will need. They expect you to open it and use it, not to ask for it again.</t>
  </si>
  <si>
    <t xml:space="preserve">Please find attached ___.</t>
  </si>
  <si>
    <t xml:space="preserve">Please + find + attached + noun</t>
  </si>
  <si>
    <t xml:space="preserve">"Attached" works like an adjective here: "find the invoice (that is) attached".</t>
  </si>
  <si>
    <t xml:space="preserve">It is formal but normal business English. Reply in a friendly, plain way, and never ask for a document the customer already sent.</t>
  </si>
  <si>
    <t xml:space="preserve">✗ Please share the invoice. (it is already attached) → ✓ Thank you for sending the invoice. I can see you bought the coffee maker on 3 May.</t>
  </si>
  <si>
    <t xml:space="preserve">"Please send your invoice to proceed." — asking again for a file the customer attached shows you did not read the email.</t>
  </si>
  <si>
    <t xml:space="preserve">Instead of "Please send the invoice", write "Thank you for the invoice. I can see your purchase on 3 May."</t>
  </si>
  <si>
    <t xml:space="preserve">I have attached the invoice.</t>
  </si>
  <si>
    <t xml:space="preserve">The invoice is attached.</t>
  </si>
  <si>
    <t xml:space="preserve">Please find the invoice attached for your reference.</t>
  </si>
  <si>
    <t xml:space="preserve">Thank you for sending the invoice. I can see you bought the coffee maker on 3 May, and I'm checking your refund now.</t>
  </si>
  <si>
    <t xml:space="preserve">Can you confirm you got it? · Is that enough proof? · I've also added photos.</t>
  </si>
  <si>
    <t xml:space="preserve">Customer: "I already sent the invoice, why are you asking again?" → Agent: "You're right, and I'm sorry I asked for it again. I've found it now, and I'll confirm your refund by 5 pm today."</t>
  </si>
  <si>
    <t xml:space="preserve">"Please find attached" is a normal formal phrase in both Indian and international business English. The problem is only "the same" in place of the document name.</t>
  </si>
  <si>
    <t xml:space="preserve">Voice: the customer may say "I've emailed you the invoice." Chat: "I've uploaded the invoice." Email: always open the attachment before replying.</t>
  </si>
  <si>
    <t xml:space="preserve">Do not reply "Noted" without checking that the attachment opens and is the right document.</t>
  </si>
  <si>
    <t xml:space="preserve">Customer: My coffee maker broke. Please find attached the invoice. | Agent: Thank you for the invoice. I can see your purchase on 3 May, and I'm sorry the coffee maker broke. | Customer: Great, can I get a refund? | Agent: I'm checking it now, and I'll email you by 5 pm today.</t>
  </si>
  <si>
    <t xml:space="preserve">Use plain words and give one clear next step.</t>
  </si>
  <si>
    <t xml:space="preserve">Please find ____ (starts with a) the invoice.</t>
  </si>
  <si>
    <t xml:space="preserve">attached</t>
  </si>
  <si>
    <t xml:space="preserve">The customer writes "Please find attached the invoice." What should you do first?</t>
  </si>
  <si>
    <t xml:space="preserve">A) Open the attachment and check the purchase details before you reply. | B) Reply asking them to send the invoice again so that you can check it. | C) Close the ticket, because the customer has sent everything you need. | D) Reply asking for a photo of the invoice so that you can see the date.</t>
  </si>
  <si>
    <t xml:space="preserve">The invoice is already in the email. B and D are tempting if you skim the email, but asking again shows you did not read it, and C closes the case before anyone has looked at the invoice.</t>
  </si>
  <si>
    <t xml:space="preserve">attached / find / invoice / Please / the</t>
  </si>
  <si>
    <t xml:space="preserve">Customer ko thanks kahiye invoice bhejne ke liye aur bataiye ki aapko 3 May ki purchase dikh rahi hai.</t>
  </si>
  <si>
    <t xml:space="preserve">Thank you for sending the invoice. I can see your purchase on 3 May.</t>
  </si>
  <si>
    <t xml:space="preserve">Did you get the invoice? I'm not sure it was attached.</t>
  </si>
  <si>
    <t xml:space="preserve">Yes, I received it, thank you. It shows your purchase on 3 May.</t>
  </si>
  <si>
    <t xml:space="preserve">Partner A sends an email with "Please find attached the invoice" and a photo of a bill. Partner B replies confirming the document, one detail from it, and the next step.</t>
  </si>
  <si>
    <t xml:space="preserve">Write a reply to a customer who attached their invoice: confirm you received it, mention one detail from it and give the next step. Send it as text or a photo for audit.</t>
  </si>
  <si>
    <t xml:space="preserve">Did you confirm you received the attachment? · Did you mention a detail from it? · Did you avoid asking for it again?</t>
  </si>
  <si>
    <t xml:space="preserve">CSE-B-017</t>
  </si>
  <si>
    <t xml:space="preserve">Kindly do the needful.</t>
  </si>
  <si>
    <t xml:space="preserve">A customer explains that their address is wrong on an order and ends the email with this line.</t>
  </si>
  <si>
    <t xml:space="preserve">An email ends with a common Indian-English request. What is the customer actually asking you to do?</t>
  </si>
  <si>
    <t xml:space="preserve">KIND-ly · DO-the-NEED-ful</t>
  </si>
  <si>
    <t xml:space="preserve">If read aloud: do_the → "doo-the" · the_needful → "the-need-ful"</t>
  </si>
  <si>
    <t xml:space="preserve">If read aloud: flat and falling; it is a polite closing request.</t>
  </si>
  <si>
    <t xml:space="preserve">If you read the line aloud, say "the" with a soft "th" (tongue between the teeth), not "de".</t>
  </si>
  <si>
    <t xml:space="preserve">Polite, formal request</t>
  </si>
  <si>
    <t xml:space="preserve">Polite and expecting quick action.</t>
  </si>
  <si>
    <t xml:space="preserve">"The needful" is a blank box: the customer has already written what goes in it earlier in the email.</t>
  </si>
  <si>
    <t xml:space="preserve">कृपया जो ज़रूरी है वह कर दीजिए।</t>
  </si>
  <si>
    <t xml:space="preserve">Kripya jo zaroori hai woh kar dijiye.</t>
  </si>
  <si>
    <t xml:space="preserve">Please take whatever action is needed to fix my problem.</t>
  </si>
  <si>
    <t xml:space="preserve">The customer is being polite and expects you to do the obvious next step, which is usually in the lines before. Reply by naming the exact action you took.</t>
  </si>
  <si>
    <t xml:space="preserve">do the needful</t>
  </si>
  <si>
    <t xml:space="preserve">Kindly + do + the + needful</t>
  </si>
  <si>
    <t xml:space="preserve">"The needful" means "what is necessary"; it is a set phrase in Indian English.</t>
  </si>
  <si>
    <t xml:space="preserve">It is polite and normal in Indian English. Do not copy it back; just say clearly what you have done.</t>
  </si>
  <si>
    <t xml:space="preserve">✗ I have change your delivery address. → ✓ I have changed your delivery address to 14 Lake Road.</t>
  </si>
  <si>
    <t xml:space="preserve">"Noted, the needful will be done." — it does not say what you will do, so the customer still does not know if the address is fixed.</t>
  </si>
  <si>
    <t xml:space="preserve">Instead of "We will do the needful", write "I have changed your delivery address to 14 Lake Road."</t>
  </si>
  <si>
    <t xml:space="preserve">Please take the necessary action.</t>
  </si>
  <si>
    <t xml:space="preserve">Please look into this and fix it.</t>
  </si>
  <si>
    <t xml:space="preserve">I would be grateful if you could take the necessary action.</t>
  </si>
  <si>
    <t xml:space="preserve">I have changed your delivery address to 14 Lake Road, and your order is now due to arrive on Thursday.</t>
  </si>
  <si>
    <t xml:space="preserve">Thank you for the quick help. · Please confirm once done. · When will it be delivered now?</t>
  </si>
  <si>
    <t xml:space="preserve">Customer: "Please confirm the needful is done." → Agent: "Yes, it's done. Your order now shows 14 Lake Road as the address, and it is due to arrive on Thursday."</t>
  </si>
  <si>
    <t xml:space="preserve">Many Indian customers use "do the needful" politely; it is a long-standing Indian English phrase. International readers may find it old-fashioned, so agents should switch to naming the action.</t>
  </si>
  <si>
    <t xml:space="preserve">Voice: "Please do the needful" means "please sort it out". Chat: same. Email: reply with the exact action and a confirmation.</t>
  </si>
  <si>
    <t xml:space="preserve">Do not guess the action if the email does not say what is wrong; ask one clear question instead.</t>
  </si>
  <si>
    <t xml:space="preserve">Customer: My address is wrong on order 39054. Kindly do the needful. | Agent: I have changed your delivery address to 14 Lake Road. | Customer: Thank you. When will it come? | Agent: It is due to arrive on Thursday.</t>
  </si>
  <si>
    <t xml:space="preserve">Indian English switch: for "do the needful", say the actual action.</t>
  </si>
  <si>
    <t xml:space="preserve">Kindly do the ____ (ends in -ful).</t>
  </si>
  <si>
    <t xml:space="preserve">needful</t>
  </si>
  <si>
    <t xml:space="preserve">A customer writes about a wrong address and ends with "Kindly do the needful." What do they want?</t>
  </si>
  <si>
    <t xml:space="preserve">A) A form to fill in so that the address can be changed later. | B) A refund, because the order was sent to the wrong address. | C) A call from a manager to discuss the problem with the order. | D) For you to correct the address on their order and confirm it.</t>
  </si>
  <si>
    <t xml:space="preserve">"The needful" points back to the problem in the email, which is the wrong address, so the action is to fix it and confirm. B is tempting because a wrong address can end in a refund, but the customer has not asked for one, and A and C add steps nobody requested.</t>
  </si>
  <si>
    <t xml:space="preserve">address / changed / your / I / delivery / have</t>
  </si>
  <si>
    <t xml:space="preserve">I have changed your delivery address.</t>
  </si>
  <si>
    <t xml:space="preserve">Customer ko bataiye ki aapne unka phone number update kar diya hai.</t>
  </si>
  <si>
    <t xml:space="preserve">I have updated your phone number on the account.</t>
  </si>
  <si>
    <t xml:space="preserve">Thanks. Will I get a tracking link for the new address?</t>
  </si>
  <si>
    <t xml:space="preserve">Yes, I will email you the tracking link today. The courier now shows delivery on Thursday.</t>
  </si>
  <si>
    <t xml:space="preserve">Partner A writes a short email about a wrong billing name ending in "Kindly do the needful." Partner B replies by naming the exact action taken, without copying the phrase.</t>
  </si>
  <si>
    <t xml:space="preserve">Write a reply to a customer whose email ends "Kindly do the needful" after asking to change their delivery date; name the exact action you took. Send it as text or a photo for audit.</t>
  </si>
  <si>
    <t xml:space="preserve">Did you find the real request in the email? · Did you name the exact action? · Did you avoid copying "do the needful" back, as international customers may not expect it?</t>
  </si>
  <si>
    <t xml:space="preserve">CSE-B-018</t>
  </si>
  <si>
    <t xml:space="preserve">Further to my previous email, I still have not received my refund.</t>
  </si>
  <si>
    <t xml:space="preserve">A customer wrote last week about a refund and is now writing again because the money has not arrived.</t>
  </si>
  <si>
    <t xml:space="preserve">The customer points back to an earlier email. What should you check before you reply?</t>
  </si>
  <si>
    <t xml:space="preserve">FUR-ther-to-my-PRE-vi-ous-EE-mail · i-STILL-have-NOT · re-CEIVED-my-REE-fund</t>
  </si>
  <si>
    <t xml:space="preserve">If read aloud: further_to → "fur-ther-tuh" · still_have → "sti-lhav"</t>
  </si>
  <si>
    <t xml:space="preserve">If read aloud: firm and falling, with stress on "still" and "not".</t>
  </si>
  <si>
    <t xml:space="preserve">If you read it aloud, "further" has a soft "th" in the middle (tongue between the teeth), not "fur-der".</t>
  </si>
  <si>
    <t xml:space="preserve">Formal, impatient, firm</t>
  </si>
  <si>
    <t xml:space="preserve">Impatient and losing trust because nothing has happened.</t>
  </si>
  <si>
    <t xml:space="preserve">"Further to" is a finger pointing back: scroll down and read the first email before you type a word.</t>
  </si>
  <si>
    <t xml:space="preserve">मेरे पिछले ईमेल के संदर्भ में, मुझे अभी तक मेरा रिफ़ंड नहीं मिला है।</t>
  </si>
  <si>
    <t xml:space="preserve">Mere pichhle email ke sandarbh mein, mujhe abhi tak mera refund nahin mila hai.</t>
  </si>
  <si>
    <t xml:space="preserve">I wrote to you before, and I am writing again because my money has still not come back.</t>
  </si>
  <si>
    <t xml:space="preserve">The customer is pointing back to their earlier email. They want you to know the history without explaining again, plus a clear answer with a date.</t>
  </si>
  <si>
    <t xml:space="preserve">Further to my previous email, ___.</t>
  </si>
  <si>
    <t xml:space="preserve">Further to + my + previous + noun + , + statement</t>
  </si>
  <si>
    <t xml:space="preserve">"Further to" is a formal way to say "about what I wrote before".</t>
  </si>
  <si>
    <t xml:space="preserve">"Still" shows impatience. Reply with an apology for the wait and a real date; a fresh template that asks them to explain again will make them angrier.</t>
  </si>
  <si>
    <t xml:space="preserve">✗ Please share your issue in detail. → ✓ I'm sorry your refund hasn't arrived yet. I've checked your first email and the refund status.</t>
  </si>
  <si>
    <t xml:space="preserve">"Please raise a new request." — it ignores the history and makes the customer start again.</t>
  </si>
  <si>
    <t xml:space="preserve">Instead of "Please explain your issue", write "I'm sorry you're still waiting. I've read your first email and checked your refund."</t>
  </si>
  <si>
    <t xml:space="preserve">I'm writing again about my refund, which I still haven't received.</t>
  </si>
  <si>
    <t xml:space="preserve">Following up on my last email: the refund has not reached me yet.</t>
  </si>
  <si>
    <t xml:space="preserve">With reference to my earlier email, I wish to inform you that I have not yet received my refund.</t>
  </si>
  <si>
    <t xml:space="preserve">I'm sorry you're still waiting. Your refund was sent on 2 June, and it should reach your card by 9 June.</t>
  </si>
  <si>
    <t xml:space="preserve">That's what you said last time. · Can you send proof it was sent? · Why does it take so long?</t>
  </si>
  <si>
    <t xml:space="preserve">Customer: "That's what you said last time." → Agent: "I understand why you're frustrated. Here is the refund reference number, RF-57340, which your bank can use to trace the payment. I'll check again on 9 June and email you."</t>
  </si>
  <si>
    <t xml:space="preserve">"Further to" is used in both Indian and international formal email. It always means the customer has written before, so read the whole thread first.</t>
  </si>
  <si>
    <t xml:space="preserve">Voice: "I called last week about my refund." Chat: "I already asked about this yesterday." Email: the earlier message is usually below, so scroll down.</t>
  </si>
  <si>
    <t xml:space="preserve">Do not reply with the same answer as last time without new information; give a date, a reference number or an action.</t>
  </si>
  <si>
    <t xml:space="preserve">Customer: Further to my previous email, I still have not received my refund. | Agent: I'm sorry you're still waiting. It was sent on 2 June and should reach your card by 9 June. | Customer: Can you prove it was sent? | Agent: Yes, the refund reference number is RF-57340.</t>
  </si>
  <si>
    <t xml:space="preserve">Follow-ups: treat it as the same issue, not a new one; give a real time.</t>
  </si>
  <si>
    <t xml:space="preserve">____ to my previous email, I still have not received my refund.</t>
  </si>
  <si>
    <t xml:space="preserve">Further</t>
  </si>
  <si>
    <t xml:space="preserve">Your system shows this as a new ticket with no history, but the email begins "Further to my previous email, …". What should you do first?</t>
  </si>
  <si>
    <t xml:space="preserve">A) Treat it as a new request and ask the customer to explain the problem from the start. | B) Reply with the usual refund steps from the help centre and close the ticket. | C) Wait until the customer writes a third time before you look into the refund. | D) Find the customer's earlier email, read it and check the refund before you reply.</t>
  </si>
  <si>
    <t xml:space="preserve">"Further to" points back to an earlier email, so find it and check the refund before you answer. A is tempting because the ticket looks new in your system, but it makes the customer start again; B ignores the history and C leaves them waiting longer.</t>
  </si>
  <si>
    <t xml:space="preserve">received / have / my / not / I / refund / still</t>
  </si>
  <si>
    <t xml:space="preserve">I still have not received my refund.</t>
  </si>
  <si>
    <t xml:space="preserve">Customer se maafi maangiye ki woh abhi bhi refund ka intezaar kar rahe hain, aur date bataiye.</t>
  </si>
  <si>
    <t xml:space="preserve">I'm sorry you're still waiting. Your refund should reach your card by 9 June.</t>
  </si>
  <si>
    <t xml:space="preserve">Can you send proof that it was sent?</t>
  </si>
  <si>
    <t xml:space="preserve">Yes. The refund reference number is RF-57340; your bank can use it to trace the payment.</t>
  </si>
  <si>
    <t xml:space="preserve">Partner A sends a second email starting "Further to my previous email" about a missing replacement. Partner B reads the history and replies with an apology, the status and a date.</t>
  </si>
  <si>
    <t xml:space="preserve">Write a reply to a customer who writes "Further to my previous email, I still have not received my replacement." Include an apology, the status and a date. Send it as text or a photo for audit.</t>
  </si>
  <si>
    <t xml:space="preserve">Did you read the earlier email first? · Did you apologise for the wait? · Did you give a real date or reference?</t>
  </si>
  <si>
    <t xml:space="preserve">CSE-B-019</t>
  </si>
  <si>
    <t xml:space="preserve">I look forward to your reply.</t>
  </si>
  <si>
    <t xml:space="preserve">A customer ends an email asking whether a sofa can be delivered on a Sunday.</t>
  </si>
  <si>
    <t xml:space="preserve">An email ends with a polite formal closing. What does the customer expect from you, and how soon?</t>
  </si>
  <si>
    <t xml:space="preserve">i-LOOK-FOR-ward · to-your-re-PLY</t>
  </si>
  <si>
    <t xml:space="preserve">If read aloud: look_forward → "loo-kfor-ward" · forward_to → "for-wer-duh"</t>
  </si>
  <si>
    <t xml:space="preserve">If read aloud: polite and falling; it is a closing line, not a question.</t>
  </si>
  <si>
    <t xml:space="preserve">If you read it aloud, "forward" is FOR-wud with a soft "w" (rounded lips, no teeth), not "for-vard".</t>
  </si>
  <si>
    <t xml:space="preserve">Polite, formal closing</t>
  </si>
  <si>
    <t xml:space="preserve">2</t>
  </si>
  <si>
    <t xml:space="preserve">Calm and expecting a clear answer soon.</t>
  </si>
  <si>
    <t xml:space="preserve">"Look forward" means the customer is looking at the door, waiting for your reply to walk in.</t>
  </si>
  <si>
    <t xml:space="preserve">मैं आपके जवाब का इंतज़ार कर रहा/रही हूँ।</t>
  </si>
  <si>
    <t xml:space="preserve">Main aapke jawaab ka intezaar kar raha/rahi hoon.</t>
  </si>
  <si>
    <t xml:space="preserve">I am waiting for you to answer this email.</t>
  </si>
  <si>
    <t xml:space="preserve">It is a polite formal ending, not a complaint. The customer simply expects a clear answer to their question within a normal time.</t>
  </si>
  <si>
    <t xml:space="preserve">I look forward to ___.</t>
  </si>
  <si>
    <t xml:space="preserve">I look forward + to + noun / verb-ing</t>
  </si>
  <si>
    <t xml:space="preserve">After "look forward to", use a noun or an -ing verb: "to your reply" or "to hearing from you".</t>
  </si>
  <si>
    <t xml:space="preserve">It is polite and neutral, not pushy. Reply to the actual question; there is no need to copy this line back.</t>
  </si>
  <si>
    <t xml:space="preserve">✗ I look forward to hear from you. → ✓ I look forward to hearing from you.</t>
  </si>
  <si>
    <t xml:space="preserve">"Noted." as the whole reply — it does not answer the question the customer is waiting on.</t>
  </si>
  <si>
    <t xml:space="preserve">Instead of "Noted, will check", write "I've checked, and we can deliver your sofa this Sunday between 9 am and 1 pm."</t>
  </si>
  <si>
    <t xml:space="preserve">Hope to hear from you soon.</t>
  </si>
  <si>
    <t xml:space="preserve">Waiting for your answer.</t>
  </si>
  <si>
    <t xml:space="preserve">I look forward to hearing from you at your earliest convenience.</t>
  </si>
  <si>
    <t xml:space="preserve">Thanks for your question. I've checked, and we can deliver your sofa this Sunday between 9 am and 1 pm.</t>
  </si>
  <si>
    <t xml:space="preserve">Thanks for the quick reply. · Great, please book it. · Can you do the morning?</t>
  </si>
  <si>
    <t xml:space="preserve">Customer: "I'm still waiting for a reply." → Agent: "I'm sorry you had to wait for a reply. I've checked, and Sunday delivery is possible; shall I book this Sunday between 9 am and 1 pm?"</t>
  </si>
  <si>
    <t xml:space="preserve">"I look forward to your reply" is standard formal English everywhere, so there is no switch to make when you read it. The slip to avoid in your own writing is "look forward to hear"; the standard form is "look forward to hearing".</t>
  </si>
  <si>
    <t xml:space="preserve">Voice: "I'll wait for your call." Chat: rare. Email: a normal formal ending; answer the question in the first line of your reply.</t>
  </si>
  <si>
    <t xml:space="preserve">Do not read this line as urgent or angry; it is a standard polite ending.</t>
  </si>
  <si>
    <t xml:space="preserve">Customer: Can you deliver the sofa on Sunday? I look forward to your reply. | Agent: Yes, I've checked, and we can deliver it this Sunday between 9 am and 1 pm. | Customer: Great, please book it. | Agent: Done. You'll get a confirmation text on Saturday.</t>
  </si>
  <si>
    <t xml:space="preserve">Email body: answer clearly and give one clear next step.</t>
  </si>
  <si>
    <t xml:space="preserve">I look forward ____ your reply.</t>
  </si>
  <si>
    <t xml:space="preserve">A customer ends with "I look forward to your reply." What does this show?</t>
  </si>
  <si>
    <t xml:space="preserve">A) The customer is angry and wants a manager to reply to the email. | B) The customer wants a phone call instead of an email reply. | C) The customer is cancelling the order and wants it confirmed. | D) It is a polite formal ending; the customer expects a clear answer.</t>
  </si>
  <si>
    <t xml:space="preserve">It is a standard polite ending that expects an answer. A is tempting because the line is formal, but there is no anger in it, and B and C say something the line never says.</t>
  </si>
  <si>
    <t xml:space="preserve">forward / I / reply / to / look / your</t>
  </si>
  <si>
    <t xml:space="preserve">Customer ke sawaal ka jawaab dijiye: sawaal ke liye dhanyavaad, haan, hum Saturday ko delivery kar sakte hain.</t>
  </si>
  <si>
    <t xml:space="preserve">Thanks for your question. Yes, we can deliver on Saturday.</t>
  </si>
  <si>
    <t xml:space="preserve">Great, please book it for the morning.</t>
  </si>
  <si>
    <t xml:space="preserve">Done. I have booked your sofa for this Sunday between 9 am and 1 pm, and you will get a confirmation email today.</t>
  </si>
  <si>
    <t xml:space="preserve">Partner A emails asking if a fridge can be installed on the same day as delivery, ending "I look forward to your reply." Partner B answers the question in the first line and gives the next step.</t>
  </si>
  <si>
    <t xml:space="preserve">Write a reply to a customer who asks about Sunday delivery and ends "I look forward to your reply." Answer in the first line. Send it as text or a photo for audit.</t>
  </si>
  <si>
    <t xml:space="preserve">Did you answer the question in the first line? · Did you give a day and time? · Did you avoid a one-word "Noted" reply?</t>
  </si>
  <si>
    <t xml:space="preserve">CSE-B-020</t>
  </si>
  <si>
    <t xml:space="preserve">This is my second email about this.</t>
  </si>
  <si>
    <t xml:space="preserve">A customer emailed four days ago about a faulty phone charger that you can see is still under warranty, got no reply, and has written again.</t>
  </si>
  <si>
    <t xml:space="preserve">The customer says they have already written once. What do they feel, and what must your reply start with?</t>
  </si>
  <si>
    <t xml:space="preserve">THIS-is-my-SEC-ond-EE-mail · a-BOUT-THIS</t>
  </si>
  <si>
    <t xml:space="preserve">If read aloud: this_is → "thi-siz" · second_email → "sec-un-dee-mail"</t>
  </si>
  <si>
    <t xml:space="preserve">If read aloud: firm, with strong stress on "second".</t>
  </si>
  <si>
    <t xml:space="preserve">If you read it aloud, "this" uses a soft "th" (tongue between the teeth), not "dis"; "second" ends in a clear "nd".</t>
  </si>
  <si>
    <t xml:space="preserve">Frustrated, firm</t>
  </si>
  <si>
    <t xml:space="preserve">Frustrated and feeling ignored.</t>
  </si>
  <si>
    <t xml:space="preserve">"Second email" is a yellow card: a third email may be a red card, so apologise and act now.</t>
  </si>
  <si>
    <t xml:space="preserve">इस बारे में यह मेरा दूसरा ईमेल है।</t>
  </si>
  <si>
    <t xml:space="preserve">Is baare mein yeh mera doosra email hai.</t>
  </si>
  <si>
    <t xml:space="preserve">I already wrote to you about this problem, and nobody answered.</t>
  </si>
  <si>
    <t xml:space="preserve">The customer feels ignored. They need an apology for the missed reply, proof you have read the first email, and an action with a time.</t>
  </si>
  <si>
    <t xml:space="preserve">This is my ___ email about ___.</t>
  </si>
  <si>
    <t xml:space="preserve">This is + my + ordinal number + noun + about + this</t>
  </si>
  <si>
    <t xml:space="preserve">"Second" here shows the customer has written before; "about this" points to the problem.</t>
  </si>
  <si>
    <t xml:space="preserve">Apologise for the silence first. A reply that ignores the first email or starts "Thank you for contacting us" will feel like nobody is listening.</t>
  </si>
  <si>
    <t xml:space="preserve">✗ Thank you for contacting us. Please describe your issue. → ✓ I'm sorry we didn't reply to your first email. I've read it, and I'm sending a new charger today.</t>
  </si>
  <si>
    <t xml:space="preserve">"We receive many emails, so replies take time." — it blames the workload and tells the customer they are not important.</t>
  </si>
  <si>
    <t xml:space="preserve">Instead of "Due to high volume we could not reply", write "I'm sorry we didn't reply to your first email."</t>
  </si>
  <si>
    <t xml:space="preserve">I already emailed you about this.</t>
  </si>
  <si>
    <t xml:space="preserve">I'm writing again because nobody replied.</t>
  </si>
  <si>
    <t xml:space="preserve">I am writing for the second time regarding this matter, as I have not received a response.</t>
  </si>
  <si>
    <t xml:space="preserve">I'm sorry we didn't reply to your first email. I've read it, and I'm sending you a new charger today.</t>
  </si>
  <si>
    <t xml:space="preserve">Finally. · Why did nobody answer? · OK, when will it arrive?</t>
  </si>
  <si>
    <t xml:space="preserve">Customer: "Why did nobody answer me?" → Agent: "You're right to ask. I can see your first email was not answered, and that was our mistake. I'm handling it myself now, and your charger is due to arrive on Wednesday."</t>
  </si>
  <si>
    <t xml:space="preserve">Customers anywhere often write this when they feel ignored, and may escalate next. There is no phrase to translate here; the switch is for agents: skip the template opener and apologise for the silence in plain words.</t>
  </si>
  <si>
    <t xml:space="preserve">Voice: "I've called three times about this." Chat: "I already asked this." Email: find the first email in the thread before replying.</t>
  </si>
  <si>
    <t xml:space="preserve">Do not answer with a template that asks the customer to explain the problem again.</t>
  </si>
  <si>
    <t xml:space="preserve">Customer: This is my second email about this. My charger is still not working. | Agent: I'm sorry we didn't reply to your first email. I'm sending you a new charger today. | Customer: When will it arrive? | Agent: It is due on Wednesday, and I'll email you the tracking link tonight.</t>
  </si>
  <si>
    <t xml:space="preserve">Apologise specifically, take responsibility, then give an action with a time.</t>
  </si>
  <si>
    <t xml:space="preserve">This is my ____ email about this, because nobody answered the first one.</t>
  </si>
  <si>
    <t xml:space="preserve">second</t>
  </si>
  <si>
    <t xml:space="preserve">A customer writes "This is my second email about this." What should your reply start with?</t>
  </si>
  <si>
    <t xml:space="preserve">A) A thank-you for contacting us, then a request for the customer's details. | B) A request to describe the problem again, so that you can open a new ticket. | C) A link to the help centre, so that the customer can find the answer alone. | D) An apology for missing their first email, then an action with a time.</t>
  </si>
  <si>
    <t xml:space="preserve">The customer feels ignored, so apologise for the silence and act. A sounds polite, but it treats the email as new, B makes the customer start again, and C sends them away.</t>
  </si>
  <si>
    <t xml:space="preserve">second / is / This / email / my</t>
  </si>
  <si>
    <t xml:space="preserve">This is my second email.</t>
  </si>
  <si>
    <t xml:space="preserve">Customer se maafi maangiye ki unke pehle email ka jawaab nahin diya gaya, aur bataiye ki aap aaj replacement bhej rahe hain.</t>
  </si>
  <si>
    <t xml:space="preserve">I'm sorry we didn't reply to your first email. I'm sending your replacement today.</t>
  </si>
  <si>
    <t xml:space="preserve">Who can I contact if the charger does not arrive?</t>
  </si>
  <si>
    <t xml:space="preserve">Reply to this email and it will come straight to me. I will check the tracking on Wednesday and write to you if there is a delay.</t>
  </si>
  <si>
    <t xml:space="preserve">Partner A writes a second email about a broken charger after getting no reply. Partner B replies with an apology for the silence, proof they read the first email and an action with a date.</t>
  </si>
  <si>
    <t xml:space="preserve">Write a reply to "This is my second email about this." about a missing refund: apologise for the silence, show you read the first email and give a date. Send it as text or a photo for audit.</t>
  </si>
  <si>
    <t xml:space="preserve">Did you apologise for the missed reply? · Did you show you read the first email? · Did you give an action with a time?</t>
  </si>
  <si>
    <t xml:space="preserve">CSE-I-001</t>
  </si>
  <si>
    <t xml:space="preserve">Hi David, thank you for your email. I understand that your order 52817 arrived without the charger, and you'd like one sent to you as soon as possible.</t>
  </si>
  <si>
    <t xml:space="preserve">A customer has emailed to say his new laptop came without its charger, and you are writing the first lines of your reply.</t>
  </si>
  <si>
    <t xml:space="preserve">A customer's email is long and a bit angry. Before you offer any fix, what should the first lines of your reply show him?</t>
  </si>
  <si>
    <t xml:space="preserve">hi DA-vid · THANK you for your E-mail · i un-der-STAND that your OR-der · ar-RIVED with-OUT the CHAR-ger · you'd LIKE one SENT to you · as SOON as POS-si-ble</t>
  </si>
  <si>
    <t xml:space="preserve">If read aloud: thank_you → "thang-kyoo" · arrived_without → "a-rive-dwith-out" · sent_to_you → "sen-tuh-yoo"</t>
  </si>
  <si>
    <t xml:space="preserve">If read aloud: a small pause after "email", a level or slightly rising tone on "charger" because the sentence is not finished, then a clear fall on "possible" to show you have the full picture.</t>
  </si>
  <si>
    <t xml:space="preserve">If read aloud: "without" starts with rounded lips for "w" (not teeth on lip, "vithout"), and its "th" is soft with the tongue between the teeth, not a hard "d".</t>
  </si>
  <si>
    <t xml:space="preserve">Attentive, reassuring</t>
  </si>
  <si>
    <t xml:space="preserve">Annoyed that a new product is incomplete and worried he will have to explain it all again.</t>
  </si>
  <si>
    <t xml:space="preserve">Think of a doctor who repeats your symptoms back before writing the prescription: you trust the medicine because you know she listened.</t>
  </si>
  <si>
    <t xml:space="preserve">नमस्ते डेविड, आपके ईमेल के लिए धन्यवाद। मैं समझता/समझती हूँ कि आपका ऑर्डर 52817 बिना चार्जर के पहुँचा, और आप चाहते हैं कि आपको एक चार्जर जल्द से जल्द भेज दिया जाए।</t>
  </si>
  <si>
    <t xml:space="preserve">Namaste David, aapke email ke liye dhanyavaad. Main samajhta/samajhti hoon ki aapka order 52817 bina charger ke pahuncha, aur aap chahte hain ki aapko ek charger jald se jald bhej diya jaaye.</t>
  </si>
  <si>
    <t xml:space="preserve">Thanks for writing, David. Your order came without the charger, and you want us to send it quickly. I understand the problem.</t>
  </si>
  <si>
    <t xml:space="preserve">Restating the problem in one sentence proves you read the whole email and lets the customer correct you before you act. It also prevents a second email that starts "As I already said…".</t>
  </si>
  <si>
    <t xml:space="preserve">I understand that ___, and you'd like ___.</t>
  </si>
  <si>
    <t xml:space="preserve">I understand that + past simple (what happened) + and you'd like + object + past participle</t>
  </si>
  <si>
    <t xml:space="preserve">"Arrived" is past simple for what happened; "you'd like" is a polite way to say what the customer wants.</t>
  </si>
  <si>
    <t xml:space="preserve">Naming his exact problem sounds attentive. Starting with "We have received your query regarding the above" sounds like a machine and tells him nothing.</t>
  </si>
  <si>
    <t xml:space="preserve">✗ I understood your problem that charger is not came. → ✓ I understand that your order arrived without the charger.</t>
  </si>
  <si>
    <t xml:space="preserve">"Your query has been noted." It is cold, says nothing about his problem and gives no sign that anyone read the email.</t>
  </si>
  <si>
    <t xml:space="preserve">Instead of "We have received your complaint regarding the above order", say "I understand that your order 52817 arrived without the charger."</t>
  </si>
  <si>
    <t xml:space="preserve">Hi David, thanks for getting in touch. I'm sorry to hear that the charger was missing from order 52817, and I can see you need it quickly.</t>
  </si>
  <si>
    <t xml:space="preserve">Hi David, thank you for writing to us. If I've understood correctly, your laptop arrived but the charger was not in the box.</t>
  </si>
  <si>
    <t xml:space="preserve">Dear Mr Hughes, thank you for your email. I understand that order 52817 was delivered without its charger and that you would like the missing item sent urgently.</t>
  </si>
  <si>
    <t xml:space="preserve">I've checked your order and arranged for a charger to be sent to you today by express delivery, and you will receive a tracking link by email this evening.</t>
  </si>
  <si>
    <t xml:space="preserve">Yes, that's right. · Not exactly, the cable is there but the adapter is missing. · Correct, and I need it before Friday.</t>
  </si>
  <si>
    <t xml:space="preserve">Customer: "I don't need you to repeat my email, just send the charger." → Agent: "Of course. The charger is being sent today, and I'll email you the tracking link this evening."</t>
  </si>
  <si>
    <t xml:space="preserve">Indian business emails often open with "This is with reference to your mail dated…". International customers may not expect this; one plain sentence about their actual problem feels more personal.</t>
  </si>
  <si>
    <t xml:space="preserve">Voice: "So, if I've understood correctly, the charger was missing. Is that right?" Chat: "I can see your charger was missing from order 52817."</t>
  </si>
  <si>
    <t xml:space="preserve">Do not restate a long, sensitive complaint word for word; summarise it in one neutral sentence instead.</t>
  </si>
  <si>
    <t xml:space="preserve">Customer: My laptop came without a charger. Order 52817. | Agent: Hi David, thank you for your email. I understand that your order 52817 arrived without the charger, and you'd like one sent to you as soon as possible. | Customer: Yes, exactly. | Agent: I've arranged for a charger to go out today by express delivery.</t>
  </si>
  <si>
    <t xml:space="preserve">Paraphrase before solving: restate the problem so the customer can confirm it.</t>
  </si>
  <si>
    <t xml:space="preserve">I understand that your order 52817 arrived ____ the charger.</t>
  </si>
  <si>
    <t xml:space="preserve">without</t>
  </si>
  <si>
    <t xml:space="preserve">Which opening line shows the customer most clearly that you read his email?</t>
  </si>
  <si>
    <t xml:space="preserve">A) We have received your email regarding the above matter. | B) Thank you for contacting us. Your query is important to us. | C) I understand that your order 52817 arrived without the charger. | D) Your email has been forwarded to the relevant team for review.</t>
  </si>
  <si>
    <t xml:space="preserve">C names his order and his exact problem. B is tempting because it is polite, but it could be sent to anyone about anything. A and D only report what happened to the email.</t>
  </si>
  <si>
    <t xml:space="preserve">the / arrived / understand / I / your / charger / order / without</t>
  </si>
  <si>
    <t xml:space="preserve">I understand your order arrived without the charger</t>
  </si>
  <si>
    <t xml:space="preserve">Main samajhti hoon ki aapka parcel galat address par pahuncha, aur aap chahte hain ki use dobara bheja jaaye.</t>
  </si>
  <si>
    <t xml:space="preserve">I understand that your parcel was delivered to the wrong address, and you'd like it sent again.</t>
  </si>
  <si>
    <t xml:space="preserve">Yes, that's right. When will the charger arrive?</t>
  </si>
  <si>
    <t xml:space="preserve">It will go out today by express delivery, so you should have it by Thursday. I'll email you the tracking link this evening.</t>
  </si>
  <si>
    <t xml:space="preserve">Partner A writes a three-line complaint email about a missing item. Partner B writes the first two lines of the reply, restating the exact problem and what A wants.</t>
  </si>
  <si>
    <t xml:space="preserve">Write the opening two lines of a reply to a customer whose blender arrived without its lid, and send it as text or a photo for audit.</t>
  </si>
  <si>
    <t xml:space="preserve">Did you use the customer's name? · Did you restate the exact problem in one sentence? · Did you say what the customer wants?</t>
  </si>
  <si>
    <t xml:space="preserve">CSE-I-002</t>
  </si>
  <si>
    <t xml:space="preserve">Your payment was declined because the billing address on the order did not match the address your bank has on file for your card.</t>
  </si>
  <si>
    <t xml:space="preserve">A customer has emailed asking why her online payment failed twice, and you have found the reason in the payment log.</t>
  </si>
  <si>
    <t xml:space="preserve">The customer's payment failed and she does not know why. How do you explain the reason in one clear sentence without blaming her?</t>
  </si>
  <si>
    <t xml:space="preserve">your PAY-ment was de-CLINED · be-CAUSE the BILL-ing ad-DRESS · did NOT MATCH · the ad-DRESS your BANK has on FILE · for your CARD</t>
  </si>
  <si>
    <t xml:space="preserve">If read aloud: was_declined → "wuz-di-KLINED" · address_your → "a-DRESH-yer" · has_on → "ha-zon"</t>
  </si>
  <si>
    <t xml:space="preserve">If read aloud: fall on "declined", a short pause before "because", then a steady fall on "card" so it sounds like a fact, not an accusation.</t>
  </si>
  <si>
    <t xml:space="preserve">If read aloud: say the final "d" in "declined" so it does not sound like the present tense "decline", and finish "match" with a short "ch" and no extra vowel.</t>
  </si>
  <si>
    <t xml:space="preserve">Clear, factual, non-blaming</t>
  </si>
  <si>
    <t xml:space="preserve">Confused and slightly embarrassed that her card was declined.</t>
  </si>
  <si>
    <t xml:space="preserve">Imagine a key that fits the lock but turns the wrong way: everything looks right, but one small detail does not match.</t>
  </si>
  <si>
    <t xml:space="preserve">आपका पेमेंट डिक्लाइन हो गया क्योंकि ऑर्डर पर दिया गया बिलिंग एड्रेस उस एड्रेस से मैच नहीं करता जो आपके बैंक के पास आपके कार्ड के लिए दर्ज है।</t>
  </si>
  <si>
    <t xml:space="preserve">Aapka payment decline ho gaya kyunki order par diya gaya billing address us address se match nahin karta jo aapke bank ke paas aapke card ke liye darj hai.</t>
  </si>
  <si>
    <t xml:space="preserve">The payment failed because the address you typed is different from the address your bank has for your card.</t>
  </si>
  <si>
    <t xml:space="preserve">It gives one specific cause in plain words, so the customer knows exactly what to fix. "Due to technical reasons" leaves her guessing and likely to write again.</t>
  </si>
  <si>
    <t xml:space="preserve">___ was ___ because ___.</t>
  </si>
  <si>
    <t xml:space="preserve">Subject + was + past participle (passive) + because + subject + did not + base verb</t>
  </si>
  <si>
    <t xml:space="preserve">"Was declined" focuses on what happened to the payment, not on who made the mistake.</t>
  </si>
  <si>
    <t xml:space="preserve">The passive "was declined" and the neutral "did not match" describe the problem without saying "you entered the wrong address", which would sound like blame.</t>
  </si>
  <si>
    <t xml:space="preserve">✗ Your payment got declined due to address mismatching issue. → ✓ Your payment was declined because the billing address did not match.</t>
  </si>
  <si>
    <t xml:space="preserve">"Due to some technical issue, your payment failed." It sounds like an excuse and gives her nothing to fix.</t>
  </si>
  <si>
    <t xml:space="preserve">Instead of "You entered the wrong address", say "The billing address on the order did not match the address your bank has on file."</t>
  </si>
  <si>
    <t xml:space="preserve">The payment didn't go through because the billing address on the order was different from the address linked to your card.</t>
  </si>
  <si>
    <t xml:space="preserve">The reason your payment was declined is that the billing address did not match your bank's records.</t>
  </si>
  <si>
    <t xml:space="preserve">Our records show that the payment was declined because the billing address provided did not match the address registered with your card issuer.</t>
  </si>
  <si>
    <t xml:space="preserve">Could you check which address appears on your latest bank statement? Then please use that address as the billing address at checkout.</t>
  </si>
  <si>
    <t xml:space="preserve">Oh, I moved last month. · Which address do I need to use? · But my bank said the card is fine.</t>
  </si>
  <si>
    <t xml:space="preserve">Customer: "My card works everywhere else, so it must be your site." → Agent: "Your card itself is fine. The check that failed compares the address you type with the bank's record, and not every site runs that check."</t>
  </si>
  <si>
    <t xml:space="preserve">Some Indian support emails lean on stock phrases such as "due to technical reasons" or "address mismatching issue". International customers may find a short "because" clause with the real reason easier to follow.</t>
  </si>
  <si>
    <t xml:space="preserve">Voice: say it slowly and pause before "because". Chat: split it: "I've found the reason." then "The billing address didn't match your bank's record."</t>
  </si>
  <si>
    <t xml:space="preserve">Do not give a cause before you have checked the log; if you are not sure yet, say what you are checking and when you will reply.</t>
  </si>
  <si>
    <t xml:space="preserve">Customer: Why does my payment keep failing? | Agent: Your payment was declined because the billing address on the order did not match the address your bank has on file for your card. | Customer: Oh, I moved recently. | Agent: That explains it. If you use the address on your bank statement at checkout, the payment should go through.</t>
  </si>
  <si>
    <t xml:space="preserve">Plain language (ICMI): give the real reason in everyday words, not jargon.</t>
  </si>
  <si>
    <t xml:space="preserve">Your payment was declined because the billing address did not ____ the address your bank has on file.</t>
  </si>
  <si>
    <t xml:space="preserve">match</t>
  </si>
  <si>
    <t xml:space="preserve">Which sentence best explains a failed payment to a customer?</t>
  </si>
  <si>
    <t xml:space="preserve">A) Your payment failed due to technical reasons. Please try again later. | B) You typed the wrong address, so your payment was declined. | C) Your payment was declined because the billing address did not match. | D) Your card was declined. Please contact your bank for more details.</t>
  </si>
  <si>
    <t xml:space="preserve">C gives a specific cause without blame. B is tempting because it is specific, but it blames the customer. A and D give no real reason.</t>
  </si>
  <si>
    <t xml:space="preserve">declined / because / was / payment / the / address / Your / match / did / not / billing</t>
  </si>
  <si>
    <t xml:space="preserve">Your payment was declined because the billing address did not match</t>
  </si>
  <si>
    <t xml:space="preserve">Aapka order late hua kyunki courier company ne galat pin code daala tha.</t>
  </si>
  <si>
    <t xml:space="preserve">Your order was delayed because the courier entered the wrong postcode.</t>
  </si>
  <si>
    <t xml:space="preserve">So what do I need to do now?</t>
  </si>
  <si>
    <t xml:space="preserve">Please update the billing address at checkout to match your bank statement. Your basket is saved, so you won't need to add the items again.</t>
  </si>
  <si>
    <t xml:space="preserve">Partner A emails asking why a discount code did not work. Partner B reads a note (the code expired on 31 March) and writes one sentence explaining the cause, then one next step.</t>
  </si>
  <si>
    <t xml:space="preserve">Write a two-sentence email explaining why a customer's parcel was returned to the warehouse (the address was incomplete), and send it as text or a photo for audit.</t>
  </si>
  <si>
    <t xml:space="preserve">Did you give one specific cause? · Did you avoid blaming the customer? · Did you use "because" with a full clause?</t>
  </si>
  <si>
    <t xml:space="preserve">CSE-I-003</t>
  </si>
  <si>
    <t xml:space="preserve">I've approved a refund of £45.00 for order 61204 today. It should reach the card you paid with within 5 to 7 working days.</t>
  </si>
  <si>
    <t xml:space="preserve">A customer returned a pair of shoes, and the warehouse has confirmed the return, so you can now approve the refund.</t>
  </si>
  <si>
    <t xml:space="preserve">The return has been checked and the money is on its way. What facts must your email give so the customer stops worrying?</t>
  </si>
  <si>
    <t xml:space="preserve">i've ap-PROVED a RE-fund of FOR-ty-five POUNDS · for OR-der six-one-two-oh-FOUR · to-DAY · it should REACH the CARD you PAID with · with-IN FIVE to SEV-en WORK-ing DAYS</t>
  </si>
  <si>
    <t xml:space="preserve">If read aloud: approved_a → "a-proov-da" · refund_of → "ree-fun-dov" · paid_with → "pay-dwith"</t>
  </si>
  <si>
    <t xml:space="preserve">If read aloud: fall on "today", pause, then slow down for the numbers "five to seven working days" so they are heard clearly.</t>
  </si>
  <si>
    <t xml:space="preserve">If read aloud: in the noun "REfund" stress the first syllable; keep the final "d" in "approved" and "paid", and say "working" with rounded lips for "w", not "vorking".</t>
  </si>
  <si>
    <t xml:space="preserve">Clear, reassuring</t>
  </si>
  <si>
    <t xml:space="preserve">Relieved but still unsure when the money will actually arrive.</t>
  </si>
  <si>
    <t xml:space="preserve">A refund email is like a train ticket: it must show the amount, the departure (today) and the arrival time (5 to 7 working days).</t>
  </si>
  <si>
    <t xml:space="preserve">मैंने आज ऑर्डर 61204 के लिए £45.00 का रिफ़ंड मंज़ूर कर दिया है। यह 5 से 7 कामकाजी दिनों में उसी कार्ड में पहुँच जाना चाहिए जिससे आपने पेमेंट किया था।</t>
  </si>
  <si>
    <t xml:space="preserve">Maine aaj order 61204 ke liye £45.00 ka refund manzoor kar diya hai. Yeh 5 se 7 kaamkaaji dinon mein usi card mein pahunch jaana chahiye jisse aapne payment kiya tha.</t>
  </si>
  <si>
    <t xml:space="preserve">We said yes to your refund today. The money should be back on your card in about a week.</t>
  </si>
  <si>
    <t xml:space="preserve">The exact amount, the order number and a time range answer the customer's real questions at once. Without a timeline, the customer has to guess and may write again to ask where the money is.</t>
  </si>
  <si>
    <t xml:space="preserve">I've approved a refund of ___ for ___. It should reach ___ within ___.</t>
  </si>
  <si>
    <t xml:space="preserve">I've + past participle + today · It should + base verb + within + time period</t>
  </si>
  <si>
    <t xml:space="preserve">"Should" means you expect it, but the bank controls the last step, so you do not promise an exact day.</t>
  </si>
  <si>
    <t xml:space="preserve">"Should reach … within 5 to 7 working days" is honest and specific. "It will be credited shortly" sounds vague and invites another email.</t>
  </si>
  <si>
    <t xml:space="preserve">✗ Refund is initiated, you will get it in 5-7 days. → ✓ I've approved a refund of £45.00 for order 61204. It should reach your card within 5 to 7 working days.</t>
  </si>
  <si>
    <t xml:space="preserve">"Your refund has been processed and will be credited shortly." "Shortly" means different things to different people, so the customer cannot plan.</t>
  </si>
  <si>
    <t xml:space="preserve">Instead of "Refund will be done soon, please wait", say "It should reach the card you paid with within 5 to 7 working days."</t>
  </si>
  <si>
    <t xml:space="preserve">Good news: your refund of £45.00 for order 61204 was approved today and should be back on your card within 5 to 7 working days.</t>
  </si>
  <si>
    <t xml:space="preserve">I've refunded £45.00 to the card you used for order 61204. Your bank may take 5 to 7 working days to show it.</t>
  </si>
  <si>
    <t xml:space="preserve">I can confirm that a refund of £45.00 for order 61204 was authorised today. Please allow 5 to 7 working days for the amount to appear on your statement.</t>
  </si>
  <si>
    <t xml:space="preserve">If it has not arrived by 24 May, just reply to this email and I'll check it with our payments team.</t>
  </si>
  <si>
    <t xml:space="preserve">Thank you, that's great. · Why does it take a whole week? · Can you send it to a different card?</t>
  </si>
  <si>
    <t xml:space="preserve">Customer: "Why does it take a week when you took my money in seconds?" → Agent: "I understand. We sent the refund today; the 5 to 7 days is the time your bank needs to process it."</t>
  </si>
  <si>
    <t xml:space="preserve">Indian support emails often use "initiated" and "credited". International customers may find "approved" and "should reach your card" clearer.</t>
  </si>
  <si>
    <t xml:space="preserve">Voice: say the amount and dates slowly and offer to repeat them. Chat: send the amount in one message and the timeline in the next.</t>
  </si>
  <si>
    <t xml:space="preserve">Do not send this before the refund is actually approved in the system; promise only what has happened.</t>
  </si>
  <si>
    <t xml:space="preserve">Customer: Have you received my returned shoes? | Agent: Yes. I've approved a refund of £45.00 for order 61204 today. It should reach the card you paid with within 5 to 7 working days. | Customer: Great, thanks. | Agent: If it hasn't arrived by 24 May, just reply to this email and I'll check it.</t>
  </si>
  <si>
    <t xml:space="preserve">Use "I will" plus a time: give a specific timeline, not "soon" or "shortly".</t>
  </si>
  <si>
    <t xml:space="preserve">It should ____ the card you paid with within 5 to 7 working days.</t>
  </si>
  <si>
    <t xml:space="preserve">reach</t>
  </si>
  <si>
    <t xml:space="preserve">Which line gives the customer the clearest refund update?</t>
  </si>
  <si>
    <t xml:space="preserve">A) Your refund is being processed. You will be notified once the amount is credited. | B) Your refund has been processed and will be credited to your account shortly. | C) I've approved £45.00 today. It should reach your card within 5 to 7 working days. | D) Please allow a few days for the amount to appear, then check your account.</t>
  </si>
  <si>
    <t xml:space="preserve">C gives the amount, the date and a time range. B is tempting because it sounds positive, but "shortly" gives no real timeline. A and D give no time range either.</t>
  </si>
  <si>
    <t xml:space="preserve">refund / approved / I've / today / your</t>
  </si>
  <si>
    <t xml:space="preserve">I've approved your refund today</t>
  </si>
  <si>
    <t xml:space="preserve">Maine aapka ₹2,000 ka refund aaj approve kar diya hai. Yeh 5 se 7 working days mein aapke account mein aa jaana chahiye.</t>
  </si>
  <si>
    <t xml:space="preserve">I've approved your refund of ₹2,000 today. It should reach your account within 5 to 7 working days.</t>
  </si>
  <si>
    <t xml:space="preserve">Will I get a confirmation when it's sent?</t>
  </si>
  <si>
    <t xml:space="preserve">Yes. You'll receive an automatic email with the refund reference today, and you can reply to it if anything looks wrong.</t>
  </si>
  <si>
    <t xml:space="preserve">Partner A asks by email when the refund for a returned kettle will arrive. Partner B replies with the amount, the order number, today's approval and a 5 to 7 working day timeline.</t>
  </si>
  <si>
    <t xml:space="preserve">Write a two-sentence refund confirmation for order 33019 (₹1,250, approved today), and send it as text or a photo for audit.</t>
  </si>
  <si>
    <t xml:space="preserve">Did you give the exact amount and order number? · Did you give a time range? · Did you avoid "shortly" and "soon"?</t>
  </si>
  <si>
    <t xml:space="preserve">CSE-I-004</t>
  </si>
  <si>
    <t xml:space="preserve">To look into this, I'll need a few more details. Could you please send me: 1. your order number, 2. a photo of the damaged item, and 3. the date it was delivered?</t>
  </si>
  <si>
    <t xml:space="preserve">A customer has emailed "my order came broken" with no order number, photo or date, so you cannot open a claim yet.</t>
  </si>
  <si>
    <t xml:space="preserve">The customer's email is missing three things you need. How do you ask for all of them at once, so you don't need three more emails?</t>
  </si>
  <si>
    <t xml:space="preserve">to LOOK in-to THIS · i'll NEED a FEW more DE-tails · could you PLEASE SEND me · your OR-der NUM-ber · a PHO-to of the DAM-aged I-tem · the DATE it was de-LIV-ered</t>
  </si>
  <si>
    <t xml:space="preserve">If read aloud: look_into → "loo-kin-too" · need_a → "nee-da" · send_me → "sen-me"</t>
  </si>
  <si>
    <t xml:space="preserve">If read aloud: a short pause before each number, a slight rise on each item, and a fall on "delivered" to close the list.</t>
  </si>
  <si>
    <t xml:space="preserve">If read aloud: "damaged" ends in a soft "jd" sound (DAM-ijd); do not say "da-maged" with a long "a", and keep the final "d" in "delivered".</t>
  </si>
  <si>
    <t xml:space="preserve">Organised, polite request</t>
  </si>
  <si>
    <t xml:space="preserve">Upset about the broken item and impatient to get it replaced.</t>
  </si>
  <si>
    <t xml:space="preserve">Think of a shopping list on the fridge: one list, three items, one trip to the shop instead of three.</t>
  </si>
  <si>
    <t xml:space="preserve">इसकी जाँच करने के लिए मुझे कुछ और जानकारी चाहिए। क्या आप कृपया मुझे भेज सकते हैं: 1. आपका ऑर्डर नंबर, 2. खराब सामान की फ़ोटो, और 3. डिलीवरी की तारीख?</t>
  </si>
  <si>
    <t xml:space="preserve">Iski jaanch karne ke liye mujhe kuch aur jaankari chahiye. Kya aap kripya mujhe bhej sakte hain: 1. aapka order number, 2. kharab saamaan ki photo, aur 3. delivery ki taareekh?</t>
  </si>
  <si>
    <t xml:space="preserve">I need three things from you to check this: your order number, a picture of the broken item and the delivery date.</t>
  </si>
  <si>
    <t xml:space="preserve">A numbered list lets the customer answer everything in one reply. Asking one question per email turns a simple claim into a long back-and-forth.</t>
  </si>
  <si>
    <t xml:space="preserve">Could you please send me: 1. ___, 2. ___, and 3. ___?</t>
  </si>
  <si>
    <t xml:space="preserve">To + base verb (purpose), I'll need + noun · Could you please + base verb + me + list?</t>
  </si>
  <si>
    <t xml:space="preserve">"To look into this" gives the reason first, so the request does not feel like paperwork for its own sake.</t>
  </si>
  <si>
    <t xml:space="preserve">Giving the reason and numbering the items sounds helpful. "Share the details" is unclear because the customer does not know which details you mean.</t>
  </si>
  <si>
    <t xml:space="preserve">✗ Please share the required details for further process. → ✓ Could you please send me: 1. your order number, 2. a photo of the damaged item, and 3. the date it was delivered?</t>
  </si>
  <si>
    <t xml:space="preserve">"Please provide complete details." It does not say which details, so the customer guesses and you still cannot help.</t>
  </si>
  <si>
    <t xml:space="preserve">Instead of "Your complaint cannot be processed without details", say "To look into this, I'll need a few more details."</t>
  </si>
  <si>
    <t xml:space="preserve">So that I can open a claim, could you reply with: 1. your order number, 2. a photo of the damage, and 3. the delivery date?</t>
  </si>
  <si>
    <t xml:space="preserve">I'd be glad to help. To get started, please send me these three things: your order number, a clear photo of the item, and the date it arrived.</t>
  </si>
  <si>
    <t xml:space="preserve">In order to process your claim, could you please provide the following: 1. your order number, 2. a photograph of the damaged item, and 3. the date of delivery?</t>
  </si>
  <si>
    <t xml:space="preserve">Thank you for sending those. I've opened a claim for order 40917, and I'll email you the outcome by 5 pm tomorrow.</t>
  </si>
  <si>
    <t xml:space="preserve">I don't have the order number, can you find it with my email? · Here is the photo, it came on Monday. · Why do you need a photo?</t>
  </si>
  <si>
    <t xml:space="preserve">Customer: "Why do you need a photo? Just send a new one." → Agent: "I understand. The photo shows our team exactly what was damaged, so I can deal with your claim faster and you won't need to explain it again."</t>
  </si>
  <si>
    <t xml:space="preserve">Indian business emails often ask the reader to "share the details". International customers may not expect this; naming each item in a numbered list is clearer.</t>
  </si>
  <si>
    <t xml:space="preserve">Voice: ask for one item at a time and confirm each. Chat: send the list in one message, each item on a new line.</t>
  </si>
  <si>
    <t xml:space="preserve">Do not ask for details you can already see in your system, such as the order number linked to their email address.</t>
  </si>
  <si>
    <t xml:space="preserve">Customer: My mixer came broken. | Agent: I'm sorry to hear that. To look into this, I'll need a few more details. Could you please send me: 1. your order number, 2. a photo of the damaged item, and 3. the date it was delivered? | Customer: Order 40917, photo attached, delivered Monday. | Agent: Thank you. I've opened a claim for order 40917 and will email you the outcome by 5 pm tomorrow.</t>
  </si>
  <si>
    <t xml:space="preserve">Email body: use plain words and number the items so the customer can answer in one reply.</t>
  </si>
  <si>
    <t xml:space="preserve">To look into this, I'll ____ (starts with n) a few more details.</t>
  </si>
  <si>
    <t xml:space="preserve">need</t>
  </si>
  <si>
    <t xml:space="preserve">You need three pieces of information to open a claim. Which email line works best?</t>
  </si>
  <si>
    <t xml:space="preserve">A) Please share the required details so that we can process your complaint further. | B) Please send me your order number so that I can look up your account for you. | C) Could you please send me: 1. your order number, 2. a photo, and 3. the delivery date? | D) We need some more information before we can proceed further in this matter.</t>
  </si>
  <si>
    <t xml:space="preserve">C names all three items, so one reply covers everything. D is tempting because it sounds polite, but it does not say what is needed; B asks for only one item, and A does not say which details are needed.</t>
  </si>
  <si>
    <t xml:space="preserve">details / I'll / few / need / a / more</t>
  </si>
  <si>
    <t xml:space="preserve">I'll need a few more details</t>
  </si>
  <si>
    <t xml:space="preserve">Kya aap mujhe apna account number aur bill ki photo bhej sakte hain?</t>
  </si>
  <si>
    <t xml:space="preserve">Could you please send me your account number and a photo of the bill?</t>
  </si>
  <si>
    <t xml:space="preserve">I can't find the order number anywhere.</t>
  </si>
  <si>
    <t xml:space="preserve">That's fine. Could you tell me the email address you used to order? I can find it from there.</t>
  </si>
  <si>
    <t xml:space="preserve">Partner A emails "my headphones don't work" with no other information. Partner B writes a reply that gives a reason and asks for exactly three numbered details.</t>
  </si>
  <si>
    <t xml:space="preserve">Write an email asking a customer for three missing details about a wrong-size shoe order, as a numbered list, and send it as text or a photo for audit.</t>
  </si>
  <si>
    <t xml:space="preserve">Did you say why you need the details? · Did you number each item? · Did you ask only for things you cannot already see?</t>
  </si>
  <si>
    <t xml:space="preserve">CSE-I-005</t>
  </si>
  <si>
    <t xml:space="preserve">I'm sorry that your booking confirmation showed the wrong dates. I've corrected them to 12 to 15 June and attached the new confirmation to this email.</t>
  </si>
  <si>
    <t xml:space="preserve">A hotel-booking customer emailed to say her confirmation showed March instead of June, and you have already fixed it.</t>
  </si>
  <si>
    <t xml:space="preserve">The mistake is fixed before you reply. What two things should the customer read in your first two sentences?</t>
  </si>
  <si>
    <t xml:space="preserve">i'm SOR-ry that your BOOK-ing con-fir-MA-tion · showed the WRONG DATES · i've cor-REC-ted them · to the TWELFTH · to the fif-TEENTH of JUNE · and at-TACHED the NEW con-fir-MA-tion · to this E-mail</t>
  </si>
  <si>
    <t xml:space="preserve">If read aloud: wrong_dates → "rong-dates" (no "g" sound) · June_and → "joo-nand" · attached_the → "a-tacht-the"</t>
  </si>
  <si>
    <t xml:space="preserve">If read aloud: a soft fall on "dates" for a sincere apology, a short pause, then a confident fall on "email".</t>
  </si>
  <si>
    <t xml:space="preserve">If read aloud: "attached" ends in a "t" sound (a-TACHT), not "a-tach-ed"; "wrong" starts with rounded lips and has no hard "g" at the end.</t>
  </si>
  <si>
    <t xml:space="preserve">Worried her holiday booking is wrong and annoyed at the error.</t>
  </si>
  <si>
    <t xml:space="preserve">Sorry plus done: like a waiter who says "I'm sorry, wrong dish" while already placing the right plate on your table.</t>
  </si>
  <si>
    <t xml:space="preserve">मुझे खेद है कि आपकी बुकिंग की पुष्टि में गलत तारीखें दिखीं। मैंने उन्हें सुधारकर 12 से 15 जून कर दिया है और नई पुष्टि इस ईमेल के साथ लगा दी है।</t>
  </si>
  <si>
    <t xml:space="preserve">Mujhe khed hai ki aapki booking ki pushti mein galat taareekhen dikhin. Maine unhen sudhaarkar 12 se 15 June kar diya hai aur nayi pushti is email ke saath laga di hai.</t>
  </si>
  <si>
    <t xml:space="preserve">Sorry, the dates on your booking were wrong. I have already changed them to 12 to 15 June, and the new confirmation is attached to this email.</t>
  </si>
  <si>
    <t xml:space="preserve">The apology names the exact mistake, and the next sentence shows it is already fixed, so the customer has nothing left to chase. A general "sorry for the inconvenience" with no action sounds like a template.</t>
  </si>
  <si>
    <t xml:space="preserve">I'm sorry that ___. I've ___ and ___.</t>
  </si>
  <si>
    <t xml:space="preserve">I'm sorry that + past simple · I've + past participle + and + past participle</t>
  </si>
  <si>
    <t xml:space="preserve">Present perfect "I've corrected" shows the fix is finished now, which is what the customer cares about.</t>
  </si>
  <si>
    <t xml:space="preserve">Naming the mistake and the fix sounds responsible. "We regret the inconvenience caused" sounds distant and does not say what went wrong.</t>
  </si>
  <si>
    <t xml:space="preserve">✗ Sorry for inconvenience caused, dates are corrected. → ✓ I'm sorry that your booking confirmation showed the wrong dates. I've corrected them to 12 to 15 June.</t>
  </si>
  <si>
    <t xml:space="preserve">"We regret the inconvenience caused to you." It does not name the mistake, take responsibility or say what was done.</t>
  </si>
  <si>
    <t xml:space="preserve">Instead of "Sorry for the inconvenience", say "I'm sorry that your booking confirmation showed the wrong dates. I've corrected them to 12 to 15 June."</t>
  </si>
  <si>
    <t xml:space="preserve">I'm sorry we sent you a confirmation with the wrong dates. Your stay is now booked for 12 to 15 June, and the corrected confirmation is attached.</t>
  </si>
  <si>
    <t xml:space="preserve">Thank you for spotting this, and I'm sorry for the mistake. I've changed your booking to 12 to 15 June; the updated confirmation is attached.</t>
  </si>
  <si>
    <t xml:space="preserve">Please accept my apologies for the incorrect dates on your booking confirmation. Your reservation has been amended to 12 to 15 June, and the revised confirmation is attached.</t>
  </si>
  <si>
    <t xml:space="preserve">Could you check the attached confirmation and reply if anything else needs changing?</t>
  </si>
  <si>
    <t xml:space="preserve">Thanks, that looks right now. · Is the room type still the same? · How did this happen in the first place?</t>
  </si>
  <si>
    <t xml:space="preserve">Customer: "How did you get the dates wrong in the first place?" → Agent: "That was our mistake, and I'm sorry. I don't know yet how it happened, but I've checked every other detail on your booking and they are all correct."</t>
  </si>
  <si>
    <t xml:space="preserve">"Sorry for the inconvenience caused" is a common fixed phrase in Indian support emails. International customers may read it as a template; naming the actual mistake sounds sincere.</t>
  </si>
  <si>
    <t xml:space="preserve">Voice: "I'm sorry about the wrong dates. I've fixed them while we were talking." Chat: send the apology, then the fix, as two short messages.</t>
  </si>
  <si>
    <t xml:space="preserve">Do not say "I've corrected it" unless the change is saved in the system; if it is still in progress, say when it will be done.</t>
  </si>
  <si>
    <t xml:space="preserve">Customer: My confirmation says March, not June! | Agent: I'm sorry that your booking confirmation showed the wrong dates. I've corrected them to 12 to 15 June and attached the new confirmation to this email. | Customer: Thank you, that looks right. | Agent: You're welcome. We look forward to having you with us in June.</t>
  </si>
  <si>
    <t xml:space="preserve">Apologise specifically and take responsibility, then say what you have done to fix it.</t>
  </si>
  <si>
    <t xml:space="preserve">I'm sorry that your booking confirmation showed the wrong dates. I've corrected them to 12 to 15 June and ____ (attach) the new confirmation to this email.</t>
  </si>
  <si>
    <t xml:space="preserve">The customer's booking had the wrong dates, and you have fixed it. Which reply is best?</t>
  </si>
  <si>
    <t xml:space="preserve">A) We are sorry for any inconvenience this may have caused you. | B) We regret the error. Please check your booking again later. | C) I'm sorry the dates were wrong. I've corrected them to 12 to 15 June. | D) This was a system error, not our fault. The dates should be right now.</t>
  </si>
  <si>
    <t xml:space="preserve">C names the mistake, takes responsibility and shows it is already fixed. A is tempting because it is a common phrase, but it is vague and offers no action. D blames the system instead of apologising, and B leaves the customer to check the booking.</t>
  </si>
  <si>
    <t xml:space="preserve">dates / I've / the / corrected / booking / on / your</t>
  </si>
  <si>
    <t xml:space="preserve">I've corrected the dates on your booking</t>
  </si>
  <si>
    <t xml:space="preserve">Mujhe khed hai ki aapko galat size ka joota mila. Maine sahi size aaj bhej diya hai.</t>
  </si>
  <si>
    <t xml:space="preserve">I'm sorry that you received shoes in the wrong size. I've sent you the right size today.</t>
  </si>
  <si>
    <t xml:space="preserve">Is my room type still the same?</t>
  </si>
  <si>
    <t xml:space="preserve">Yes, your sea-view double room hasn't changed. Only the dates were corrected.</t>
  </si>
  <si>
    <t xml:space="preserve">Partner A emails that an invoice shows the wrong company name. Partner B writes a reply that apologises for that exact mistake and says the corrected invoice is attached.</t>
  </si>
  <si>
    <t xml:space="preserve">Write a two-sentence apology email for sending a customer the wrong colour of phone case, saying what you have already done, and send it as text or a photo for audit.</t>
  </si>
  <si>
    <t xml:space="preserve">Did you name the exact mistake? · Did you say what you have already done? · Did you avoid "sorry for the inconvenience"?</t>
  </si>
  <si>
    <t xml:space="preserve">CSE-I-006</t>
  </si>
  <si>
    <t xml:space="preserve">I'm writing to let you know that your order 70315 has been delayed by three days. It is now due to arrive on Thursday, 18 April, and I'll send you the tracking link as soon as it ships.</t>
  </si>
  <si>
    <t xml:space="preserve">Your warehouse has told you an order will ship late, and the customer does not know yet.</t>
  </si>
  <si>
    <t xml:space="preserve">You know about a delay before the customer does. What must your email say about the new date and what you will do next?</t>
  </si>
  <si>
    <t xml:space="preserve">i'm WRI-ting to let you KNOW · your OR-der · has been de-LAYED by THREE DAYS · it's NOW due to ar-RIVE on THURS-day · the eigh-TEENTH of A-pril · i'll SEND you the TRACK-ing LINK · as SOON as it SHIPS</t>
  </si>
  <si>
    <t xml:space="preserve">If read aloud: let_you → "let-choo" · due_to → "dyoo-tuh" · as_soon_as_it → "az-soo-na-zit"</t>
  </si>
  <si>
    <t xml:space="preserve">If read aloud: fall on "three days", pause, then slow down for "Thursday, 18 April" so the date is clear.</t>
  </si>
  <si>
    <t xml:space="preserve">If read aloud: "Thursday" starts with "th", the tongue lightly between the teeth, not "Tursday"; "three" is "th-ree", not "tree".</t>
  </si>
  <si>
    <t xml:space="preserve">Proactive, honest, reassuring</t>
  </si>
  <si>
    <t xml:space="preserve">Not yet aware; likely disappointed when reading it but glad to be told early.</t>
  </si>
  <si>
    <t xml:space="preserve">Like a pilot announcing a delay before you ask: bad news, but you trust the airline more because they told you first.</t>
  </si>
  <si>
    <t xml:space="preserve">मैं आपको बताने के लिए लिख रहा/रही हूँ कि आपका ऑर्डर 70315 तीन दिन देर से आएगा। अब यह गुरुवार, 18 अप्रैल को पहुँचेगा, और भेजे जाते ही मैं आपको ट्रैकिंग लिंक भेज दूँगा/दूँगी।</t>
  </si>
  <si>
    <t xml:space="preserve">Main aapko batane ke liye likh raha/rahi hoon ki aapka order 70315 teen din der se aayega. Ab yeh guruvaar, 18 April ko pahunchega, aur bheje jaate hi main aapko tracking link bhej doonga/doongi.</t>
  </si>
  <si>
    <t xml:space="preserve">Your order will come three days late. The new delivery day is Thursday, 18 April, and I will send you a link to follow it when it leaves.</t>
  </si>
  <si>
    <t xml:space="preserve">Telling the customer before they have to ask keeps their trust. A new date and a promised next step turn bad news into a plan they can work with.</t>
  </si>
  <si>
    <t xml:space="preserve">I'm writing to let you know that ___. It is now due to ___ on ___.</t>
  </si>
  <si>
    <t xml:space="preserve">has been + past participle (present perfect passive) · be due to + base verb · as soon as + present simple</t>
  </si>
  <si>
    <t xml:space="preserve">"As soon as it ships" uses the present simple even though it talks about the future.</t>
  </si>
  <si>
    <t xml:space="preserve">Clear and early sounds honest. Hiding the delay or writing "there may be a slight delay due to unavoidable circumstances" sounds like an excuse.</t>
  </si>
  <si>
    <t xml:space="preserve">✗ Your order will be delayed by three days, it will deliver on Thursday. → ✓ Your order has been delayed by three days. It is now due to arrive on Thursday.</t>
  </si>
  <si>
    <t xml:space="preserve">"Due to unavoidable circumstances, delivery may be delayed." It gives no new date and sounds like you are hiding the reason.</t>
  </si>
  <si>
    <t xml:space="preserve">Instead of "Your order is stuck and will not come on time", say "It is now due to arrive on Thursday, 18 April."</t>
  </si>
  <si>
    <t xml:space="preserve">I'm sorry to say that order 70315 is running three days late. The new delivery date is Thursday, 18 April, and I'll email the tracking link once it leaves our warehouse.</t>
  </si>
  <si>
    <t xml:space="preserve">A quick update on order 70315: it will arrive three days later than planned, on Thursday, 18 April. I'll send tracking details as soon as it is dispatched.</t>
  </si>
  <si>
    <t xml:space="preserve">Please note that order 70315 has been delayed by three days. The revised delivery date is Thursday, 18 April, and tracking details will follow once the order has been dispatched.</t>
  </si>
  <si>
    <t xml:space="preserve">If Thursday is too late for you, please reply and tell me the date you need it by. I'll check the options and email you today.</t>
  </si>
  <si>
    <t xml:space="preserve">Thanks for letting me know. · I needed it for a birthday on Wednesday! · Why is it late?</t>
  </si>
  <si>
    <t xml:space="preserve">Customer: "I need it by Wednesday, this is useless." → Agent: "I understand, and I'm sorry it will be late for you. I'll check with the warehouse whether express delivery can get it to you by Wednesday, and I'll email you by 3 pm today."</t>
  </si>
  <si>
    <t xml:space="preserve">Some delay notices say "We regret to inform you…" or "Kindly bear with us". International customers may find "I'm writing to let you know…" plus a new date and a next step more useful.</t>
  </si>
  <si>
    <t xml:space="preserve">Voice: "I'm calling to let you know your order is running three days late." Chat: "Quick update: your order will now arrive on Thursday, 18 April."</t>
  </si>
  <si>
    <t xml:space="preserve">Do not give a new date unless the warehouse or courier has confirmed it; otherwise say when you will have a date.</t>
  </si>
  <si>
    <t xml:space="preserve">Agent: I'm writing to let you know that your order 70315 has been delayed by three days. It is now due to arrive on Thursday, 18 April. | Customer: Thanks for telling me. Why is it late? | Agent: Our supplier delivered the stock late, so it left our warehouse later than planned. | Customer: OK, Thursday is fine.</t>
  </si>
  <si>
    <t xml:space="preserve">Use "I will" plus a time: tell the customer about a delay early, with a new date and the next step.</t>
  </si>
  <si>
    <t xml:space="preserve">I'm writing to ____ you know that your order 70315 has been delayed by three days.</t>
  </si>
  <si>
    <t xml:space="preserve">let</t>
  </si>
  <si>
    <t xml:space="preserve">Your customer's order will be three days late. Which line is the best way to start the email?</t>
  </si>
  <si>
    <t xml:space="preserve">A) Due to unavoidable circumstances, there may be a slight delay to your order. | B) I'm writing to let you know that your order has been delayed by three days. | C) Sorry, your order is going to be late. We will let you know more soon. | D) We are not responsible for courier delays, so please contact the courier.</t>
  </si>
  <si>
    <t xml:space="preserve">B is clear, polite and says how long the delay is. A is tempting because it sounds formal, but it gives no detail and sounds like an excuse. C and D give no new date either.</t>
  </si>
  <si>
    <t xml:space="preserve">delayed / order / has / days / your / been / three / by</t>
  </si>
  <si>
    <t xml:space="preserve">Your order has been delayed by three days</t>
  </si>
  <si>
    <t xml:space="preserve">Aapki booking do din aage badh gayi hai. Nayi date somvaar, 5 May hai.</t>
  </si>
  <si>
    <t xml:space="preserve">Your booking has been postponed by two days. The new date is Monday, 5 May.</t>
  </si>
  <si>
    <t xml:space="preserve">Can I still cancel if Thursday doesn't work?</t>
  </si>
  <si>
    <t xml:space="preserve">Yes, of course. Just reply to this email before it ships, and I'll cancel the order and refund you in full.</t>
  </si>
  <si>
    <t xml:space="preserve">Partner B learns a sofa delivery will be one week late. B writes the delay email to Partner A with the new date and a next step; A replies with one question.</t>
  </si>
  <si>
    <t xml:space="preserve">Write a three-sentence email telling a customer their course start date has moved from 2 to 9 June, with the next step, and send it as text or a photo for audit.</t>
  </si>
  <si>
    <t xml:space="preserve">Did you say how long the delay is? · Did you give the new date? · Did you say what you will do next?</t>
  </si>
  <si>
    <t xml:space="preserve">CSE-I-007</t>
  </si>
  <si>
    <t xml:space="preserve">Returned items need to be unused and in their original box, because we sell them again as new.</t>
  </si>
  <si>
    <t xml:space="preserve">A customer asks why her return was refused after she had used a hair dryer for a week.</t>
  </si>
  <si>
    <t xml:space="preserve">A customer does not understand why a return was refused. How do you explain the rule so it sounds fair, not like "rules are rules"?</t>
  </si>
  <si>
    <t xml:space="preserve">re-TURNED I-tems · NEED to be un-USED · and in their o-RIG-i-nal BOX · be-CAUSE we SELL them a-GAIN as NEW</t>
  </si>
  <si>
    <t xml:space="preserve">If read aloud: need_to → "nee-tuh" · in_their → "in-thair" · sell_them_again → "sel-tha-ma-gen"</t>
  </si>
  <si>
    <t xml:space="preserve">If read aloud: a steady, calm fall on "box", a short pause, then a gentle fall on "new"; do not speed up on "because".</t>
  </si>
  <si>
    <t xml:space="preserve">If read aloud: "unused" is un-YOOZD, with a "z" sound and a final "d"; "their" starts with a soft "th" (tongue between the teeth), not "dair".</t>
  </si>
  <si>
    <t xml:space="preserve">Calm, fair, explanatory</t>
  </si>
  <si>
    <t xml:space="preserve">Frustrated and feels the refusal is unfair.</t>
  </si>
  <si>
    <t xml:space="preserve">A rule with a "because" is a fence with a sign on the gate: people accept it when they can see why it is there.</t>
  </si>
  <si>
    <t xml:space="preserve">लौटाए गए सामान का इस्तेमाल न हुआ होना और उसका ओरिजिनल डिब्बे में होना ज़रूरी है, क्योंकि हम उसे फिर से नए सामान की तरह बेचते हैं।</t>
  </si>
  <si>
    <t xml:space="preserve">Lautaaye gaye saamaan ka istemaal na hua hona aur uska original dibbe mein hona zaroori hai, kyunki hum use phir se naye saamaan ki tarah bechte hain.</t>
  </si>
  <si>
    <t xml:space="preserve">You can return an item only if you have not used it and it is still in its box, because another customer will buy it as new.</t>
  </si>
  <si>
    <t xml:space="preserve">It states the rule in everyday words and gives the real reason behind it, so the customer sees it is not personal. "As per our policy" hides the reason and sounds like a wall.</t>
  </si>
  <si>
    <t xml:space="preserve">___ need to be ___, because ___.</t>
  </si>
  <si>
    <t xml:space="preserve">Subject + need to be + adjective + because + reason (present simple)</t>
  </si>
  <si>
    <t xml:space="preserve">Present simple ("we sell them") describes a rule that is always true.</t>
  </si>
  <si>
    <t xml:space="preserve">"Because we sell them again as new" sounds fair and open. "As per policy, used items are not accepted" sounds cold and gives no reason.</t>
  </si>
  <si>
    <t xml:space="preserve">✗ As per policy, used product will not be returned. → ✓ Returned items need to be unused and in their original box, because we sell them again as new.</t>
  </si>
  <si>
    <t xml:space="preserve">"It is our policy, we cannot do anything." It hides the reason and ends the conversation without an alternative.</t>
  </si>
  <si>
    <t xml:space="preserve">Instead of "We don't accept used items, that's the rule", say "Returned items need to be unused and in their original box, because we sell them again as new."</t>
  </si>
  <si>
    <t xml:space="preserve">We can take back items that haven't been used and are still in their box, because they go back on sale as new.</t>
  </si>
  <si>
    <t xml:space="preserve">To be resold as new, a returned item needs to be unused and in its original packaging.</t>
  </si>
  <si>
    <t xml:space="preserve">Items may be returned if they are unused and in their original packaging, as they are resold as new.</t>
  </si>
  <si>
    <t xml:space="preserve">If the dryer has stopped working properly, though, it is covered by the one-year warranty. Could you tell me what is wrong with it?</t>
  </si>
  <si>
    <t xml:space="preserve">But I only used it twice. · That's not written anywhere on your site. · OK, what can I do instead?</t>
  </si>
  <si>
    <t xml:space="preserve">Customer: "I only used it twice, it's basically new." → Agent: "I understand. Once an item is used, we can't sell it as new. If it isn't working properly, though, I can arrange a warranty repair for you."</t>
  </si>
  <si>
    <t xml:space="preserve">"As per policy" is a familiar phrase in Indian business English. International customers may not expect it and can read it as a refusal to explain; a plain reason works better.</t>
  </si>
  <si>
    <t xml:space="preserve">Voice: say it slowly and follow straight away with what you can do. Chat: one line for the rule, one line for the option.</t>
  </si>
  <si>
    <t xml:space="preserve">Do not use it when the item is faulty; then the warranty or a faulty-goods return applies, not the unused-item rule.</t>
  </si>
  <si>
    <t xml:space="preserve">Customer: Why was my return refused? | Agent: Returned items need to be unused and in their original box, because we sell them again as new. | Customer: But it stopped working after a week. | Agent: In that case the one-year warranty should cover it. I'll check your warranty and email you the repair options today.</t>
  </si>
  <si>
    <t xml:space="preserve">Returned items need to be unused and in their original box, because we ____ them again as new.</t>
  </si>
  <si>
    <t xml:space="preserve">sell</t>
  </si>
  <si>
    <t xml:space="preserve">A customer asks why a used item cannot be returned. Which reply explains the rule best?</t>
  </si>
  <si>
    <t xml:space="preserve">A) As per our policy, used items cannot be returned under any circumstances. | B) Returned items need to be unused, because we sell them again as new. | C) You should have read the terms and conditions before you bought it. | D) The system does not accept returns of used items, so I cannot help.</t>
  </si>
  <si>
    <t xml:space="preserve">B gives the rule and the reason in plain words. A is tempting because agents often say it, but it hides the reason. C blames the customer and D blames the system.</t>
  </si>
  <si>
    <t xml:space="preserve">unused / need / items / be / to / Returned</t>
  </si>
  <si>
    <t xml:space="preserve">Returned items need to be unused</t>
  </si>
  <si>
    <t xml:space="preserve">Ticket cancel karne ke liye 24 ghante pehle batana zaroori hai, kyunki hum seat kisi aur ko de sakte hain.</t>
  </si>
  <si>
    <t xml:space="preserve">Tickets need to be cancelled 24 hours in advance, because we can then offer the seat to someone else.</t>
  </si>
  <si>
    <t xml:space="preserve">So what can I do with it now?</t>
  </si>
  <si>
    <t xml:space="preserve">If it is working properly, it's yours to keep and enjoy. If it isn't, I can arrange a free warranty repair for you.</t>
  </si>
  <si>
    <t xml:space="preserve">Partner A asks by email why opened software cannot be refunded. Partner B explains the rule in one plain sentence with a reason, then offers one alternative.</t>
  </si>
  <si>
    <t xml:space="preserve">Write a short email explaining why gift cards cannot be exchanged for cash, giving the reason in plain words, and send it as text or a photo for audit.</t>
  </si>
  <si>
    <t xml:space="preserve">Did you avoid the word "policy"? · Did you give the real reason? · Did you offer what you can do next?</t>
  </si>
  <si>
    <t xml:space="preserve">CSE-I-008</t>
  </si>
  <si>
    <t xml:space="preserve">I'm sorry, the blue jacket is now sold out. What I can offer instead is either a full refund or the jacket in black, sent free of charge. Please let me know which you'd prefer.</t>
  </si>
  <si>
    <t xml:space="preserve">A customer wants to exchange a jacket for a blue one in a larger size, but blue is sold out in every size.</t>
  </si>
  <si>
    <t xml:space="preserve">The customer asked for something you cannot give. How do you write the "no" so the email ends with choices, not a dead end?</t>
  </si>
  <si>
    <t xml:space="preserve">i'm SOR-ry · the BLUE JACK-et is now SOLD OUT · what i CAN of-fer in-STEAD · is EI-ther a FULL RE-fund · or the JACK-et in BLACK · sent FREE of CHARGE · please LET me KNOW · which you'd pre-FER</t>
  </si>
  <si>
    <t xml:space="preserve">If read aloud: sold_out → "sohl-dout" · can_offer → "ka-noffer" · let_me_know → "lemme-know"</t>
  </si>
  <si>
    <t xml:space="preserve">If read aloud: a soft fall on "sold out", a pause, then a rise on "refund" and a fall on "black" to present two choices.</t>
  </si>
  <si>
    <t xml:space="preserve">If read aloud: the "th" in "either" is soft, with the tongue between the teeth, not a "d" (then, not den); say the "t" at the end of "out" in "sold out" clearly.</t>
  </si>
  <si>
    <t xml:space="preserve">Regretful, helpful, solution-focused</t>
  </si>
  <si>
    <t xml:space="preserve">Disappointed that the item they wanted is not available.</t>
  </si>
  <si>
    <t xml:space="preserve">A closed door with two open windows beside it: say the door is shut, then point straight at the windows.</t>
  </si>
  <si>
    <t xml:space="preserve">मुझे खेद है, नीली जैकेट अब बिक चुकी है। इसके बदले मैं आपको पूरा रिफ़ंड या काली जैकेट मुफ़्त में भेजने का विकल्प दे सकता/सकती हूँ। कृपया बताइए कि आप कौन सा पसंद करेंगे।</t>
  </si>
  <si>
    <t xml:space="preserve">Mujhe khed hai, neeli jacket ab bik chuki hai. Iske badle main aapko poora refund ya kaali jacket muft mein bhejne ka vikalp de sakta/sakti hoon. Kripya bataiye ki aap kaun sa pasand karenge.</t>
  </si>
  <si>
    <t xml:space="preserve">Sorry, we have no blue jackets left. You can have your money back or a black one, and we will pay for delivery. Tell me which you want.</t>
  </si>
  <si>
    <t xml:space="preserve">It gives the reason (sold out) and then leads with what you can do, so the customer still feels in control. Ending with a choice moves the conversation forward instead of stopping at "no".</t>
  </si>
  <si>
    <t xml:space="preserve">What I can offer instead is either ___ or ___.</t>
  </si>
  <si>
    <t xml:space="preserve">What I can + verb + is + either + noun phrase + or + noun phrase</t>
  </si>
  <si>
    <t xml:space="preserve">"What I can offer instead is…" puts the focus on the solution, not on the refusal.</t>
  </si>
  <si>
    <t xml:space="preserve">Two clear options sound helpful and respectful. "Exchange not possible as item is out of stock" is correct but cold and leaves the customer stuck.</t>
  </si>
  <si>
    <t xml:space="preserve">✗ Blue colour is not available, so exchange is not possible. → ✓ I'm sorry, the blue jacket is now sold out. What I can offer instead is either a full refund or the jacket in black.</t>
  </si>
  <si>
    <t xml:space="preserve">"Sorry, we can't do the exchange." A bare refusal with no option makes the customer argue or leave.</t>
  </si>
  <si>
    <t xml:space="preserve">Instead of "We cannot exchange it because blue is out of stock", say "What I can offer instead is either a full refund or the jacket in black, sent free of charge."</t>
  </si>
  <si>
    <t xml:space="preserve">Unfortunately, the blue jacket has sold out, so I can't exchange it. I can, however, refund you in full or send the black one at no cost. Which would suit you better?</t>
  </si>
  <si>
    <t xml:space="preserve">I'm sorry we can't offer the jacket in blue any more, as it has sold out. Would you like a full refund, or shall I send the black one free of charge?</t>
  </si>
  <si>
    <t xml:space="preserve">I regret that the blue jacket is no longer in stock. As an alternative, I would be happy to offer either a full refund or the jacket in black, with free delivery.</t>
  </si>
  <si>
    <t xml:space="preserve">As soon as you reply, I'll arrange it the same day and send you a confirmation.</t>
  </si>
  <si>
    <t xml:space="preserve">I'll take the black one, thanks. · Just refund me then. · Will blue come back in stock?</t>
  </si>
  <si>
    <t xml:space="preserve">Customer: "Will it come back in stock? I'll wait." → Agent: "Our supplier hasn't given us a date, so I can't promise that. I can sign you up for a back-in-stock email, and you can still choose a refund at any time before then."</t>
  </si>
  <si>
    <t xml:space="preserve">A bare "Exchange not possible" can read as brisk in business English, including Indian business emails. International customers expect the refusal to come with a reason and at least one alternative.</t>
  </si>
  <si>
    <t xml:space="preserve">Voice: give the two options slowly and wait for the choice. Chat: send the "sold out" line first, then the two options in a separate message.</t>
  </si>
  <si>
    <t xml:space="preserve">Do not offer options you have not checked, such as a colour that is also low in stock.</t>
  </si>
  <si>
    <t xml:space="preserve">Customer: Can I swap my jacket for the blue one in size L? | Agent: I'm sorry, the blue jacket is now sold out. What I can offer instead is either a full refund or the jacket in black, sent free of charge. Please let me know which you'd prefer. | Customer: I'll take the black one. | Agent: Great choice. I'll send it today and email you the tracking link.</t>
  </si>
  <si>
    <t xml:space="preserve">Saying no by email: reason, then empathy, then an alternative, then a follow-up.</t>
  </si>
  <si>
    <t xml:space="preserve">What I can offer instead is ____ a full refund or the jacket in black.</t>
  </si>
  <si>
    <t xml:space="preserve">either</t>
  </si>
  <si>
    <t xml:space="preserve">The colour a customer wants is sold out. Which reply is the best way to say no?</t>
  </si>
  <si>
    <t xml:space="preserve">A) Exchange is not possible as the item is out of stock. Thank you for understanding. | B) Sorry, blue is out of stock. Please try again later or check our website. | C) We have many other nice colours on our website. Please choose another one. | D) I'm sorry, blue is sold out. I can offer a full refund or the jacket in black.</t>
  </si>
  <si>
    <t xml:space="preserve">D gives the reason, an apology and two concrete choices. C is tempting because it suggests other options, but it leaves the customer to do all the work. A and B offer no alternative.</t>
  </si>
  <si>
    <t xml:space="preserve">refund / can / a / instead / I / full / you / offer</t>
  </si>
  <si>
    <t xml:space="preserve">I can offer you a full refund instead</t>
  </si>
  <si>
    <t xml:space="preserve">Maaf kijiye, yeh model ab available nahin hai. Main aapko poora refund ya naya model de sakti hoon.</t>
  </si>
  <si>
    <t xml:space="preserve">I'm sorry, this model is no longer available. I can offer you either a full refund or the newer model.</t>
  </si>
  <si>
    <t xml:space="preserve">Can I get the black one in size L?</t>
  </si>
  <si>
    <t xml:space="preserve">Yes, the black jacket is in stock in size L. I'll send it today, free of charge, and email you the tracking link.</t>
  </si>
  <si>
    <t xml:space="preserve">Partner A asks to move a hotel booking to a fully booked weekend. Partner B writes a reply that says no with a reason and offers two other dates.</t>
  </si>
  <si>
    <t xml:space="preserve">Write a reply to a customer who wants a late-night delivery slot that you do not offer; give the reason and two alternatives, and send it as text or a photo for audit.</t>
  </si>
  <si>
    <t xml:space="preserve">Did you give a reason for the "no"? · Did you offer at least two alternatives? · Did you end by asking the customer to choose?</t>
  </si>
  <si>
    <t xml:space="preserve">CSE-I-009</t>
  </si>
  <si>
    <t xml:space="preserve">I've passed your case (ticket 48867) to our senior technical team, as they can check the server records. They will email you an update by 5 pm on Wednesday.</t>
  </si>
  <si>
    <t xml:space="preserve">A customer's account keeps logging him out, the basic fixes did not work, and you have escalated the case; the senior technical team has agreed to reply by 5 pm on Wednesday.</t>
  </si>
  <si>
    <t xml:space="preserve">You have handed the problem to another team. What three things should your email tell the customer about that handover?</t>
  </si>
  <si>
    <t xml:space="preserve">i've PASSED your CASE · to our SEN-ior TECH-ni-cal TEAM · as they can CHECK the SER-ver REC-ords · they will E-mail you an UP-date · by FIVE p-M on WEDNES-day</t>
  </si>
  <si>
    <t xml:space="preserve">If read aloud: passed_your → "pas-chor" · email_you → "ee-may-lyoo" · update_by → "up-day-tby"</t>
  </si>
  <si>
    <t xml:space="preserve">If read aloud: a short pause after "team", a fall on "records" to end the first sentence, then slow down and fall on "Wednesday" so the deadline stands out.</t>
  </si>
  <si>
    <t xml:space="preserve">If read aloud: "Wednesday" is WENZ-day (the first "d" is silent), and "records" as a noun is REC-ords, stress on the first part, not re-CORDS.</t>
  </si>
  <si>
    <t xml:space="preserve">Reassuring, specific, accountable</t>
  </si>
  <si>
    <t xml:space="preserve">Tired of the problem and worried that escalation means more waiting.</t>
  </si>
  <si>
    <t xml:space="preserve">Passing a baton in a relay: say who has it now, why they are faster, and when they will reach the finish line.</t>
  </si>
  <si>
    <t xml:space="preserve">मैंने आपका केस (टिकट 48867) हमारी सीनियर टेक्निकल टीम को भेज दिया है, क्योंकि वे सर्वर के रिकॉर्ड देख सकते हैं। वे बुधवार शाम 5 बजे तक आपको ईमेल से अपडेट देंगे।</t>
  </si>
  <si>
    <t xml:space="preserve">Maine aapka case (ticket 48867) hamari senior technical team ko bhej diya hai, kyunki ve server ke record dekh sakte hain. Ve budhvaar shaam 5 baje tak aapko email se update denge.</t>
  </si>
  <si>
    <t xml:space="preserve">I gave your problem to our expert team because they can look deeper into it. They will write to you by Wednesday at 5 pm.</t>
  </si>
  <si>
    <t xml:space="preserve">It says who has the case, why they are the right people and when the customer will hear back. Without those, "escalated" sounds as if the case has disappeared.</t>
  </si>
  <si>
    <t xml:space="preserve">I've passed your case to ___, as they can ___. They will ___ by ___.</t>
  </si>
  <si>
    <t xml:space="preserve">I've + past participle + to + team, as + they + can + base verb · will + base verb + by + time</t>
  </si>
  <si>
    <t xml:space="preserve">"As" here means "because"; "by 5 pm" means "no later than 5 pm".</t>
  </si>
  <si>
    <t xml:space="preserve">A named team, a reason and a deadline sound in control. "Your issue has been escalated to the concerned team" sounds vague and like the end of your help.</t>
  </si>
  <si>
    <t xml:space="preserve">✗ I have escalated your case to technical team, they will update by Wednesday. → ✓ I've passed your case to our senior technical team. They will email you an update by 5 pm on Wednesday.</t>
  </si>
  <si>
    <t xml:space="preserve">"Your issue has been escalated to the concerned department." It does not say who, why or when, so the customer feels passed around.</t>
  </si>
  <si>
    <t xml:space="preserve">Instead of "This is not in my hands now", say "I've passed your case to our senior technical team, as they can check the server records."</t>
  </si>
  <si>
    <t xml:space="preserve">Our senior technical team is now looking at your case (ticket 48867), because they can see the server records. You'll hear from them by 5 pm on Wednesday.</t>
  </si>
  <si>
    <t xml:space="preserve">I've escalated ticket 48867 to our specialist team, who can investigate the log-out problem in more depth. They'll send you an update by Wednesday at 5 pm.</t>
  </si>
  <si>
    <t xml:space="preserve">Your case (ticket 48867) has been escalated to our senior technical team, who have access to the server records. They will contact you by email with an update no later than 5 pm on Wednesday.</t>
  </si>
  <si>
    <t xml:space="preserve">In the meantime, if you notice anything new, such as the time it happens, please reply to this email and I'll add it to your ticket.</t>
  </si>
  <si>
    <t xml:space="preserve">Thanks, I'll wait for their email. · Why can't you fix it yourself? · What if I don't hear by Wednesday?</t>
  </si>
  <si>
    <t xml:space="preserve">Customer: "Why can't you just fix it?" → Agent: "I'd like to, but only the technical team can see the server records that show why you're being logged out. I'll keep an eye on your ticket until they reply."</t>
  </si>
  <si>
    <t xml:space="preserve">"Escalated to the concerned team" and "they will revert" are common in Indian support emails. International customers may not expect these; name the team and say "they will email you by…".</t>
  </si>
  <si>
    <t xml:space="preserve">Voice: "I'm passing this to our technical team, and they'll call you by Wednesday." Chat: give the ticket number in its own message so it is easy to copy.</t>
  </si>
  <si>
    <t xml:space="preserve">Do not promise a time on another team's behalf unless they have agreed to it.</t>
  </si>
  <si>
    <t xml:space="preserve">Customer: The app is still logging me out every hour. | Agent: I've passed your case (ticket 48867) to our senior technical team, as they can check the server records. They will email you an update by 5 pm on Wednesday. | Customer: What if I don't hear from them? | Agent: Just reply to this email with your ticket number, and I'll chase it for you.</t>
  </si>
  <si>
    <t xml:space="preserve">Use "I will" (or "they will") plus a time: say who has the case, why, and when the customer will hear back.</t>
  </si>
  <si>
    <t xml:space="preserve">They will email you an update ____ 5 pm on Wednesday at the latest.</t>
  </si>
  <si>
    <t xml:space="preserve">You have escalated a case. Which update keeps the customer's trust best?</t>
  </si>
  <si>
    <t xml:space="preserve">A) I've passed your case to our technical team, as they can check the records. They'll email you by 5 pm Wednesday. | B) Your issue has been escalated to the relevant team, and they will look into it and get back to you shortly. | C) Your case is now with another team, so I am unable to help any further. Please wait for them to contact you. | D) The technical team will look into your problem as soon as possible and contact you with an update.</t>
  </si>
  <si>
    <t xml:space="preserve">A says who, why and when. D is tempting because it names the team, but "as soon as possible" gives no real time. B gives no time either, and C ends your help.</t>
  </si>
  <si>
    <t xml:space="preserve">an / will / They / update / you / email</t>
  </si>
  <si>
    <t xml:space="preserve">They will email you an update</t>
  </si>
  <si>
    <t xml:space="preserve">Maine aapki complaint billing team ko bhej di hai. Ve kal dopahar 12 baje tak aapko call karenge.</t>
  </si>
  <si>
    <t xml:space="preserve">I've passed your complaint to our billing team. They will call you by 12 noon tomorrow.</t>
  </si>
  <si>
    <t xml:space="preserve">What if I don't hear from them by Wednesday?</t>
  </si>
  <si>
    <t xml:space="preserve">Just reply to this email with ticket 48867, and I'll follow it up with the team straight away.</t>
  </si>
  <si>
    <t xml:space="preserve">Partner A has a refund that the system will not process. Partner B writes an escalation update naming the team, the reason and a time; A replies asking what happens if the time passes.</t>
  </si>
  <si>
    <t xml:space="preserve">Write a two-sentence escalation update for a delivery claim passed to the courier team, with a reason and a deadline, and send it as text or a photo for audit.</t>
  </si>
  <si>
    <t xml:space="preserve">Did you name the team? · Did you say why they are handling it? · Did you give a specific time?</t>
  </si>
  <si>
    <t xml:space="preserve">CSE-I-010</t>
  </si>
  <si>
    <t xml:space="preserve">I'm just following up on my email of 3 May. Could you send me a photo of the damaged box so that I can complete your claim?</t>
  </si>
  <si>
    <t xml:space="preserve">You asked a customer for a photo a week ago to finish a damage claim, and they have not replied.</t>
  </si>
  <si>
    <t xml:space="preserve">A customer has not answered your request for a week. How do you remind them without sounding as if you are blaming them?</t>
  </si>
  <si>
    <t xml:space="preserve">i'm just FOL-low-ing UP · on my E-mail of the THIRD of MAY · could you SEND me a PHO-to · of the DAM-aged BOX · so that i can com-PLETE your CLAIM</t>
  </si>
  <si>
    <t xml:space="preserve">If read aloud: following_up → "fol-lo-wing-up" · photo_of → "pho-to-wov" · complete_your → "com-plee-chor"</t>
  </si>
  <si>
    <t xml:space="preserve">If read aloud: light and friendly on "following up", then a rise on "claim?" because it is a yes/no request.</t>
  </si>
  <si>
    <t xml:space="preserve">If read aloud: "third" starts with a soft "th" (thin, not tin) and keeps its final "d", not "tird"; "claim" begins with a clear "kl" cluster, with no extra vowel ("ka-laim").</t>
  </si>
  <si>
    <t xml:space="preserve">Friendly, light reminder</t>
  </si>
  <si>
    <t xml:space="preserve">Busy or forgetful; may feel slightly guilty about not replying.</t>
  </si>
  <si>
    <t xml:space="preserve">A gentle tap on the shoulder, not a knock on the door: remind, give the date, and say what you need.</t>
  </si>
  <si>
    <t xml:space="preserve">मैं 3 मई के अपने ईमेल के बारे में याद दिला रहा/रही हूँ। क्या आप मुझे खराब डिब्बे की फ़ोटो भेज सकते हैं ताकि मैं आपका क्लेम पूरा कर सकूँ?</t>
  </si>
  <si>
    <t xml:space="preserve">Main 3 May ke apne email ke baare mein yaad dila raha/rahi hoon. Kya aap mujhe kharab dibbe ki photo bhej sakte hain taaki main aapka claim poora kar sakoon?</t>
  </si>
  <si>
    <t xml:space="preserve">I am writing again about my email from 3 May. Please send the picture of the broken box so I can finish your claim.</t>
  </si>
  <si>
    <t xml:space="preserve">It mentions the earlier email without blame, repeats exactly what is needed and says why it helps the customer. That makes it easy to reply in one step.</t>
  </si>
  <si>
    <t xml:space="preserve">I'm just following up on ___. Could you ___ so that I can ___?</t>
  </si>
  <si>
    <t xml:space="preserve">I'm just + verb-ing + on + noun · Could you + base verb + so that + I can + base verb?</t>
  </si>
  <si>
    <t xml:space="preserve">"So that I can" tells the customer the purpose: their claim moves forward.</t>
  </si>
  <si>
    <t xml:space="preserve">"Just following up" sounds light and friendly. "As you have not replied to my previous mail" sounds like a complaint about the customer.</t>
  </si>
  <si>
    <t xml:space="preserve">✗ I am following up of my last mail, send me photo for complete the claim. → ✓ I'm just following up on my email of 3 May. Could you send me a photo of the damaged box so that I can complete your claim?</t>
  </si>
  <si>
    <t xml:space="preserve">"Reminder 2: you have still not sent the required documents." It sounds like a warning and makes the customer feel blamed.</t>
  </si>
  <si>
    <t xml:space="preserve">Instead of "You have not replied to my last email", say "I'm just following up on my email of 3 May."</t>
  </si>
  <si>
    <t xml:space="preserve">I wanted to check in about my email of 3 May. When you have a moment, could you send a photo of the damaged box? Then I can finish your claim.</t>
  </si>
  <si>
    <t xml:space="preserve">Following up on my last email: I still need a photo of the damaged box to complete your claim. Could you reply with it when you get a chance?</t>
  </si>
  <si>
    <t xml:space="preserve">I am writing to follow up on my email of 3 May. Could you please send a photograph of the damaged box so that I can complete your claim?</t>
  </si>
  <si>
    <t xml:space="preserve">Once I have the photo, I'll review your claim and email you the decision within one working day.</t>
  </si>
  <si>
    <t xml:space="preserve">Sorry, I forgot! Photo attached. · I threw the box away, is that a problem? · I sent it last week, didn't you get it?</t>
  </si>
  <si>
    <t xml:space="preserve">Customer: "I already sent it last week!" → Agent: "Thank you, and I'm sorry for the confusion. I can't see it on your case, so could you reply to this email with it attached again? I'll check it as soon as it arrives."</t>
  </si>
  <si>
    <t xml:space="preserve">"Gentle reminder" and "at the earliest" are common in Indian business emails. International customers may not expect these; "just following up" plus a clear request sounds more natural.</t>
  </si>
  <si>
    <t xml:space="preserve">Voice: "I'm calling to follow up on the photo we asked for." Chat: "Hi Rahul, just checking: were you able to take that photo?"</t>
  </si>
  <si>
    <t xml:space="preserve">Do not send a reminder after only a few hours; give the customer a couple of working days first.</t>
  </si>
  <si>
    <t xml:space="preserve">Agent: I'm just following up on my email of 3 May. Could you send me a photo of the damaged box so that I can complete your claim? | Customer: Sorry, I forgot. Here it is. | Agent: Thank you, that's perfect. I'll review your claim and email you the decision by tomorrow. | Customer: Great, thanks.</t>
  </si>
  <si>
    <t xml:space="preserve">Follow-ups: keep the subject line (with "Re:") and make the one next step clear.</t>
  </si>
  <si>
    <t xml:space="preserve">Could you send me a photo of the damaged box ____ that I can complete your claim?</t>
  </si>
  <si>
    <t xml:space="preserve">so</t>
  </si>
  <si>
    <t xml:space="preserve">A customer has not replied for a week. Which reminder sounds most natural to an international customer?</t>
  </si>
  <si>
    <t xml:space="preserve">A) I'm just following up on my email of 3 May. Could you send me the photo? | B) You have not replied to my previous email, so I cannot continue with your claim. | C) This is the final reminder. Your claim will be closed if we do not hear from you. | D) Please reply to this email as soon as possible so that we can move forward.</t>
  </si>
  <si>
    <t xml:space="preserve">A is light, specific and gives a clear next step. D is tempting because it is polite, but it does not say what is needed or mention the earlier email. B blames the customer, and C sounds like a threat.</t>
  </si>
  <si>
    <t xml:space="preserve">claim / that / your / can / so / complete / I</t>
  </si>
  <si>
    <t xml:space="preserve">so that I can complete your claim</t>
  </si>
  <si>
    <t xml:space="preserve">Main apne pichhle email ke baare mein yaad dila rahi hoon. Kya aap apna bill bhej sakte hain?</t>
  </si>
  <si>
    <t xml:space="preserve">I'm just following up on my last email. Could you send me your bill, please?</t>
  </si>
  <si>
    <t xml:space="preserve">I threw the box away. Is that a problem?</t>
  </si>
  <si>
    <t xml:space="preserve">That's all right. A photo of the damaged item itself should be enough to complete your claim.</t>
  </si>
  <si>
    <t xml:space="preserve">Partner B asked Partner A for a receipt five days ago and heard nothing. B writes a short, friendly reminder; A replies with an excuse and the receipt.</t>
  </si>
  <si>
    <t xml:space="preserve">Write a two-sentence reminder asking a customer for their signed form, mentioning the date of your first email, and send it as text or a photo for audit.</t>
  </si>
  <si>
    <t xml:space="preserve">Did you mention the date of your first email? · Did you say exactly what you need? · Did you avoid blaming the customer?</t>
  </si>
  <si>
    <t xml:space="preserve">CSE-I-011</t>
  </si>
  <si>
    <t xml:space="preserve">As your replacement has now been delivered, I'll close this ticket. If anything else comes up, just reply to this email and we'll pick it up again.</t>
  </si>
  <si>
    <t xml:space="preserve">The courier confirmed the replacement headphones arrived, and the customer has written that everything works.</t>
  </si>
  <si>
    <t xml:space="preserve">The problem is solved and the customer is happy. How do you close the case while showing the door is still open?</t>
  </si>
  <si>
    <t xml:space="preserve">as your re-PLACE-ment has NOW been de-LIV-ered · i'll CLOSE this TICK-et · if ANY-thing ELSE comes UP · just re-PLY to this E-mail · and we'll PICK it UP a-GAIN</t>
  </si>
  <si>
    <t xml:space="preserve">If read aloud: has_now → "ha-znow" · comes_up → "kum-zup" · pick_it_up → "pi-ki-tup"</t>
  </si>
  <si>
    <t xml:space="preserve">If read aloud: a calm fall on "ticket", a short pause, then a warm, slightly higher tone on "If anything else comes up".</t>
  </si>
  <si>
    <t xml:space="preserve">If read aloud: "close" here is a verb with a "z" sound (cloze), not "cloce"; "ticket" has a light English "t", not a heavy retroflex one.</t>
  </si>
  <si>
    <t xml:space="preserve">Warm, final, open door</t>
  </si>
  <si>
    <t xml:space="preserve">Satisfied and relieved that the issue is over.</t>
  </si>
  <si>
    <t xml:space="preserve">Like a shopkeeper pulling the shutter half-down and saying "Knock if you need me": closed, but not locked.</t>
  </si>
  <si>
    <t xml:space="preserve">चूँकि आपका रिप्लेसमेंट अब पहुँच गया है, मैं यह टिकट बंद कर रहा/रही हूँ। अगर कुछ और हो, तो बस इस ईमेल का जवाब दें और हम इसे फिर से देखेंगे।</t>
  </si>
  <si>
    <t xml:space="preserve">Chunki aapka replacement ab pahunch gaya hai, main yeh ticket band kar raha/rahi hoon. Agar kuch aur ho, to bas is email ka jawaab dein aur hum ise phir se dekhenge.</t>
  </si>
  <si>
    <t xml:space="preserve">Your new item has arrived, so I am closing this case. If you need help again, reply to this email.</t>
  </si>
  <si>
    <t xml:space="preserve">It gives the reason for closing, so the customer does not feel cut off, and it explains exactly how to come back. The customer knows the case is finished and that help is easy to reach.</t>
  </si>
  <si>
    <t xml:space="preserve">As ___, I'll close this ticket. If anything else comes up, just ___.</t>
  </si>
  <si>
    <t xml:space="preserve">As + present perfect (reason), I'll + base verb · If + present simple, (just) + imperative</t>
  </si>
  <si>
    <t xml:space="preserve">"As" at the start means "because"; "comes up" means "happens" or "appears".</t>
  </si>
  <si>
    <t xml:space="preserve">The reason and the open door sound caring. "Your ticket is closed" with nothing else feels as if the company wants to stop hearing from them.</t>
  </si>
  <si>
    <t xml:space="preserve">✗ Since issue is resolved, we are closing the ticket. → ✓ As your replacement has now been delivered, I'll close this ticket.</t>
  </si>
  <si>
    <t xml:space="preserve">"Ticket closed. Do not reply to this email." It feels like a door shut in the customer's face.</t>
  </si>
  <si>
    <t xml:space="preserve">Instead of "We are closing your complaint now", say "As your replacement has now been delivered, I'll close this ticket. If anything else comes up, just reply to this email."</t>
  </si>
  <si>
    <t xml:space="preserve">I'm glad your replacement has arrived safely, so I'll mark this case as closed. If you need anything else, simply reply here and we'll be happy to help.</t>
  </si>
  <si>
    <t xml:space="preserve">Since everything is sorted, I'm closing ticket 51102 now. You can reopen it at any time by replying to this email.</t>
  </si>
  <si>
    <t xml:space="preserve">As your replacement has now been delivered, I will close this case. Should you need any further assistance, please reply to this email and we will be glad to help.</t>
  </si>
  <si>
    <t xml:space="preserve">Thank you for choosing [Company], and enjoy your new headphones.</t>
  </si>
  <si>
    <t xml:space="preserve">Thanks for all your help. · Great, all good now. · Actually, there's one more thing.</t>
  </si>
  <si>
    <t xml:space="preserve">Customer: "Wait, I haven't tested it fully yet." → Agent: "Of course. I'll keep the ticket open until Friday. If I don't hear from you by then, I'll close it, and you can still reply to reopen it."</t>
  </si>
  <si>
    <t xml:space="preserve">"Closing the ticket from our end" is a familiar phrase in Indian support emails. International customers may find a short reason plus "just reply if anything else comes up" warmer.</t>
  </si>
  <si>
    <t xml:space="preserve">Voice: summarise the fix, ask "Is there anything else I can help with?", then say goodbye. Chat: "I'll close this chat now. You can message us again at any time."</t>
  </si>
  <si>
    <t xml:space="preserve">Do not close the ticket before the customer confirms the problem is solved.</t>
  </si>
  <si>
    <t xml:space="preserve">Customer: The replacement came today, all working. | Agent: That's great to hear. As your replacement has now been delivered, I'll close this ticket. If anything else comes up, just reply to this email and we'll pick it up again. | Customer: Thanks for your help. | Agent: You're welcome. Enjoy your new headphones.</t>
  </si>
  <si>
    <t xml:space="preserve">Close by summarising what was done, checking it is resolved, and showing how to get help again.</t>
  </si>
  <si>
    <t xml:space="preserve">If anything else comes ____, just reply to this email.</t>
  </si>
  <si>
    <t xml:space="preserve">The problem is solved and the customer is happy. Which closing line is best?</t>
  </si>
  <si>
    <t xml:space="preserve">A) Your replacement has arrived, so I'll close this ticket. If anything else comes up, just reply here. | B) Your ticket has been closed. Please do not reply to this email, as the mailbox is not monitored. | C) Since the issue is resolved, this ticket is now closed. Thank you for contacting [Company] support. | D) Please contact our helpline again if you need any further help with this or any other issue.</t>
  </si>
  <si>
    <t xml:space="preserve">A gives the reason and an easy way back. D is tempting because it offers help, but it sends the customer to start again somewhere else. B shuts the door, and C gives no easy way back.</t>
  </si>
  <si>
    <t xml:space="preserve">now / ticket / I'll / for / close / this / you</t>
  </si>
  <si>
    <t xml:space="preserve">I'll close this ticket for you now</t>
  </si>
  <si>
    <t xml:space="preserve">Aapka refund aa gaya hai, isliye main yeh case band kar rahi hoon. Agar koi aur sawaal ho to is email ka jawaab dijiye.</t>
  </si>
  <si>
    <t xml:space="preserve">As your refund has arrived, I'll close this case. If you have any other questions, just reply to this email.</t>
  </si>
  <si>
    <t xml:space="preserve">Actually, there's one more thing about my invoice.</t>
  </si>
  <si>
    <t xml:space="preserve">Of course. I'll keep this ticket open. What would you like to know about your invoice?</t>
  </si>
  <si>
    <t xml:space="preserve">Partner A confirms by email that the repaired laptop works. Partner B writes the closing email with a reason for closing and how to get help again.</t>
  </si>
  <si>
    <t xml:space="preserve">Write a closing email for a resolved billing complaint (the refund has arrived), giving the reason and how to reopen it, and send it as text or a photo for audit.</t>
  </si>
  <si>
    <t xml:space="preserve">Did you say why you are closing the ticket? · Did you tell the customer how to come back? · Did you wait for the customer to confirm it was solved?</t>
  </si>
  <si>
    <t xml:space="preserve">CSE-I-012</t>
  </si>
  <si>
    <t xml:space="preserve">If you have a minute, I'd be grateful if you could tell us how we did by answering two quick questions in the survey below.</t>
  </si>
  <si>
    <t xml:space="preserve">A customer's issue has been solved, and your company adds a short survey link to the closing email.</t>
  </si>
  <si>
    <t xml:space="preserve">The problem is fixed and you want the customer to rate your help. How do you ask without making it feel like homework?</t>
  </si>
  <si>
    <t xml:space="preserve">if you HAVE a MIN-ute · i'd be GRATE-ful · if you could TELL us how we DID · by AN-swer-ing TWO QUICK QUES-tions · in the SUR-vey be-LOW</t>
  </si>
  <si>
    <t xml:space="preserve">If read aloud: have_a → "ha-va" · could_you → "cud-joo" · tell_us → "tel-lus"</t>
  </si>
  <si>
    <t xml:space="preserve">If read aloud: soft and unhurried, a small pause after "minute", and a gentle fall on "below"; it should sound like a favour, not an order.</t>
  </si>
  <si>
    <t xml:space="preserve">If read aloud: "survey" as a noun is SUR-vey, stress on the first part; "questions" ends in "chunz" with a clear final "z".</t>
  </si>
  <si>
    <t xml:space="preserve">Grateful, low-pressure request</t>
  </si>
  <si>
    <t xml:space="preserve">Satisfied, possibly busy and not keen on long forms.</t>
  </si>
  <si>
    <t xml:space="preserve">Asking for feedback is like asking a guest to sign the visitors' book: small, optional, and you thank them for it.</t>
  </si>
  <si>
    <t xml:space="preserve">अगर आपके पास एक मिनट हो, तो नीचे दिए सर्वे में दो छोटे सवालों के जवाब देकर बताइए कि हमने कैसा काम किया; मैं आभारी रहूँगा/रहूँगी।</t>
  </si>
  <si>
    <t xml:space="preserve">Agar aapke paas ek minute ho, to neeche diye survey mein do chhote sawaalon ke jawaab dekar bataiye ki humne kaisa kaam kiya; main aabhaari rahoonga/rahoongi.</t>
  </si>
  <si>
    <t xml:space="preserve">If you have time, please answer two short questions below to tell us how good our help was.</t>
  </si>
  <si>
    <t xml:space="preserve">"If you have a minute" and "two quick questions" tell the customer it is optional and short, so it feels easy to say yes. A bare "Please fill the feedback form" sounds like a duty.</t>
  </si>
  <si>
    <t xml:space="preserve">If you have a minute, I'd be grateful if you could ___.</t>
  </si>
  <si>
    <t xml:space="preserve">If + present simple, I'd be grateful + if you could + base verb</t>
  </si>
  <si>
    <t xml:space="preserve">"I'd be grateful if you could…" is a soft, polite way to ask for a favour in writing.</t>
  </si>
  <si>
    <t xml:space="preserve">It is optional and honest about the effort. Begging for a top score or writing "Please give 10/10" is pushy and makes the survey results less honest.</t>
  </si>
  <si>
    <t xml:space="preserve">✗ I would be grateful if you can tell us how did we do. → ✓ If you have a minute, I'd be grateful if you could tell us how we did.</t>
  </si>
  <si>
    <t xml:space="preserve">"Please rate us 10 out of 10." It pressures the customer and makes the survey results meaningless.</t>
  </si>
  <si>
    <t xml:space="preserve">Instead of "Fill the feedback form compulsorily", say "If you have a minute, I'd be grateful if you could tell us how we did."</t>
  </si>
  <si>
    <t xml:space="preserve">We'd love to hear how we did. If you have a moment, there's a short two-question survey below.</t>
  </si>
  <si>
    <t xml:space="preserve">Your feedback helps us improve. When you have a minute, could you answer the two quick questions below?</t>
  </si>
  <si>
    <t xml:space="preserve">We would greatly appreciate your feedback. If you have a moment, please answer the two brief questions in the survey below.</t>
  </si>
  <si>
    <t xml:space="preserve">Thank you again for your time, and have a lovely weekend.</t>
  </si>
  <si>
    <t xml:space="preserve">Done, thanks for your help! · Sure, I'll fill it in later. · The link isn't working.</t>
  </si>
  <si>
    <t xml:space="preserve">Customer: "I'm not filling in another survey." → Agent: "That's completely fine, it's optional. Thank you for letting us help you today."</t>
  </si>
  <si>
    <t xml:space="preserve">"Kindly fill the feedback form" is a familiar line in Indian support emails. International customers may find "kindly" old-fashioned and usually prefer a soft, optional request.</t>
  </si>
  <si>
    <t xml:space="preserve">Voice: "You may get a short text survey after this call; if you have a moment, we'd value your feedback." Chat: one short line before the chat closes.</t>
  </si>
  <si>
    <t xml:space="preserve">Do not ask for feedback while the issue is still unresolved or the customer is upset; fix the problem first.</t>
  </si>
  <si>
    <t xml:space="preserve">Customer: Everything works now, thanks. | Agent: I'm glad to hear it. If you have a minute, I'd be grateful if you could tell us how we did by answering two quick questions in the survey below. | Customer: Sure, done. | Agent: Thank you, Ms Gupta. Have a lovely weekend.</t>
  </si>
  <si>
    <t xml:space="preserve">Close only once the issue is resolved; keep any extra request short and optional.</t>
  </si>
  <si>
    <t xml:space="preserve">If you have a minute, I'd be grateful if you could ____ us how we did.</t>
  </si>
  <si>
    <t xml:space="preserve">Which line is the best way to ask a customer for feedback?</t>
  </si>
  <si>
    <t xml:space="preserve">A) Please fill in the feedback form today. It is compulsory for all customers. | B) Please give us 5 stars so that our team receives a good rating. | C) Feedback is mandatory to close your ticket, so please complete the survey now. | D) If you have a minute, I'd be grateful if you could answer two quick questions.</t>
  </si>
  <si>
    <t xml:space="preserve">D is optional, polite and says how short it is. A is tempting because it says "please", but making the form compulsory turns a favour into an order. B and C pressure the customer.</t>
  </si>
  <si>
    <t xml:space="preserve">feedback / be / your / I'd / for / grateful</t>
  </si>
  <si>
    <t xml:space="preserve">I'd be grateful for your feedback</t>
  </si>
  <si>
    <t xml:space="preserve">Agar aapke paas samay ho, to kripya humein bataiye ki aapko hamari service kaisi lagi.</t>
  </si>
  <si>
    <t xml:space="preserve">If you have a moment, I'd be grateful if you could tell us what you thought of our service.</t>
  </si>
  <si>
    <t xml:space="preserve">The survey link isn't opening.</t>
  </si>
  <si>
    <t xml:space="preserve">Sorry about that. You can reply to this email with a line or two instead, and I'll pass it on to the team.</t>
  </si>
  <si>
    <t xml:space="preserve">Partner B has just fixed Partner A's login problem. B writes a closing email that asks for feedback in an optional, short way; A replies that they are too busy.</t>
  </si>
  <si>
    <t xml:space="preserve">Write a two-sentence closing email that thanks a customer and asks for feedback politely, and send it as text or a photo for audit.</t>
  </si>
  <si>
    <t xml:space="preserve">Did you make the request optional? · Did you say how short the survey is? · Did you avoid asking for a particular score?</t>
  </si>
  <si>
    <t xml:space="preserve">CSE-I-013</t>
  </si>
  <si>
    <t xml:space="preserve">I'm checking this with our warehouse team, and I'll get back to you by 4 pm tomorrow with an answer.</t>
  </si>
  <si>
    <t xml:space="preserve">A customer asks whether a wardrobe can be delivered on a Saturday, and you need the warehouse to confirm.</t>
  </si>
  <si>
    <t xml:space="preserve">You cannot answer yet and need to check with another team. How do you promise a reply in a way an international customer understands?</t>
  </si>
  <si>
    <t xml:space="preserve">i'm CHECK-ing this · with our WARE-house TEAM · and i'll get BACK to you · by FOUR p-M to-MOR-row · with an AN-swer</t>
  </si>
  <si>
    <t xml:space="preserve">If read aloud: get_back_to_you → "get-BAK-tuh-yoo" · with_an_answer → "with-a-NAN-ser"</t>
  </si>
  <si>
    <t xml:space="preserve">If read aloud: steady on the first half, a short pause after "team", then a firm fall on "tomorrow" so the deadline sounds like a promise.</t>
  </si>
  <si>
    <t xml:space="preserve">If read aloud: "warehouse" is WAIR-house, with rounded lips for "w", not "vare-house"; "answer" has a silent "w" (AN-ser).</t>
  </si>
  <si>
    <t xml:space="preserve">Confident, committed</t>
  </si>
  <si>
    <t xml:space="preserve">Hopeful but unsure whether anyone will actually reply.</t>
  </si>
  <si>
    <t xml:space="preserve">Say the time, keep the time: "get back to you by 4" is a train with a timetable, while "soon" is a train with none.</t>
  </si>
  <si>
    <t xml:space="preserve">मैं इसे हमारी वेयरहाउस टीम से पता कर रहा/रही हूँ, और कल शाम 4 बजे तक आपको जवाब दे दूँगा/दूँगी।</t>
  </si>
  <si>
    <t xml:space="preserve">Main ise hamari warehouse team se pata kar raha/rahi hoon, aur kal shaam 4 baje tak aapko jawaab de doonga/doongi.</t>
  </si>
  <si>
    <t xml:space="preserve">I am asking our warehouse about this, and I will reply to you before 4 pm tomorrow.</t>
  </si>
  <si>
    <t xml:space="preserve">"Get back to you" is the phrase international customers expect, and "by 4 pm tomorrow" gives a real deadline. The customer can stop worrying and knows when to expect news.</t>
  </si>
  <si>
    <t xml:space="preserve">I'll get back to you by ___ with ___.</t>
  </si>
  <si>
    <t xml:space="preserve">I'm + verb-ing (what you are doing now) + and I'll get back to you + by + time</t>
  </si>
  <si>
    <t xml:space="preserve">"Get back to you" means "reply to you"; "by" means "no later than".</t>
  </si>
  <si>
    <t xml:space="preserve">A named team and a time sound reliable. "Will revert back shortly" may not be clear to international customers, and "shortly" gives no time.</t>
  </si>
  <si>
    <t xml:space="preserve">✗ I am checking with warehouse team and will get back you tomorrow by 4 pm. → ✓ I'll get back to you by 4 pm tomorrow with an answer.</t>
  </si>
  <si>
    <t xml:space="preserve">"We will revert at the earliest." International customers may not know "revert" as "reply", and "at the earliest" sets no deadline.</t>
  </si>
  <si>
    <t xml:space="preserve">Instead of "I will revert back soon", say "I'll get back to you by 4 pm tomorrow with an answer."</t>
  </si>
  <si>
    <t xml:space="preserve">I've asked our warehouse team to confirm this, and I'll reply to you by 4 pm tomorrow.</t>
  </si>
  <si>
    <t xml:space="preserve">Let me check Saturday delivery with our warehouse. You'll have an answer from me by 4 pm tomorrow at the latest.</t>
  </si>
  <si>
    <t xml:space="preserve">I am confirming this with our warehouse team and will respond to you by 4 pm tomorrow.</t>
  </si>
  <si>
    <t xml:space="preserve">In the meantime, could you tell me which Saturday you have in mind, so I can ask about the right date?</t>
  </si>
  <si>
    <t xml:space="preserve">Great, thanks. · Can't you check it now? · 4 pm is fine, I'll wait.</t>
  </si>
  <si>
    <t xml:space="preserve">Customer: "Can't you just check it now?" → Agent: "I wish I could, but Saturday slots are planned by the warehouse, so I need their confirmation. I'll reply by 4 pm tomorrow, or sooner if I hear earlier."</t>
  </si>
  <si>
    <t xml:space="preserve">"Revert" meaning "reply" is listed as Indian English in the Oxford Advanced Learner's Dictionary. International customers may not expect it; "get back to you" or "reply" is the safe switch, and never "revert back".</t>
  </si>
  <si>
    <t xml:space="preserve">Voice: "I'll call you back by 4 pm tomorrow." Chat: "I'll message you here by 4 pm tomorrow, or email you if the chat has closed."</t>
  </si>
  <si>
    <t xml:space="preserve">Do not promise a time you cannot control; if you do not know, say when you will next update the customer.</t>
  </si>
  <si>
    <t xml:space="preserve">Customer: Can you deliver the wardrobe on a Saturday? | Agent: I'm checking this with our warehouse team, and I'll get back to you by 4 pm tomorrow with an answer. | Customer: OK, thanks. | Agent: You're welcome. Could you tell me which Saturday you have in mind?</t>
  </si>
  <si>
    <t xml:space="preserve">Indian English switch: "revert" → "get back to you", plus "I will" and a specific time.</t>
  </si>
  <si>
    <t xml:space="preserve">I'll get ____ to you by 4 pm tomorrow with an answer.</t>
  </si>
  <si>
    <t xml:space="preserve">Which phrase is clearest for an international customer when you promise a reply?</t>
  </si>
  <si>
    <t xml:space="preserve">A) I will get back to you shortly with an answer. | B) I'll get back to you by 4 pm tomorrow with an answer. | C) We will update you with an answer as soon as we possibly can. | D) Please wait for our response, which will follow in due course.</t>
  </si>
  <si>
    <t xml:space="preserve">B gives a real deadline in a phrase international customers expect. A is tempting because it already uses "get back to you", but "shortly" gives no time. C and D give no time at all.</t>
  </si>
  <si>
    <t xml:space="preserve">back / I'll / tomorrow / get / you / to / by / noon</t>
  </si>
  <si>
    <t xml:space="preserve">I'll get back to you by noon tomorrow</t>
  </si>
  <si>
    <t xml:space="preserve">Main yeh billing team se check kar raha hoon aur kal subah 11 baje tak aapko jawaab doonga.</t>
  </si>
  <si>
    <t xml:space="preserve">I'm checking this with our billing team, and I'll get back to you by 11 am tomorrow.</t>
  </si>
  <si>
    <t xml:space="preserve">Can you call me instead of emailing?</t>
  </si>
  <si>
    <t xml:space="preserve">Of course. I'll call you on the number on your account by 4 pm tomorrow.</t>
  </si>
  <si>
    <t xml:space="preserve">Partner A asks if a birthday cake can be made sugar-free. Partner B cannot confirm yet and writes a reply that names who they are checking with and when they will get back.</t>
  </si>
  <si>
    <t xml:space="preserve">Write a one-sentence promise to reply about a warranty question, naming the team and a specific time, and send it as text or a photo for audit.</t>
  </si>
  <si>
    <t xml:space="preserve">Did you say who you are checking with? · Did you give a specific time? · Did you use "get back to you" instead of "revert", which international customers may not expect?</t>
  </si>
  <si>
    <t xml:space="preserve">CSE-I-014</t>
  </si>
  <si>
    <t xml:space="preserve">Thank you for your patience while we looked into this. I know it took longer than you expected, and I appreciate you giving us the time to get it right.</t>
  </si>
  <si>
    <t xml:space="preserve">A billing error took ten days to fix; you apologised in your earlier emails, and you are now writing the final email confirming the corrected bill.</t>
  </si>
  <si>
    <t xml:space="preserve">The fix took much longer than the customer hoped. What should your thank-you admit, and what should it avoid?</t>
  </si>
  <si>
    <t xml:space="preserve">THANK you for your PA-tience · while we LOOKED in-to THIS · i KNOW it TOOK LONG-er · than you ex-PEC-ted · and i ap-PRE-ci-ate you · GIV-ing us the TIME · to get it RIGHT</t>
  </si>
  <si>
    <t xml:space="preserve">If read aloud: looked_into → "look-tin-too" · took_longer → "took-long-ger" · get_it_right → "ge-dit-right"</t>
  </si>
  <si>
    <t xml:space="preserve">If read aloud: warm and slow, a fall on "this", a softer tone on "longer than you expected", then a sincere fall on "right".</t>
  </si>
  <si>
    <t xml:space="preserve">If read aloud: "patience" is PAY-shuns (two syllables), not "pay-ti-ens"; keep the final "d" sound in "expected" and the "t" in "looked" (lookt).</t>
  </si>
  <si>
    <t xml:space="preserve">Sincere, appreciative, honest</t>
  </si>
  <si>
    <t xml:space="preserve">Relieved it is finally fixed but tired of waiting.</t>
  </si>
  <si>
    <t xml:space="preserve">Thank someone for a long wait the way you thank a friend who waited for you in the rain: admit it was long, then thank them.</t>
  </si>
  <si>
    <t xml:space="preserve">इसकी जाँच के दौरान आपके धैर्य के लिए धन्यवाद। मुझे पता है कि इसमें आपकी उम्मीद से ज़्यादा समय लगा, और मैं आभारी हूँ कि आपने हमें इसे सही करने का समय दिया।</t>
  </si>
  <si>
    <t xml:space="preserve">Iski jaanch ke dauraan aapke dhairya ke liye dhanyavaad. Mujhe pata hai ki ismein aapki ummeed se zyaada samay laga, aur main aabhaari hoon ki aapne humein ise sahi karne ka samay diya.</t>
  </si>
  <si>
    <t xml:space="preserve">Thanks for waiting while we checked this. I know it was a long wait, and thank you for letting us take the time to fix it properly.</t>
  </si>
  <si>
    <t xml:space="preserve">It admits the wait was long instead of pretending it was normal, which feels honest. Thanking the customer for their time turns the delay into a moment of respect for them.</t>
  </si>
  <si>
    <t xml:space="preserve">Thank you for your patience while ___. I appreciate you ___.</t>
  </si>
  <si>
    <t xml:space="preserve">Thank you for + noun + while + past simple · I appreciate + you + verb-ing</t>
  </si>
  <si>
    <t xml:space="preserve">"I appreciate you giving us…" uses the -ing form after "appreciate".</t>
  </si>
  <si>
    <t xml:space="preserve">Admitting it "took longer than you expected" sounds honest. "Thank you for your patience" alone, after a long wait, can sound like a template or even sarcasm.</t>
  </si>
  <si>
    <t xml:space="preserve">✗ Thank you for your patience, I know it took long time for you. → ✓ Thank you for your patience while we looked into this. I know it took longer than you expected.</t>
  </si>
  <si>
    <t xml:space="preserve">"We thank you for your kind cooperation in this regard." It is a stock phrase that ignores how long the customer waited.</t>
  </si>
  <si>
    <t xml:space="preserve">Instead of "Sorry for the delay in this regard", say "Thank you for your patience while we looked into this. I know it took longer than you expected."</t>
  </si>
  <si>
    <t xml:space="preserve">Thank you for bearing with us while we sorted this out. I know it wasn't quick, and I'm grateful you gave us the time to fix it properly.</t>
  </si>
  <si>
    <t xml:space="preserve">I really appreciate your patience over the last ten days. It took longer than it should have, so thank you for sticking with us.</t>
  </si>
  <si>
    <t xml:space="preserve">Thank you for your patience while we investigated this matter. I recognise that it took longer than you had expected, and I appreciate the time you have given us to resolve it.</t>
  </si>
  <si>
    <t xml:space="preserve">Your corrected bill is attached, and the extra ₹600 has been refunded to your card.</t>
  </si>
  <si>
    <t xml:space="preserve">Thanks, glad it's finally sorted. · It did take far too long. · No worries, thanks for fixing it.</t>
  </si>
  <si>
    <t xml:space="preserve">Customer: "Ten days is far too long for a billing error." → Agent: "You're right, and I'm sorry it took ten days. I've shared your feedback with our billing team so they can look at why it took so long."</t>
  </si>
  <si>
    <t xml:space="preserve">"In this regard" and "kind cooperation" are familiar in Indian business emails. International customers may find a plain, personal thank-you warmer.</t>
  </si>
  <si>
    <t xml:space="preserve">Voice: "Thanks so much for bearing with me." Chat: "Thanks for your patience, Priya. I know that took a while."</t>
  </si>
  <si>
    <t xml:space="preserve">Do not use it in place of an apology when the delay was your mistake; apologise first, then thank them.</t>
  </si>
  <si>
    <t xml:space="preserve">Customer: Is my bill finally fixed? | Agent: Yes. Thank you for your patience while we looked into this. I know it took longer than you expected, and I appreciate you giving us the time to get it right. | Customer: Thanks, glad it's sorted. | Agent: Your corrected bill is attached, and the extra ₹600 has been refunded to your card.</t>
  </si>
  <si>
    <t xml:space="preserve">Close by summarising what was done and thanking the customer honestly and specifically.</t>
  </si>
  <si>
    <t xml:space="preserve">I ____ you giving us the time to get it right.</t>
  </si>
  <si>
    <t xml:space="preserve">appreciate</t>
  </si>
  <si>
    <t xml:space="preserve">A fix took ten days. Which thank-you line is best in the final email?</t>
  </si>
  <si>
    <t xml:space="preserve">A) Thank you for your cooperation and understanding in this matter. | B) Thank you for your patience. I know it took longer than you expected. | C) We thank you for waiting. We value your business and hope to see you again. | D) Delays like this are normal in such cases, so thank you for understanding.</t>
  </si>
  <si>
    <t xml:space="preserve">B admits the wait was long and thanks the customer sincerely. C is tempting because it is polite, but it ignores how long the wait was. A is a stock phrase, and D calls the delay normal.</t>
  </si>
  <si>
    <t xml:space="preserve">patience / Thank / your / you / for</t>
  </si>
  <si>
    <t xml:space="preserve">Itna intezaar karne ke liye dhanyavaad. Mujhe pata hai ki ismein kaafi samay laga.</t>
  </si>
  <si>
    <t xml:space="preserve">Thank you for waiting so patiently. I know this took quite a long time.</t>
  </si>
  <si>
    <t xml:space="preserve">It did take far too long.</t>
  </si>
  <si>
    <t xml:space="preserve">You're right, and I'm sorry it did. If anything else on the bill looks wrong, reply to this email and I'll look at it today.</t>
  </si>
  <si>
    <t xml:space="preserve">Partner A waited two weeks for a passport-photo reprint. Partner B writes the final email that thanks A for their patience honestly and confirms the result.</t>
  </si>
  <si>
    <t xml:space="preserve">Write a two-sentence thank-you to a customer who waited a week for a repair, admitting the wait was long, and send it as text or a photo for audit.</t>
  </si>
  <si>
    <t xml:space="preserve">Did you admit the wait was long? · Did you thank the customer personally? · Did you avoid "in this regard" and "kind cooperation", which international customers may not expect?</t>
  </si>
  <si>
    <t xml:space="preserve">CSE-I-015</t>
  </si>
  <si>
    <t xml:space="preserve">I'd appreciate it if you could look into this as a matter of urgency, as I need the files for a client meeting on Monday.</t>
  </si>
  <si>
    <t xml:space="preserve">A business customer emails that she cannot download shared files from her cloud account.</t>
  </si>
  <si>
    <t xml:space="preserve">A customer's email uses a very polite request form. Is it just politeness, or is there something urgent behind it?</t>
  </si>
  <si>
    <t xml:space="preserve">i'd ap-PRE-ci-ate it · if you could LOOK in-to THIS · as a MAT-ter of UR-gen-cy · as i NEED the FILES · for a CLI-ent MEET-ing on MON-day</t>
  </si>
  <si>
    <t xml:space="preserve">If read aloud: appreciate_it → "a-pree-shee-ay-tit" · look_into → "loo-kin-too" · matter_of → "ma-ter-ov"</t>
  </si>
  <si>
    <t xml:space="preserve">If read aloud: polite and even, but with a firm fall on "urgency" and "Monday"; the politeness is real, and so is the pressure.</t>
  </si>
  <si>
    <t xml:space="preserve">If read aloud: "appreciate" is a-PREE-shee-ate, with "sh", not "a-pree-see-ate"; "urgency" has a soft "j" sound (UR-jen-see).</t>
  </si>
  <si>
    <t xml:space="preserve">Polite but firm, urgent</t>
  </si>
  <si>
    <t xml:space="preserve">Under time pressure and politely signalling that she expects quick action.</t>
  </si>
  <si>
    <t xml:space="preserve">A velvet glove on a firm hand: the words are soft, but there is a real deadline inside.</t>
  </si>
  <si>
    <t xml:space="preserve">मैं आभारी रहूँगी अगर आप इसे तुरंत देख सकें, क्योंकि सोमवार को क्लाइंट मीटिंग के लिए मुझे ये फ़ाइलें चाहिए।</t>
  </si>
  <si>
    <t xml:space="preserve">Main aabhaari rahoongi agar aap ise turant dekh sakein, kyunki somvaar ko client meeting ke liye mujhe ye files chahiye.</t>
  </si>
  <si>
    <t xml:space="preserve">Please fix this quickly. I need these files for an important meeting on Monday.</t>
  </si>
  <si>
    <t xml:space="preserve">"I'd appreciate it if you could…" is a polite international way to make a firm request. Here it carries a real deadline: she needs action and a time before Monday, not just a kind reply.</t>
  </si>
  <si>
    <t xml:space="preserve">I'd appreciate it if you could ___.</t>
  </si>
  <si>
    <t xml:space="preserve">I'd (would) appreciate it + if + you could + base verb</t>
  </si>
  <si>
    <t xml:space="preserve">"I'd appreciate it if you could" is a polite form of "Please do this"; the "it" is needed.</t>
  </si>
  <si>
    <t xml:space="preserve">The polite form does not mean the request is optional. Reading it as "no hurry" and replying in three days would upset her.</t>
  </si>
  <si>
    <t xml:space="preserve">✗ Reading "I'd appreciate it" as a soft wish and replying next week → ✓ Treat it as a firm request and reply with action and a time before her deadline.</t>
  </si>
  <si>
    <t xml:space="preserve">"We will look into it in due course." It ignores her Monday deadline and sounds as if her urgency did not register.</t>
  </si>
  <si>
    <t xml:space="preserve">Instead of "We will check and update you", say "I understand you need these files before Monday's meeting, so I'm looking into this now."</t>
  </si>
  <si>
    <t xml:space="preserve">I understand you need these files before your client meeting on Monday, so I've made this my priority.</t>
  </si>
  <si>
    <t xml:space="preserve">Thank you for letting me know about Monday's meeting. I'm checking your download problem right away.</t>
  </si>
  <si>
    <t xml:space="preserve">Thank you for explaining the urgency. I have prioritised your request and will update you by 3 pm today, well ahead of your meeting on Monday.</t>
  </si>
  <si>
    <t xml:space="preserve">I understand you need these files before Monday, so I'm looking into this now. Could you tell me which browser you are using?</t>
  </si>
  <si>
    <t xml:space="preserve">The built-in browser on my work laptop. · Thank you, please hurry. · Can someone call me instead?</t>
  </si>
  <si>
    <t xml:space="preserve">Customer: "I still haven't heard anything and it's Friday afternoon." → Agent: "I'm sorry for the wait. I've found the cause, and I'm sending you a direct download link now so you have the files today."</t>
  </si>
  <si>
    <t xml:space="preserve">Agents used to direct requests ("Please do it urgently") may read "I'd appreciate it if you could…" as soft. In British and international English it is a polite but firm request, and "as a matter of urgency" confirms it.</t>
  </si>
  <si>
    <t xml:space="preserve">Voice: the same request may sound like "I really need this sorted before Monday." Chat: "Could you please look at this urgently? Need it by Monday."</t>
  </si>
  <si>
    <t xml:space="preserve">Do not simply mirror her formal phrase back as your whole reply; answer with action and a time, not just polite words.</t>
  </si>
  <si>
    <t xml:space="preserve">Customer: I'd appreciate it if you could look into this as a matter of urgency, as I need the files for a client meeting on Monday. | Agent: I understand you need these files before Monday, so I'm looking into this now. Could you tell me which browser you are using? | Customer: The built-in browser on my work laptop. | Agent: Thank you. I'll email you a fix or a direct download link by 3 pm today.</t>
  </si>
  <si>
    <t xml:space="preserve">Paraphrase before solving: show you heard the need and the deadline, then act with a time.</t>
  </si>
  <si>
    <t xml:space="preserve">I'd appreciate ____ if you could look into this as a matter of urgency.</t>
  </si>
  <si>
    <t xml:space="preserve">it</t>
  </si>
  <si>
    <t xml:space="preserve">A customer writes "I'd appreciate it if you could look into this as a matter of urgency." What does she mean?</t>
  </si>
  <si>
    <t xml:space="preserve">A) She is happy to wait until you have time to look at it. | B) She is politely but firmly asking for fast action before Monday. | C) She is thanking you for the help you have already given her. | D) She is asking you to explain why the files cannot be downloaded.</t>
  </si>
  <si>
    <t xml:space="preserve">B: the polite form carries a firm, urgent request. C is tempting because "appreciate" sounds like thanks, but she has not received any help yet. A ignores the deadline, and D is not what she asked.</t>
  </si>
  <si>
    <t xml:space="preserve">looking / I'm / this / into / now</t>
  </si>
  <si>
    <t xml:space="preserve">I'm looking into this now</t>
  </si>
  <si>
    <t xml:space="preserve">Main samajhta hoon ki aapko yeh files Monday se pehle chahiye, isliye main abhi ise dekh raha hoon.</t>
  </si>
  <si>
    <t xml:space="preserve">I understand you need these files before Monday, so I'm looking into this now.</t>
  </si>
  <si>
    <t xml:space="preserve">Thank you. Please keep me updated.</t>
  </si>
  <si>
    <t xml:space="preserve">Of course. I'll email you by 3 pm today, even if I only have a partial update.</t>
  </si>
  <si>
    <t xml:space="preserve">Partner A writes a polite but urgent email using "I'd appreciate it if you could…" about a visa letter needed by Thursday. Partner B replies naming the need, the deadline and a time for the next update.</t>
  </si>
  <si>
    <t xml:space="preserve">Write your reply to a customer who wrote "I'd appreciate it if you could resend my invoice today, as my accountant needs it", and send it as text or a photo for audit.</t>
  </si>
  <si>
    <t xml:space="preserve">Did you notice the deadline? · Did you say what you are doing now? · Did you give a time for your next update?</t>
  </si>
  <si>
    <t xml:space="preserve">CSE-I-016</t>
  </si>
  <si>
    <t xml:space="preserve">My invoice shows a cancellation fee I was never told about. Please advise.</t>
  </si>
  <si>
    <t xml:space="preserve">A customer sends a two-line email about an unexpected fee on her invoice.</t>
  </si>
  <si>
    <t xml:space="preserve">An email ends with two formal words and no question mark. What is the customer actually asking you to do?</t>
  </si>
  <si>
    <t xml:space="preserve">my IN-voice SHOWS a can-cel-LA-tion FEE · i was NEV-er TOLD a-BOUT · PLEASE ad-VISE</t>
  </si>
  <si>
    <t xml:space="preserve">If read aloud: never_told_about → "nev-er-tol-da-bout" · please_advise → "pleez-ad-vize"</t>
  </si>
  <si>
    <t xml:space="preserve">If read aloud: flat and businesslike, with a firm fall on "advise"; it is a demand for an answer, not a question.</t>
  </si>
  <si>
    <t xml:space="preserve">If read aloud: "advise" (verb) ends in a "z" sound, ad-VIZE; "advice" (noun) ends in "s". Many speakers mix them up in speech and in spelling.</t>
  </si>
  <si>
    <t xml:space="preserve">Brief, businesslike, slightly annoyed</t>
  </si>
  <si>
    <t xml:space="preserve">Annoyed and suspicious about a charge she did not expect.</t>
  </si>
  <si>
    <t xml:space="preserve">"Please advise" is a ball thrown into your court: the customer has stopped talking and is waiting for your move.</t>
  </si>
  <si>
    <t xml:space="preserve">मेरे इनवॉइस में एक कैंसलेशन फ़ीस दिख रही है जिसके बारे में मुझे कभी नहीं बताया गया। कृपया बताइए कि मामला क्या है।</t>
  </si>
  <si>
    <t xml:space="preserve">Mere invoice mein ek cancellation fee dikh rahi hai jiske baare mein mujhe kabhi nahin bataya gaya. Kripya bataiye ki maamla kya hai.</t>
  </si>
  <si>
    <t xml:space="preserve">There is a fee on my bill that nobody told me about. Tell me why it is there and what you will do about it.</t>
  </si>
  <si>
    <t xml:space="preserve">"Please advise" is a formal way to say "Tell me what is happening and what happens next." Behind it is a need for an explanation and an action, not just sympathy.</t>
  </si>
  <si>
    <t xml:space="preserve">___. Please advise.</t>
  </si>
  <si>
    <t xml:space="preserve">Please + base verb (imperative); "advise" = verb, "advice" = noun</t>
  </si>
  <si>
    <t xml:space="preserve">"Please advise" is a complete sentence in business email; the object ("me what to do") is understood.</t>
  </si>
  <si>
    <t xml:space="preserve">It is neutral to formal, not rude, but short. A reply with only "We are checking" will feel like no answer at all.</t>
  </si>
  <si>
    <t xml:space="preserve">✗ Replying "Please advise what you want." → ✓ Explain the fee and give the next step: "The fee was added because…, and I've…"</t>
  </si>
  <si>
    <t xml:space="preserve">"Please advise what exactly is your query." She has already said it; asking again feels as if you did not read her email.</t>
  </si>
  <si>
    <t xml:space="preserve">Instead of "Kindly clarify your concern", say "I've checked your invoice, and here's what the fee is for."</t>
  </si>
  <si>
    <t xml:space="preserve">I've looked into the cancellation fee on your invoice. It was added in error, and I've removed it today.</t>
  </si>
  <si>
    <t xml:space="preserve">Thank you for flagging this. The fee was charged because the plan was cancelled before the 12-month term ended; here are your options.</t>
  </si>
  <si>
    <t xml:space="preserve">Thank you for raising this. Having reviewed your invoice, I can confirm the cancellation fee was applied in error and has now been removed.</t>
  </si>
  <si>
    <t xml:space="preserve">I've checked your invoice, and the cancellation fee was added in error. I've removed it, and the corrected invoice is attached.</t>
  </si>
  <si>
    <t xml:space="preserve">Thanks, that's resolved then. · Why was it added in the first place? · Will I get a refund for the amount already paid?</t>
  </si>
  <si>
    <t xml:space="preserve">Customer: "I want to know why this happened at all." → Agent: "That's fair. Your plan was marked as cancelled early by mistake when you changed your payment card. I've corrected your account so the fee won't come back."</t>
  </si>
  <si>
    <t xml:space="preserve">"Please advise" is a formal business-email closing used in India and elsewhere. International customers who write it expect an explanation and a next step, not a reply that asks them to advise you.</t>
  </si>
  <si>
    <t xml:space="preserve">Voice: the caller may say "So what are you going to do about it?" Chat: "pls advise" or just "??" after a short description.</t>
  </si>
  <si>
    <t xml:space="preserve">Do not use "Please advise" yourself to a customer; it puts the work back on them. Tell them what you will do instead.</t>
  </si>
  <si>
    <t xml:space="preserve">Customer: My invoice shows a cancellation fee I was never told about. Please advise. | Agent: I've checked your invoice, and the cancellation fee was added in error. I've removed it, and the corrected invoice is attached. | Customer: Thanks. Will I get the money back? | Agent: Yes, I've refunded the £20, and it should reach your card within 5 to 7 working days.</t>
  </si>
  <si>
    <t xml:space="preserve">Email body: use plain words and give one clear next step.</t>
  </si>
  <si>
    <t xml:space="preserve">I've checked your invoice, and the cancellation fee was added ____ error.</t>
  </si>
  <si>
    <t xml:space="preserve">A customer ends an email with "Please advise." What is she asking for?</t>
  </si>
  <si>
    <t xml:space="preserve">A) An explanation of the fee and what happens next | B) An apology and a promise that it will not happen again | C) A phone call to talk through her other invoices | D) A refund of the fee, whatever the reason for it</t>
  </si>
  <si>
    <t xml:space="preserve">A: "Please advise" means "Tell me what is happening and what you will do." B is tempting because she is unhappy, but she is asking for facts and an action, not only an apology. C and D add things she did not ask for.</t>
  </si>
  <si>
    <t xml:space="preserve">removed / invoice / the / I've / and / fee / checked / your</t>
  </si>
  <si>
    <t xml:space="preserve">I've checked your invoice and removed the fee</t>
  </si>
  <si>
    <t xml:space="preserve">Maine aapka invoice check kiya hai. Yeh fee galti se lagi thi, aur maine use hata diya hai.</t>
  </si>
  <si>
    <t xml:space="preserve">I've checked your invoice. The fee was added by mistake, and I've removed it.</t>
  </si>
  <si>
    <t xml:space="preserve">Will I see this fee again next month?</t>
  </si>
  <si>
    <t xml:space="preserve">No. I've corrected your account, and I'll check your next invoice when it is issued to make sure the fee is not on it.</t>
  </si>
  <si>
    <t xml:space="preserve">Partner A emails two lines about a late-payment charge, ending "Please advise." Partner B writes a reply that explains the charge and gives one clear next step.</t>
  </si>
  <si>
    <t xml:space="preserve">Write your reply to "I was charged for express delivery but my parcel took a week. Please advise.", and send it as text or a photo for audit.</t>
  </si>
  <si>
    <t xml:space="preserve">Did you explain the cause? · Did you give one clear next step? · Did you avoid asking her to repeat the problem?</t>
  </si>
  <si>
    <t xml:space="preserve">CSE-I-017</t>
  </si>
  <si>
    <t xml:space="preserve">You confirmed my return over two weeks ago, and I have yet to receive my refund.</t>
  </si>
  <si>
    <t xml:space="preserve">A customer returned a coffee machine and was told the refund would take 5 to 7 working days, but it has been longer.</t>
  </si>
  <si>
    <t xml:space="preserve">A customer uses "have yet to" in an email about money. Is the refund on its way or not, and how does the customer feel?</t>
  </si>
  <si>
    <t xml:space="preserve">you con-FIRMED my re-TURN · O-ver TWO WEEKS a-GO · and i have YET to re-CEIVE · my RE-fund</t>
  </si>
  <si>
    <t xml:space="preserve">If read aloud: confirmed_my → "con-furm-my" · yet_to → "yet-tuh" · weeks_ago → "week-sa-go"</t>
  </si>
  <si>
    <t xml:space="preserve">If read aloud: steady and cool, with a firm fall on "refund"; there is quiet frustration under the formal words.</t>
  </si>
  <si>
    <t xml:space="preserve">If read aloud: "weeks" ends in "ks" with no extra vowel; "receive" is ri-SEEV, with a clear final "v" (top teeth on the lower lip), not "receive-u".</t>
  </si>
  <si>
    <t xml:space="preserve">Cool, formal, frustrated</t>
  </si>
  <si>
    <t xml:space="preserve">Frustrated and starting to doubt the company will pay.</t>
  </si>
  <si>
    <t xml:space="preserve">"Have yet to" is "not yet" wearing a suit: same meaning, but the customer has put on formal clothes to complain.</t>
  </si>
  <si>
    <t xml:space="preserve">आपने दो हफ़्ते से भी ज़्यादा पहले मेरे रिटर्न की पुष्टि की थी, लेकिन मुझे अभी तक मेरा रिफ़ंड नहीं मिला है।</t>
  </si>
  <si>
    <t xml:space="preserve">Aapne do hafte se bhi zyaada pehle mere return ki pushti ki thi, lekin mujhe abhi tak mera refund nahin mila hai.</t>
  </si>
  <si>
    <t xml:space="preserve">You told me more than two weeks ago that you got my return, but the money is still not in my account.</t>
  </si>
  <si>
    <t xml:space="preserve">"I have yet to receive" is a formal way of saying "I still haven't received", and it often signals controlled frustration. The customer needs the refund status checked and a clear date, not another "please wait".</t>
  </si>
  <si>
    <t xml:space="preserve">I have yet to ___.</t>
  </si>
  <si>
    <t xml:space="preserve">have yet to + base verb = have not + past participle + yet</t>
  </si>
  <si>
    <t xml:space="preserve">"I have yet to receive" means "I have not received it yet"; it is negative even though there is no "not".</t>
  </si>
  <si>
    <t xml:space="preserve">The formal wording is a warning sign. Replying "Your refund is being processed" will likely make the next email angrier.</t>
  </si>
  <si>
    <t xml:space="preserve">✗ Reading "I have yet to receive" as "I will receive it soon" → ✓ It means the refund has not arrived, so check its status now.</t>
  </si>
  <si>
    <t xml:space="preserve">"Refund is under process, please wait." It repeats what the customer already heard and gives no date or proof.</t>
  </si>
  <si>
    <t xml:space="preserve">Instead of "Your refund is in process", say "I've checked, and your refund was sent on 10 June. Here is the reference number for your bank."</t>
  </si>
  <si>
    <t xml:space="preserve">I'm sorry your refund hasn't arrived yet. I've checked, and it was sent on 10 June; the refund reference is RF-28816.</t>
  </si>
  <si>
    <t xml:space="preserve">Thank you for following up, and I'm sorry for the wait. I can see your refund was held up on our side, so I've sent it again today.</t>
  </si>
  <si>
    <t xml:space="preserve">I apologise that your refund has not yet reached you. I have reviewed your account and can confirm the refund was issued on 10 June under reference RF-28816.</t>
  </si>
  <si>
    <t xml:space="preserve">I'm sorry your refund hasn't reached you yet. I've checked, and it was sent on 10 June; could you share this reference, RF-28816, with your bank?</t>
  </si>
  <si>
    <t xml:space="preserve">I've checked my account, nothing there. · Why did nobody tell me? · OK, I'll call my bank.</t>
  </si>
  <si>
    <t xml:space="preserve">Customer: "My bank says they've received nothing." → Agent: "Thank you for checking. I'll ask our payments team to trace it today and email you by 5 pm tomorrow with what they find."</t>
  </si>
  <si>
    <t xml:space="preserve">Some learners read "have yet to" as a positive or future form. In international English it is a formal negative and often signals that the customer's patience is running out.</t>
  </si>
  <si>
    <t xml:space="preserve">Voice: "I still haven't got my refund." Chat: "still no refund??" or "where's my refund".</t>
  </si>
  <si>
    <t xml:space="preserve">Do not reply with the standard refund timeline again if that time has already passed; check the actual status first.</t>
  </si>
  <si>
    <t xml:space="preserve">Customer: You confirmed my return over two weeks ago, and I have yet to receive my refund. | Agent: I'm sorry your refund hasn't reached you yet. I've checked, and it was sent on 10 June under reference RF-28816. | Customer: My bank says nothing has arrived. | Agent: Thank you for checking. I'll ask our payments team to trace it today and email you by 5 pm tomorrow.</t>
  </si>
  <si>
    <t xml:space="preserve">Apologise specifically, then act: check the real status and give a time for the next update.</t>
  </si>
  <si>
    <t xml:space="preserve">You confirmed my return over two weeks ago, and I have ____ to receive my refund.</t>
  </si>
  <si>
    <t xml:space="preserve">yet</t>
  </si>
  <si>
    <t xml:space="preserve">A customer writes "I have yet to receive my refund." What does this mean?</t>
  </si>
  <si>
    <t xml:space="preserve">A) The customer still has not received the refund she was promised. | B) The customer received the refund but wants to know the amount. | C) The customer expects to receive the refund very soon. | D) The customer no longer wants the refund, only an apology.</t>
  </si>
  <si>
    <t xml:space="preserve">A: "have yet to" means "have not … yet". C is tempting because "yet" sounds like "soon", but nothing has arrived. B and D say things the line does not say.</t>
  </si>
  <si>
    <t xml:space="preserve">hasn't / I'm / reached / your / refund / sorry / you / yet</t>
  </si>
  <si>
    <t xml:space="preserve">I'm sorry your refund hasn't reached you yet</t>
  </si>
  <si>
    <t xml:space="preserve">Mujhe khed hai ki aapka refund abhi tak nahin pahuncha. Maine check kiya hai, yeh 10 June ko bheja gaya tha.</t>
  </si>
  <si>
    <t xml:space="preserve">I'm sorry your refund hasn't reached you yet. I've checked, and it was sent on 10 June.</t>
  </si>
  <si>
    <t xml:space="preserve">Why did nobody tell me?</t>
  </si>
  <si>
    <t xml:space="preserve">You should have been told, and I'm sorry you had to chase us. I'll email you as soon as the payments team replies.</t>
  </si>
  <si>
    <t xml:space="preserve">Partner A writes "I have yet to receive my replacement" about an order from three weeks ago. Partner B replies with an apology, the real status and a time for the next update.</t>
  </si>
  <si>
    <t xml:space="preserve">Write your reply to "I have yet to receive the invoice you promised last Friday", and send it as text or a photo for audit.</t>
  </si>
  <si>
    <t xml:space="preserve">Did you understand that nothing has arrived? · Did you check and state the real status? · Did you give a time for the next update?</t>
  </si>
  <si>
    <t xml:space="preserve">CSE-I-018</t>
  </si>
  <si>
    <t xml:space="preserve">As per our conversation yesterday, you agreed to waive the late fee on my account.</t>
  </si>
  <si>
    <t xml:space="preserve">A customer emails after a phone call, saying an agent promised to remove a late fee, and you need to check the call notes.</t>
  </si>
  <si>
    <t xml:space="preserve">A customer opens with a reference to an earlier call and an agreement. What do you need to check before you reply?</t>
  </si>
  <si>
    <t xml:space="preserve">as per our con-ver-SA-tion YES-ter-day · you a-GREED to WAIVE · the LATE FEE · on my ac-COUNT</t>
  </si>
  <si>
    <t xml:space="preserve">If read aloud: per_our → "per-rour" · agreed_to → "a-gree-tuh" · late_fee → "lay-fee" (the "t" is barely heard)</t>
  </si>
  <si>
    <t xml:space="preserve">If read aloud: steady and matter-of-fact, falling on "fee"; the customer is stating a fact, not asking.</t>
  </si>
  <si>
    <t xml:space="preserve">If read aloud: "waive" starts with rounded lips for "w", not teeth on lip ("vaive"); it sounds exactly like "wave".</t>
  </si>
  <si>
    <t xml:space="preserve">Businesslike, holding you to a promise</t>
  </si>
  <si>
    <t xml:space="preserve">Expectant and watchful; wants the promise kept without having to argue again.</t>
  </si>
  <si>
    <t xml:space="preserve">The customer is holding up yesterday's receipt: check it before you say a word.</t>
  </si>
  <si>
    <t xml:space="preserve">कल हमारी बातचीत के अनुसार, आप मेरे खाते पर लगी लेट फ़ीस माफ़ करने के लिए सहमत हुए थे।</t>
  </si>
  <si>
    <t xml:space="preserve">Kal hamari baatcheet ke anusaar, aap mere khaate par lagi late fee maaf karne ke liye sahmat hue the.</t>
  </si>
  <si>
    <t xml:space="preserve">When we spoke yesterday, you said you would remove the late payment charge from my account. Please do it.</t>
  </si>
  <si>
    <t xml:space="preserve">"As per our conversation" puts the earlier promise in writing. The customer wants you to confirm it and act, and may be worried the promise will be forgotten.</t>
  </si>
  <si>
    <t xml:space="preserve">As per our conversation ___, you ___.</t>
  </si>
  <si>
    <t xml:space="preserve">As per + noun (= according to) + past simple statement</t>
  </si>
  <si>
    <t xml:space="preserve">"As per" means "according to"; it is common in Indian English and is still used in some business English.</t>
  </si>
  <si>
    <t xml:space="preserve">The customer's tone is formal, not angry. Replying "No such record" before checking would turn it into a dispute.</t>
  </si>
  <si>
    <t xml:space="preserve">✗ Replying "Late fees cannot be waived" before checking the call notes → ✓ Check the notes first, then confirm what was agreed.</t>
  </si>
  <si>
    <t xml:space="preserve">"There is no record of any such commitment." Said before you check, it suggests the customer is lying.</t>
  </si>
  <si>
    <t xml:space="preserve">Instead of "We never agreed to that", say "Thank you for following up. I've checked the notes from yesterday's call, and here is what I can see."</t>
  </si>
  <si>
    <t xml:space="preserve">Thank you for following up. I can see from yesterday's call notes that the late fee was approved for removal, and I've now removed it.</t>
  </si>
  <si>
    <t xml:space="preserve">Thanks for the reminder. I've checked yesterday's call, and the waiver was agreed; your account now shows no late fee.</t>
  </si>
  <si>
    <t xml:space="preserve">Thank you for your email. I have reviewed the notes from our conversation yesterday and can confirm the late fee has now been waived.</t>
  </si>
  <si>
    <t xml:space="preserve">Thank you for following up. I've checked yesterday's call notes, and the late fee has now been removed from your account.</t>
  </si>
  <si>
    <t xml:space="preserve">Great, thank you. · Can you send me a written confirmation? · Will it show on my next bill?</t>
  </si>
  <si>
    <t xml:space="preserve">Customer: "So why is it still on my bill?" → Agent: "The bill was created before the change was saved. I've removed the fee now, and you'll receive a corrected bill by email today."</t>
  </si>
  <si>
    <t xml:space="preserve">"As per" is used widely in Indian English and also in formal international business emails. Customers use it to point to an agreement, so treat it as a request to honour that agreement.</t>
  </si>
  <si>
    <t xml:space="preserve">Voice: "When I called yesterday, the agent said…" Chat: "the guy yesterday said u would remove the fee".</t>
  </si>
  <si>
    <t xml:space="preserve">Do not confirm the agreement if the notes show something different; explain what the notes say and offer to check the call recording.</t>
  </si>
  <si>
    <t xml:space="preserve">Customer: As per our conversation yesterday, you agreed to waive the late fee on my account. | Agent: Thank you for following up. I've checked yesterday's call notes, and the late fee has now been removed from your account. | Customer: Can you send me a written confirmation? | Agent: Of course. A corrected statement is attached to this email.</t>
  </si>
  <si>
    <t xml:space="preserve">Paraphrase and check before solving: confirm what was agreed, then act.</t>
  </si>
  <si>
    <t xml:space="preserve">As ____ our conversation yesterday, you agreed to waive the late fee.</t>
  </si>
  <si>
    <t xml:space="preserve">per</t>
  </si>
  <si>
    <t xml:space="preserve">A customer writes "As per our conversation yesterday, you agreed to waive the late fee." What should you do first?</t>
  </si>
  <si>
    <t xml:space="preserve">A) Explain that late fees cannot normally be waived. | B) Ask her to repeat what she was told on the call. | C) Tell her the agent had no authority to make that promise. | D) Check yesterday's call notes to see what was agreed.</t>
  </si>
  <si>
    <t xml:space="preserve">D: she is pointing to a promise, so check what was agreed before replying. A is tempting because it may be the usual rule, but a colleague may have made an exception. B makes her repeat herself, and C blames a colleague before checking.</t>
  </si>
  <si>
    <t xml:space="preserve">following / Thank / up / for / you</t>
  </si>
  <si>
    <t xml:space="preserve">Thank you for following up</t>
  </si>
  <si>
    <t xml:space="preserve">Follow up karne ke liye dhanyavaad. Maine kal ki call ke notes dekhe hain, aur late fee hata di gayi hai.</t>
  </si>
  <si>
    <t xml:space="preserve">Thank you for following up. I've checked yesterday's call notes, and the late fee has been removed.</t>
  </si>
  <si>
    <t xml:space="preserve">Will it show on my next bill?</t>
  </si>
  <si>
    <t xml:space="preserve">Yes, your next bill will show the fee as removed. I've also attached a corrected statement for this month.</t>
  </si>
  <si>
    <t xml:space="preserve">Partner A writes "As per our call on Monday, you promised a free replacement." Partner B checks a note (it says "replacement approved") and writes a reply confirming it and acting.</t>
  </si>
  <si>
    <t xml:space="preserve">Write your reply to "As per our chat last week, you said my plan would be upgraded for free", assuming the notes confirm it, and send it as text or a photo for audit.</t>
  </si>
  <si>
    <t xml:space="preserve">Did you check the earlier notes before replying? · Did you confirm what was agreed? · Did you say what you have done?</t>
  </si>
  <si>
    <t xml:space="preserve">CSE-I-019</t>
  </si>
  <si>
    <t xml:space="preserve">I trust this will be resolved promptly, as this is the second time it has happened.</t>
  </si>
  <si>
    <t xml:space="preserve">A customer's broadband has gone down for the second time this month, and her email ends with this line.</t>
  </si>
  <si>
    <t xml:space="preserve">A customer's email ends with a calm, formal sentence about trust. Is she relaxed, or is this a warning?</t>
  </si>
  <si>
    <t xml:space="preserve">i TRUST this will be re-SOLVED PROMPT-ly · as THIS is the SEC-ond TIME · it has HAP-pened</t>
  </si>
  <si>
    <t xml:space="preserve">If read aloud: trust_this → "trus-this" · resolved_promptly → "ri-zolv-promp-lee" · second_time → "sec-on-time"</t>
  </si>
  <si>
    <t xml:space="preserve">If read aloud: even and cool, with a clear fall on "promptly" and "happened"; polite words, firm tone.</t>
  </si>
  <si>
    <t xml:space="preserve">If read aloud: "promptly" has an "mpt" cluster that is easy to drop (PROMPT-lee, not "prom-lee"); "resolved" has a "z" sound in the middle and ends in "vd".</t>
  </si>
  <si>
    <t xml:space="preserve">Cool, firm, expectant</t>
  </si>
  <si>
    <t xml:space="preserve">Losing patience and quietly warning that her trust is running out.</t>
  </si>
  <si>
    <t xml:space="preserve">"I trust" here is a yellow card in football: still polite, but one more foul and it turns red.</t>
  </si>
  <si>
    <t xml:space="preserve">मुझे उम्मीद है कि इसे जल्दी सुलझा दिया जाएगा, क्योंकि यह दूसरी बार हुआ है।</t>
  </si>
  <si>
    <t xml:space="preserve">Mujhe ummeed hai ki ise jaldi suljha diya jaayega, kyunki yeh doosri baar hua hai.</t>
  </si>
  <si>
    <t xml:space="preserve">I expect you to fix this quickly. It has happened twice now, and I am not happy.</t>
  </si>
  <si>
    <t xml:space="preserve">"I trust this will be…" sounds polite but sets a firm expectation. With "the second time", she is warning that she expects speed, an owner and a real fix, not a standard reply.</t>
  </si>
  <si>
    <t xml:space="preserve">I trust this will be ___.</t>
  </si>
  <si>
    <t xml:space="preserve">I trust (that) + future passive (will be + past participle)</t>
  </si>
  <si>
    <t xml:space="preserve">"I trust" here means "I expect", not "I believe in you".</t>
  </si>
  <si>
    <t xml:space="preserve">It is polite but cold. A cheerful template reply would ignore the warning in "second time" and make things worse.</t>
  </si>
  <si>
    <t xml:space="preserve">✗ Reading "I trust this will be resolved" as a sign the customer is relaxed → ✓ It is a firm expectation; reply with an apology, an action and a time.</t>
  </si>
  <si>
    <t xml:space="preserve">"Thank you for your trust in us!" It misreads the email completely and shows you did not notice she is unhappy.</t>
  </si>
  <si>
    <t xml:space="preserve">Instead of "We will try to resolve it soon", say "I'm sorry this has happened twice. An engineer will visit tomorrow between 9 and 12."</t>
  </si>
  <si>
    <t xml:space="preserve">I'm sorry this is the second outage this month. I've booked an engineer for tomorrow morning and will check the line myself afterwards.</t>
  </si>
  <si>
    <t xml:space="preserve">You're right to expect better, and I'm sorry it has happened again. An engineer is booked for tomorrow, 9 am to 12 noon.</t>
  </si>
  <si>
    <t xml:space="preserve">I apologise that you have experienced this problem a second time. An engineer has been booked for tomorrow between 9 am and 12 noon, and I will personally follow up afterwards.</t>
  </si>
  <si>
    <t xml:space="preserve">I'm sorry this has happened twice. I've booked an engineer for tomorrow between 9 and 12, and I'll check with you afterwards that it's fixed.</t>
  </si>
  <si>
    <t xml:space="preserve">Thank you, I'll be home. · What will you do so it doesn't happen a third time? · Will I be compensated for the days without internet?</t>
  </si>
  <si>
    <t xml:space="preserve">Customer: "What will stop it happening a third time?" → Agent: "The engineer will test the line and equipment properly and replace anything that is faulty, not just reset it. I'll check your line again in one week."</t>
  </si>
  <si>
    <t xml:space="preserve">Some learners read "I trust" as warm and positive. In formal international English it is often a polite warning that sets a clear expectation.</t>
  </si>
  <si>
    <t xml:space="preserve">Voice: "I expect this to be fixed quickly this time." Chat: "hope this gets fixed fast, 2nd time now".</t>
  </si>
  <si>
    <t xml:space="preserve">Do not reply with only "We'll resolve it promptly"; she needs a concrete action and a time.</t>
  </si>
  <si>
    <t xml:space="preserve">Customer: I trust this will be resolved promptly, as this is the second time it has happened. | Agent: I'm sorry this has happened twice. I've booked an engineer for tomorrow between 9 and 12, and I'll check with you afterwards that it's fixed. | Customer: Fine, I'll be home. | Agent: Thank you. I'll email you the engineer's name this evening.</t>
  </si>
  <si>
    <t xml:space="preserve">Use "I will" plus a time: answer a firm expectation with a concrete action and a deadline.</t>
  </si>
  <si>
    <t xml:space="preserve">I trust this will be resolved promptly, as this is the ____ (2nd) time it has happened.</t>
  </si>
  <si>
    <t xml:space="preserve">A customer ends her email with "I trust this will be resolved promptly." What is she really saying?</t>
  </si>
  <si>
    <t xml:space="preserve">A) She is relaxed and happy to wait for as long as it takes. | B) She is thanking you in advance for solving the problem. | C) She has already fixed it herself and is checking with you. | D) She expects a quick fix and is starting to lose patience.</t>
  </si>
  <si>
    <t xml:space="preserve">D: "I trust" here sets a firm expectation. B is tempting because "trust" sounds friendly, but the tone is a polite warning. A and C do not match her words.</t>
  </si>
  <si>
    <t xml:space="preserve">twice / this / I'm / happened / has / sorry</t>
  </si>
  <si>
    <t xml:space="preserve">I'm sorry this has happened twice</t>
  </si>
  <si>
    <t xml:space="preserve">Mujhe khed hai ki yeh doosri baar hua. Kal subah ek engineer aapke ghar aayega.</t>
  </si>
  <si>
    <t xml:space="preserve">I'm sorry this has happened a second time. An engineer will visit your home tomorrow morning.</t>
  </si>
  <si>
    <t xml:space="preserve">Will I be compensated for the days without internet?</t>
  </si>
  <si>
    <t xml:space="preserve">I'll check what credit applies to the days you were without service and email you the amount by 5 pm tomorrow.</t>
  </si>
  <si>
    <t xml:space="preserve">Partner A writes a two-line email about a repeated late delivery, ending "I trust this will be resolved promptly." Partner B writes a reply with an apology, an action and a time.</t>
  </si>
  <si>
    <t xml:space="preserve">Write your reply to "I trust this will be corrected before my next bill" from a customer billed wrongly twice, and send it as text or a photo for audit.</t>
  </si>
  <si>
    <t xml:space="preserve">Did you see the warning in the customer's line? · Did you apologise for the repeat? · Did you give a concrete action and time?</t>
  </si>
  <si>
    <t xml:space="preserve">CSE-I-020</t>
  </si>
  <si>
    <t xml:space="preserve">Please refund the full amount within seven days, failing which I will be forced to take further action.</t>
  </si>
  <si>
    <t xml:space="preserve">A customer has waited a month for a refund on a cancelled holiday and sends a formal final email.</t>
  </si>
  <si>
    <t xml:space="preserve">A customer sets a deadline and mentions "further action". What is the threat, and how should your reply sound?</t>
  </si>
  <si>
    <t xml:space="preserve">PLEASE re-FUND the FULL a-MOUNT · with-IN SEV-en DAYS · FAIL-ing which · i will be FORCED · to take FUR-ther AC-tion</t>
  </si>
  <si>
    <t xml:space="preserve">If read aloud: refund_the → "ri-fun-the" · failing_which → "fay-ling-witch" · forced_to → "forst-tuh"</t>
  </si>
  <si>
    <t xml:space="preserve">If read aloud: slow, controlled and falling on each key phrase ("seven days", "further action"); it sounds like a formal ultimatum.</t>
  </si>
  <si>
    <t xml:space="preserve">If read aloud: "which" starts with rounded lips for "w", not "vich"; "forced" ends in "st" (forst), not "for-sed".</t>
  </si>
  <si>
    <t xml:space="preserve">Formal ultimatum, angry but controlled</t>
  </si>
  <si>
    <t xml:space="preserve">Angry, feels ignored and ready to complain to a bank, a regulator or a court.</t>
  </si>
  <si>
    <t xml:space="preserve">A countdown clock on the table: the customer has set the timer, so your reply must show progress before it rings.</t>
  </si>
  <si>
    <t xml:space="preserve">कृपया सात दिनों के अंदर पूरी रकम वापस करें, वरना मुझे आगे कार्रवाई करने के लिए मजबूर होना पड़ेगा।</t>
  </si>
  <si>
    <t xml:space="preserve">Kripya saat dinon ke andar poori rakam vaapas karein, varna mujhe aage kaarvaai karne ke liye majboor hona padega.</t>
  </si>
  <si>
    <t xml:space="preserve">Give me all my money back in seven days. If you do not, I will complain officially or take legal steps.</t>
  </si>
  <si>
    <t xml:space="preserve">"Failing which" means "if you do not", and "further action" usually means a formal complaint, a bank chargeback or legal steps. The customer feels ignored and needs a calm, specific answer that takes the deadline seriously.</t>
  </si>
  <si>
    <t xml:space="preserve">___ within ___, failing which ___.</t>
  </si>
  <si>
    <t xml:space="preserve">Imperative + within + time, + failing which (= if not) + I will be forced to + base verb</t>
  </si>
  <si>
    <t xml:space="preserve">"Failing which" is a formal, slightly old-fashioned way to say "otherwise" or "if you do not".</t>
  </si>
  <si>
    <t xml:space="preserve">The customer is formal, so stay formal and calm; never threaten back or sound defensive. "We are not responsible" would push them straight to further action.</t>
  </si>
  <si>
    <t xml:space="preserve">✗ Replying with a standard "Your refund is being processed" → ✓ Acknowledge the deadline, give the exact refund status and a date within it.</t>
  </si>
  <si>
    <t xml:space="preserve">"Threats will not help your case." It is defensive, escalates the conflict and does nothing about the refund.</t>
  </si>
  <si>
    <t xml:space="preserve">Instead of "You cannot threaten us", say "I understand how long you've waited, and I want to resolve this well within your seven days."</t>
  </si>
  <si>
    <t xml:space="preserve">I'm sorry you've had to wait a month for this. I've approved your full refund of £640 today, so it should reach you within 5 working days.</t>
  </si>
  <si>
    <t xml:space="preserve">I understand your frustration, and you're right that this has taken too long. Your refund of £640 was approved today and should reach you within 5 working days.</t>
  </si>
  <si>
    <t xml:space="preserve">I sincerely apologise for the delay in refunding your cancelled holiday. I can confirm that a full refund of £640 was approved today and should reach your account within 5 working days.</t>
  </si>
  <si>
    <t xml:space="preserve">I understand how long you've waited, and I'm sorry. I've approved your full refund of £640 today, and it should reach your card within 5 working days.</t>
  </si>
  <si>
    <t xml:space="preserve">I'll wait and see if it arrives. · Why did it take a month? · I want written confirmation.</t>
  </si>
  <si>
    <t xml:space="preserve">Customer: "I've heard promises before." → Agent: "I understand why you feel that way. The refund reference is RF-55120, and I'll email you on Monday to confirm it has left our account."</t>
  </si>
  <si>
    <t xml:space="preserve">"Failing which" is common in Indian legal and business English, and some international customers use it too. Whatever its origin, read it as a formal deadline and a possible complaint.</t>
  </si>
  <si>
    <t xml:space="preserve">Voice: "If I don't get my money this week, I'm going to my bank." Chat: "refund in 7 days or I'm taking this further".</t>
  </si>
  <si>
    <t xml:space="preserve">Do not promise the refund within their deadline unless it is approved; if it needs sign-off, say who is approving it and by when.</t>
  </si>
  <si>
    <t xml:space="preserve">Customer: Please refund the full amount within seven days, failing which I will be forced to take further action. | Agent: I understand how long you've waited, and I'm sorry. I've approved your full refund of £640 today, and it should reach your card within 5 working days. | Customer: I want written confirmation. | Agent: Of course. The refund confirmation, reference RF-55120, is attached to this email.</t>
  </si>
  <si>
    <t xml:space="preserve">Never say "calm down" or argue: name the feeling, then act with a specific promise and time.</t>
  </si>
  <si>
    <t xml:space="preserve">Please refund the full amount within seven days, ____ which I will be forced to take further action.</t>
  </si>
  <si>
    <t xml:space="preserve">failing</t>
  </si>
  <si>
    <t xml:space="preserve">What does "failing which I will be forced to take further action" mean in a customer email?</t>
  </si>
  <si>
    <t xml:space="preserve">A) The customer has failed to pay and now asks you for more time. | B) The customer is happy to wait longer if you can give a new date. | C) The customer wants to cancel the refund request and rebook instead. | D) If you do not act in time, she will complain formally or take legal steps.</t>
  </si>
  <si>
    <t xml:space="preserve">D: "failing which" means "if not", and "further action" means a formal step. A is tempting because of the word "failing", but it is about you failing to act. B and C misread the deadline.</t>
  </si>
  <si>
    <t xml:space="preserve">approved / I've / full / refund / your / today</t>
  </si>
  <si>
    <t xml:space="preserve">I've approved your full refund today</t>
  </si>
  <si>
    <t xml:space="preserve">Main samajhti hoon ki aapne bahut intezaar kiya hai. Maine aaj aapka poora refund approve kar diya hai.</t>
  </si>
  <si>
    <t xml:space="preserve">I understand how long you've waited. I've approved your full refund today.</t>
  </si>
  <si>
    <t xml:space="preserve">Why did it take a whole month?</t>
  </si>
  <si>
    <t xml:space="preserve">Your cancellation was held for a manual check that should have been done in the first week. I'm sorry for that delay.</t>
  </si>
  <si>
    <t xml:space="preserve">Partner A sends a formal email demanding a replacement within five days, "failing which" they will go to the consumer court. Partner B writes a calm reply with an apology, the real status and a date.</t>
  </si>
  <si>
    <t xml:space="preserve">Write your reply to "Please correct my bill by Friday, failing which I will raise a complaint with my bank", and send it as text or a photo for audit.</t>
  </si>
  <si>
    <t xml:space="preserve">Did you stay calm and avoid sounding defensive? · Did you take the deadline seriously? · Did you give the real status and a date?</t>
  </si>
  <si>
    <t xml:space="preserve">CSE-A-001</t>
  </si>
  <si>
    <t xml:space="preserve">Thank you for setting out your complaint so clearly, Ms Rao. I'm sorry your replacement laptop arrived with a cracked screen, and I have booked a courier to collect it on Thursday.</t>
  </si>
  <si>
    <t xml:space="preserve">A customer has sent a long, formal complaint by email after her replacement laptop arrived damaged, and you are writing the first reply.</t>
  </si>
  <si>
    <t xml:space="preserve">A customer has written a careful, formal complaint about a damaged replacement. What do you thank her for, what exactly do you apologise for, and what action do you name?</t>
  </si>
  <si>
    <t xml:space="preserve">THANK-you · for-SET-ting-OUT · your-com-PLAINT · so-CLEAR-ly · Miz-RAO · i'm-SOR-ry · your-re-PLACE-ment-LAP-top · a-RIVED · with-a-CRACKED-SCREEN · and-i-have-BOOKED · a-COUR-i-er · to-col-LECT-it · on-THURS-day</t>
  </si>
  <si>
    <t xml:space="preserve">If read aloud: setting_out → "set-ting-OUT" · booked_a → "book-ta" · collect_it → "co-LEC-tit"</t>
  </si>
  <si>
    <t xml:space="preserve">If read aloud: fall on "clearly", pause, then a steady falling tone on "cracked screen", and end firm and low on "Thursday" so the action sounds decided.</t>
  </si>
  <si>
    <t xml:space="preserve">If read aloud, start "Thursday" with "th" (tongue lightly between the teeth), not "Tursday"; and "booked" ends in a short "t" sound ("bookt"), not "book-ed".</t>
  </si>
  <si>
    <t xml:space="preserve">Respectful, specific, accountable</t>
  </si>
  <si>
    <t xml:space="preserve">Let down twice and ready to escalate if the reply is vague.</t>
  </si>
  <si>
    <t xml:space="preserve">Picture three stamps on her letter: THANK for the detail, SORRY for the exact damage, BOOKED for the action already done.</t>
  </si>
  <si>
    <t xml:space="preserve">अपनी शिकायत इतने स्पष्ट ढंग से बताने के लिए धन्यवाद, सुश्री राव। मुझे खेद है कि आपका रिप्लेसमेंट लैपटॉप टूटी हुई स्क्रीन के साथ पहुँचा, और मैंने गुरुवार को उसे ले जाने के लिए कूरियर बुक कर दिया है।</t>
  </si>
  <si>
    <t xml:space="preserve">Apni shikayat itne spasht dhang se batane ke liye dhanyavaad, Sushri Rao. Mujhe khed hai ki aapka replacement laptop tooti hui screen ke saath pahuncha, aur maine guruvaar ko use le jaane ke liye courier book kar diya hai.</t>
  </si>
  <si>
    <t xml:space="preserve">Thank you for explaining the problem well. I'm sorry the new laptop came broken. A courier will pick it up on Thursday.</t>
  </si>
  <si>
    <t xml:space="preserve">Thanking the customer for the detail treats the complaint as useful, not as an attack. The apology names the exact fault and is followed at once by an action already taken, which is what a formal complainant is looking for.</t>
  </si>
  <si>
    <t xml:space="preserve">I'm sorry your ___, and I have ___.</t>
  </si>
  <si>
    <t xml:space="preserve">Thank you for + -ing · I'm sorry (that) + past simple · I have + past participle (action already done)</t>
  </si>
  <si>
    <t xml:space="preserve">"I have booked" (present perfect) shows the action is already done, which is stronger than "I will try to book".</t>
  </si>
  <si>
    <t xml:space="preserve">Using her title and surname matches her formal email. "Sorry for the inconvenience" would sound scripted after a second failure and could make her angrier.</t>
  </si>
  <si>
    <t xml:space="preserve">✗ We are sorry for the inconvenience caused to you. → ✓ I'm sorry your replacement laptop arrived with a cracked screen.</t>
  </si>
  <si>
    <t xml:space="preserve">"We regret the inconvenience caused." — it hides who is sorry and for what, and it reads like a template.</t>
  </si>
  <si>
    <t xml:space="preserve">Instead of "Your complaint has been noted", write "Thank you for setting out your complaint so clearly; I have already booked a courier."</t>
  </si>
  <si>
    <t xml:space="preserve">Thank you for your detailed email, Ms Rao. I'm sorry the replacement laptop reached you damaged; a courier will collect it on Thursday.</t>
  </si>
  <si>
    <t xml:space="preserve">I'm sorry that your second laptop also arrived with a fault, Ms Rao. I have arranged a Thursday collection, and I will email you on Friday to confirm what happens next.</t>
  </si>
  <si>
    <t xml:space="preserve">Thank you for setting out your concerns in such detail, Ms Rao. Please accept my apology that your replacement laptop arrived damaged; I have arranged for a courier to collect it on Thursday.</t>
  </si>
  <si>
    <t xml:space="preserve">Could you tell me whether a morning or an afternoon collection on Thursday suits you better?</t>
  </si>
  <si>
    <t xml:space="preserve">Thursday is fine, but I want a refund, not another laptop. · Why should I trust the next one? · Thank you, that is the first useful reply I have had.</t>
  </si>
  <si>
    <t xml:space="preserve">Customer: "I don't want another replacement. I want my money back." → Agent: "I understand, after two faulty laptops. I will check your refund options today and email you by 5 pm, so you know exactly what happens once the courier collects the laptop on Thursday."</t>
  </si>
  <si>
    <t xml:space="preserve">Many Indian office replies open with "This is with reference to your mail dated…". International customers may not expect this; they look for thanks, a specific apology and the action in the first two sentences.</t>
  </si>
  <si>
    <t xml:space="preserve">Voice: say it more simply and agree a collection time. Chat: split it into two short messages. Email: keep the title and surname if the customer used them.</t>
  </si>
  <si>
    <t xml:space="preserve">Do not thank someone for setting out the complaint "so clearly" if the email was short and furious; it can sound sarcastic.</t>
  </si>
  <si>
    <t xml:space="preserve">Customer: I am writing to complain that the replacement laptop you sent is also faulty. The screen was cracked when I opened the box. | Agent: Thank you for setting out your complaint so clearly, Ms Rao. I'm sorry your replacement laptop arrived with a cracked screen, and I have booked a courier to collect it on Thursday. | Customer: What happens after that? | Agent: I will ask our warehouse to inspect your next laptop before it ships, and I will email you the tracking number by Friday.</t>
  </si>
  <si>
    <t xml:space="preserve">Apologise specifically, take responsibility, then offer a fix (Lewicki et al., 2016: responsibility and repair rank highest).</t>
  </si>
  <si>
    <t xml:space="preserve">I'm sorry your replacement laptop arrived with a cracked screen, and I have ____ (book) a courier to collect it on Thursday.</t>
  </si>
  <si>
    <t xml:space="preserve">booked</t>
  </si>
  <si>
    <t xml:space="preserve">A customer sends a formal complaint about a damaged replacement. Which opening line is best?</t>
  </si>
  <si>
    <t xml:space="preserve">A) We regret any inconvenience caused to you and assure you that your complaint is being looked into. | B) Your complaint has been noted and passed to the relevant team, who will contact you in due course. | C) I'm sorry your replacement arrived with a cracked screen, and I have booked a courier for Thursday. | D) Thank you for your email. We take every complaint seriously and apologise for any inconvenience caused.</t>
  </si>
  <si>
    <t xml:space="preserve">C names the exact fault and an action already taken. B is tempting because it sounds formal, but it names no problem and gives no time. A and D are stock apologies that name no fault.</t>
  </si>
  <si>
    <t xml:space="preserve">courier / a / have / I / booked / Thursday / on / collect / to / it</t>
  </si>
  <si>
    <t xml:space="preserve">I have booked a courier to collect it on Thursday.</t>
  </si>
  <si>
    <t xml:space="preserve">Mujhe khed hai ki aapka order galat size mein pahuncha; maine exchange book kar diya hai.</t>
  </si>
  <si>
    <t xml:space="preserve">I'm sorry your order arrived in the wrong size, and I have booked an exchange for you.</t>
  </si>
  <si>
    <t xml:space="preserve">Why did this happen twice?</t>
  </si>
  <si>
    <t xml:space="preserve">That is a fair question. I have asked our warehouse to check how both units were packed, and I will tell you what they find by Friday.</t>
  </si>
  <si>
    <t xml:space="preserve">Partner A writes a formal complaint about a second faulty washing machine. Partner B writes the first reply: thanks, a specific apology, and one action already taken, with a day.</t>
  </si>
  <si>
    <t xml:space="preserve">Write the first two sentences of a reply to a formal complaint about a damaged replacement phone, and send them as text or a photo for audit.</t>
  </si>
  <si>
    <t xml:space="preserve">Did you name the exact problem in your apology? · Did you state an action already taken, with a day? · Did you avoid "sorry for the inconvenience"?</t>
  </si>
  <si>
    <t xml:space="preserve">CSE-A-002</t>
  </si>
  <si>
    <t xml:space="preserve">As the 30-day return period ended on 2 May, we can't accept a return now. I understand this isn't the answer you were hoping for, but I can offer you full store credit, or a free repair if the machine has a fault.</t>
  </si>
  <si>
    <t xml:space="preserve">A customer asks to return a coffee machine six weeks after delivery, and the return window has closed, so you must decline and offer other options.</t>
  </si>
  <si>
    <t xml:space="preserve">The return window has closed and the customer still wants to send the item back. How do you say no with a reason, some empathy and two other options?</t>
  </si>
  <si>
    <t xml:space="preserve">as-the-THIR-ty-DAY · re-TURN-PEER-i-od · END-ed-on-the-SEC-ond-of-MAY · we-CAN'T-ac-CEPT-a-re-TURN-NOW · i-un-der-STAND · this-ISN'T-the-AN-swer · you-were-HOP-ing-for · but-i-can-OF-fer-you · full-STORE-CRED-it · or-a-FREE-re-PAIR · if-the-ma-CHINE-has-a-FAULT</t>
  </si>
  <si>
    <t xml:space="preserve">If read aloud: ended_on → "en-di-don" · or_a → "or-ra" · offer_you → "of-fer-yoo"</t>
  </si>
  <si>
    <t xml:space="preserve">If read aloud: a falling tone on "now" to close the reason, then a short pause; soft and falling on "hoping for"; a slight lift on "store credit" and a final fall on "fault" so the two options sound like real choices.</t>
  </si>
  <si>
    <t xml:space="preserve">If read aloud, "return" is re-TURN (stress on the second part), and "thirty" begins with "th", not "t" ("tirty"); "credit" has a light alveolar "d", tongue behind the top teeth, not curled back.</t>
  </si>
  <si>
    <t xml:space="preserve">Hopeful but expecting a refusal and ready to argue.</t>
  </si>
  <si>
    <t xml:space="preserve">A closed door with two open windows beside it: say the door is shut, then point straight to the windows.</t>
  </si>
  <si>
    <t xml:space="preserve">30 दिन की रिटर्न अवधि 2 मई को ख़त्म हो गई, इसलिए अब हम रिटर्न नहीं ले सकते। मैं समझता/समझती हूँ कि यह वह जवाब नहीं है जिसकी आप उम्मीद कर रहे थे, लेकिन मैं आपको पूरा स्टोर क्रेडिट दे सकता/सकती हूँ, या अगर मशीन में कोई ख़राबी है तो मुफ़्त मरम्मत करवा सकता/सकती हूँ।</t>
  </si>
  <si>
    <t xml:space="preserve">30 din ki return avadhi 2 May ko khatam ho gayi, isliye ab hum return nahin le sakte. Main samajhta/samajhti hoon ki yeh woh jawaab nahin hai jiski aap ummeed kar rahe the, lekin main aapko poora store credit de sakta/sakti hoon, ya agar machine mein koi kharaabi hai to muft marammat karwa sakta/sakti hoon.</t>
  </si>
  <si>
    <t xml:space="preserve">The time to return it finished on 2 May, so we cannot take it back now. I know you wanted a different answer, but you can have the full amount as store credit, or a free repair if the machine has a fault.</t>
  </si>
  <si>
    <t xml:space="preserve">It gives a real reason (a date) instead of "policy", softens the refusal with empathy, and ends on two things the customer can actually choose, so the email does not end on "no".</t>
  </si>
  <si>
    <t xml:space="preserve">As ___, we can't ___. I understand ___, but I can offer you ___.</t>
  </si>
  <si>
    <t xml:space="preserve">As + reason clause, + we can't + verb + now. · I understand + (that) clause, + but + I can offer you + noun, or + noun + if + condition</t>
  </si>
  <si>
    <t xml:space="preserve">"As" here means "because"; it introduces the reason before the decision.</t>
  </si>
  <si>
    <t xml:space="preserve">Putting the reason first and the options last leaves the customer with something to say yes to. "This is not possible as per our policy" sounds like a wall.</t>
  </si>
  <si>
    <t xml:space="preserve">✗ As per policy, return is not possible. → ✓ As the 30-day return period ended on 2 May, we can't accept a return now.</t>
  </si>
  <si>
    <t xml:space="preserve">"Unfortunately, we cannot help you with this request." — it closes the conversation and offers nothing.</t>
  </si>
  <si>
    <t xml:space="preserve">Instead of "We cannot accept your return", write "What I can offer you is full store credit, or a free repair if the machine has a fault."</t>
  </si>
  <si>
    <t xml:space="preserve">The return period closed on 2 May, so a refund is no longer available. I know you were hoping to return the machine, but I can arrange full store credit, or a free repair if it has a fault.</t>
  </si>
  <si>
    <t xml:space="preserve">Because the machine was delivered more than 30 days ago, we can't take it back. I'm sorry this is not the news you wanted, but we can give you store credit, or repair it free of charge if it has a fault.</t>
  </si>
  <si>
    <t xml:space="preserve">As the 30-day return period ended on 2 May, we are unable to accept a return. I appreciate that this is not the outcome you had hoped for; however, I would be glad to offer full store credit or, if the machine is faulty, a free repair.</t>
  </si>
  <si>
    <t xml:space="preserve">Please let me know which option you prefer, and I will set it up within one working day.</t>
  </si>
  <si>
    <t xml:space="preserve">Fine, I'll take the store credit. · It was faulty from day one, so the return window should not apply. · I want to speak to a manager.</t>
  </si>
  <si>
    <t xml:space="preserve">Customer: "It was faulty from the start, so the return period is irrelevant." → Agent: "Thank you for telling me. If the machine has a fault, the warranty covers it, so I can book a free repair or replacement. Could you describe what happens when you switch it on?"</t>
  </si>
  <si>
    <t xml:space="preserve">"As per policy, it is not possible" is common in Indian service writing. International customers may read it as hiding behind rules; they expect the actual reason and an alternative.</t>
  </si>
  <si>
    <t xml:space="preserve">Voice: say the empathy line slowly and pause before the options. Chat: send the reason and the options as two short messages. Email: put the options on two separate lines.</t>
  </si>
  <si>
    <t xml:space="preserve">Do not use this before you know why the customer wants to return the item; if the machine is faulty, check the warranty first, because a fault is usually a repair or replacement case.</t>
  </si>
  <si>
    <t xml:space="preserve">Customer: I'd like to return the coffee machine I bought in March. | Agent: As the 30-day return period ended on 2 May, we can't accept a return now. I understand this isn't the answer you were hoping for, but I can offer you full store credit, or a free repair if the machine has a fault. | Customer: Store credit is fine. | Agent: Thank you. I will add the credit to your account today and email you a confirmation by 5 pm.</t>
  </si>
  <si>
    <t xml:space="preserve">Saying no by email: reason, then empathy, then an alternative, then a follow-up; never a bare "No". Don't hide behind "policy" (derived advice).</t>
  </si>
  <si>
    <t xml:space="preserve">As the 30-day return period ended on 2 May, we can't accept a return now. I understand this isn't the answer you were hoping for, ____ I can offer you full store credit, or a free repair if the machine has a fault.</t>
  </si>
  <si>
    <t xml:space="preserve">A customer asks to return an item after the return window has closed. Which reply follows best practice?</t>
  </si>
  <si>
    <t xml:space="preserve">A) Under our returns policy, items cannot be returned after 30 days, so I am afraid this is not possible. | B) I'm sorry, but we cannot accept returns after 30 days, so I am unable to help with this request. | C) The return period ended on 2 May, so we can't take it back. I can offer store credit or a free repair. | D) Please contact the manufacturer about this, as we are not able to take back items after the return period.</t>
  </si>
  <si>
    <t xml:space="preserve">C gives the reason and two alternatives. A is tempting because it sounds official, but it hides behind "policy" and offers nothing. B says no with no alternative, and D passes the customer on.</t>
  </si>
  <si>
    <t xml:space="preserve">repair / you / can / free / I / a / offer</t>
  </si>
  <si>
    <t xml:space="preserve">I can offer you a free repair.</t>
  </si>
  <si>
    <t xml:space="preserve">Exchange ka samay khatam ho gaya hai, lekin main aapko store credit de sakta hoon.</t>
  </si>
  <si>
    <t xml:space="preserve">The exchange period has ended, but I can offer you store credit instead.</t>
  </si>
  <si>
    <t xml:space="preserve">Can you make an exception just this once?</t>
  </si>
  <si>
    <t xml:space="preserve">I understand why you are asking, but I'm not able to approve a return after 30 days. What I can do is add the store credit today, or book a free repair this week if the machine has a fault.</t>
  </si>
  <si>
    <t xml:space="preserve">Partner A asks by email to return shoes 45 days after delivery. Partner B writes a reply that gives the reason, shows empathy and offers two alternatives.</t>
  </si>
  <si>
    <t xml:space="preserve">Write a three-sentence email declining a late return of a jacket, offering two alternatives, and send it as text or a photo for audit.</t>
  </si>
  <si>
    <t xml:space="preserve">Did you give a real reason, not just "policy"? · Did you offer at least one alternative? · Did your email end on what you can do, not on "no"?</t>
  </si>
  <si>
    <t xml:space="preserve">CSE-A-003</t>
  </si>
  <si>
    <t xml:space="preserve">I'm sorry we charged your card three times for a single order; that was our mistake. I have refunded the two extra payments of $129 today, and I will email you the bank reference by 5 pm.</t>
  </si>
  <si>
    <t xml:space="preserve">A system error charged a customer three times for one order, and you are writing to apologise and confirm what has been done.</t>
  </si>
  <si>
    <t xml:space="preserve">Your company made a serious billing error. How do you own the mistake in a few words and show that the fix is already done?</t>
  </si>
  <si>
    <t xml:space="preserve">i'm-SOR-ry · we-CHARGED-your-CARD · THREE-TIMES · for-a-SIN-gle-OR-der · that-was-our-mis-TAKE · i-have-re-FUND-ed · the-TWO-EX-tra-PAY-ments · of-a-HUN-dred-and-TWEN-ty-NINE-DOL-lars · to-DAY · and-i-will-E-mail-you · the-BANK-REF-er-ence · by-FIVE-P-M</t>
  </si>
  <si>
    <t xml:space="preserve">If read aloud: charged_your → "charj-jor" · that_was → "that-wuz" · email_you → "ee-may-lyoo"</t>
  </si>
  <si>
    <t xml:space="preserve">If read aloud: low and serious on "our mistake", a clear pause after it, then a steadier, confident tone on "refunded" and a firm fall on "5 pm".</t>
  </si>
  <si>
    <t xml:space="preserve">If read aloud, say "charged" with a clear final "d" sound joined to the "j" ("charjd"), and "mistake" as mi-STAKE with stress on the second part, not MIS-take.</t>
  </si>
  <si>
    <t xml:space="preserve">Serious, accountable, direct</t>
  </si>
  <si>
    <t xml:space="preserve">Alarmed and angry about money taken without permission.</t>
  </si>
  <si>
    <t xml:space="preserve">Three charges, three moves: say SORRY, say OUR MISTAKE, say what is already REFUNDED, like three coins going back into a wallet.</t>
  </si>
  <si>
    <t xml:space="preserve">मुझे खेद है कि हमने एक ही ऑर्डर के लिए आपके कार्ड से तीन बार पैसे काटे; यह हमारी ग़लती थी। मैंने आज $129 के दो अतिरिक्त भुगतान वापस कर दिए हैं, और शाम 5 बजे तक आपको बैंक रेफ़रेंस ईमेल कर दूँगा/दूँगी।</t>
  </si>
  <si>
    <t xml:space="preserve">Mujhe khed hai ki humne ek hi order ke liye aapke card se teen baar paise kaate; yeh hamari galti thi. Maine aaj $129 ke do atirikt bhugtaan wapas kar diye hain, aur shaam 5 baje tak aapko bank reference email kar doonga/doongi.</t>
  </si>
  <si>
    <t xml:space="preserve">We took your money three times by mistake. It was our fault. I have sent back the two extra payments today, and I will send you proof by 5 pm.</t>
  </si>
  <si>
    <t xml:space="preserve">It says clearly whose fault it was, which matters most in an apology, and pairs it with a repair already made and a time for proof. The customer does not have to chase anything.</t>
  </si>
  <si>
    <t xml:space="preserve">I'm sorry we ___; that was our mistake. I have ___, and I will ___ by ___.</t>
  </si>
  <si>
    <t xml:space="preserve">I'm sorry (that) + we + past simple; that was our mistake. · I have + past participle + today · I will + verb + by + time</t>
  </si>
  <si>
    <t xml:space="preserve">"That was our mistake" is a short, complete sentence that takes responsibility without excuses.</t>
  </si>
  <si>
    <t xml:space="preserve">The short, plain sentences sound sincere. Long explanations about "technical issues" before the apology sound like excuses and make the customer angrier.</t>
  </si>
  <si>
    <t xml:space="preserve">✗ Due to some technical issue, your card was charged three times. → ✓ I'm sorry we charged your card three times for a single order; that was our mistake.</t>
  </si>
  <si>
    <t xml:space="preserve">"This was due to a technical glitch at our end." — it blames the system, not the company, and sounds like an excuse.</t>
  </si>
  <si>
    <t xml:space="preserve">Instead of "The error occurred due to a system issue", write "That was our mistake, and I have refunded the extra payments today."</t>
  </si>
  <si>
    <t xml:space="preserve">I'm very sorry: we charged you three times for one order, and that should never have happened. I have refunded both extra payments of $129 today.</t>
  </si>
  <si>
    <t xml:space="preserve">Charging you three times for one order was our error, and I apologise. I have refunded the two extra payments, and I will send you the bank reference by 5 pm today.</t>
  </si>
  <si>
    <t xml:space="preserve">Please accept my sincere apology for charging your card three times for a single order; the error was entirely ours. I have refunded the two additional payments of $129 today and will email you the bank reference by 5 pm.</t>
  </si>
  <si>
    <t xml:space="preserve">If your bank has charged you any fees because of this, please send me the statement, and I will ask our billing team to refund them and reply to you by Friday.</t>
  </si>
  <si>
    <t xml:space="preserve">When will I actually see the money? · My account went overdrawn because of this. · Thank you for being honest about it.</t>
  </si>
  <si>
    <t xml:space="preserve">Customer: "My account went overdrawn because of you." → Agent: "I'm sorry our mistake left your account overdrawn. Please send me the bank statement showing the fee, and I will ask our billing team to refund it. I will email you their answer by Friday."</t>
  </si>
  <si>
    <t xml:space="preserve">"Thrice" and "got debited" are common in Indian English. International customers may find "thrice" old-fashioned and "got debited" vague; "three times" and "we charged" are clearer.</t>
  </si>
  <si>
    <t xml:space="preserve">Voice: say the apology first, slowly, before any detail. Chat: send the apology and the refund as two short messages. Email: put the refund amount and the time for proof on separate lines.</t>
  </si>
  <si>
    <t xml:space="preserve">Do not say "that was our mistake" before you have checked the facts; if the bank caused the extra charges, apologise for the worry and explain what you found.</t>
  </si>
  <si>
    <t xml:space="preserve">Customer: You have charged me three times! | Agent: I'm sorry we charged your card three times for a single order; that was our mistake. I have refunded the two extra payments of $129 today, and I will email you the bank reference by 5 pm. | Customer: How long until I see it? | Agent: Banks usually show it within a few working days; the reference will help your bank trace it.</t>
  </si>
  <si>
    <t xml:space="preserve">Apologise specifically and take responsibility, then offer repair; responsibility ranked most important (Lewicki et al., 2016).</t>
  </si>
  <si>
    <t xml:space="preserve">I'm sorry we charged your card three times for a single order; that was our mistake. I have ____ (refund) the two extra payments of $129 today.</t>
  </si>
  <si>
    <t xml:space="preserve">refunded</t>
  </si>
  <si>
    <t xml:space="preserve">Your company charged a customer three times. Which sentence takes responsibility best?</t>
  </si>
  <si>
    <t xml:space="preserve">A) The error occurred because of a technical issue in our payment system, which is now being fixed. | B) I apologise for the error on our side and for any inconvenience this may have caused you. | C) That was our mistake, and I have refunded the two extra payments to your card today. | D) We are very sorry this happened, and our system has been updated so it will not happen again.</t>
  </si>
  <si>
    <t xml:space="preserve">C owns the error and shows the repair already made. A is tempting because it explains the cause, but it blames a "technical issue" instead of taking responsibility; B and D apologise but show no repair.</t>
  </si>
  <si>
    <t xml:space="preserve">card / we / three / I'm / sorry / times / charged / your</t>
  </si>
  <si>
    <t xml:space="preserve">I'm sorry we charged your card three times.</t>
  </si>
  <si>
    <t xml:space="preserve">Humne aapko galat bill bheja; yeh hamari galti thi. Maine sahi bill aaj bhej diya hai.</t>
  </si>
  <si>
    <t xml:space="preserve">We sent you the wrong bill, and that was our mistake. I have sent the correct bill today.</t>
  </si>
  <si>
    <t xml:space="preserve">How do I know this won't happen again?</t>
  </si>
  <si>
    <t xml:space="preserve">I have asked our billing team to find the cause, and I will email you their findings by Thursday. If you see any further charge before then, reply to me and I will look at it the same day.</t>
  </si>
  <si>
    <t xml:space="preserve">Partner A is a customer charged twice for a hotel booking. Partner B writes an apology email that takes responsibility, names the refund already made and gives a time for proof.</t>
  </si>
  <si>
    <t xml:space="preserve">Write a short apology email for sending a customer the wrong invoice twice, including the fix and a time, and send it as text or a photo for audit.</t>
  </si>
  <si>
    <t xml:space="preserve">Did you say clearly that it was your company's mistake? · Did you name an action already taken? · Did you give a time for the next update?</t>
  </si>
  <si>
    <t xml:space="preserve">CSE-A-004</t>
  </si>
  <si>
    <t xml:space="preserve">As an apology for the delay, I have added a $20 credit to your account, which you can use on any future order.</t>
  </si>
  <si>
    <t xml:space="preserve">A customer's order arrived nine days late after several broken promises, the problem is now solved, and you are allowed to offer a small goodwill credit.</t>
  </si>
  <si>
    <t xml:space="preserve">The problem is fixed, but the customer waited far too long. How do you offer a small extra gesture without making it sound like a bribe?</t>
  </si>
  <si>
    <t xml:space="preserve">as-an-a-POL-o-gy · for-the-de-LAY · i-have-AD-ded · a-TWEN-ty-DOL-lar-CRED-it · to-your-ac-COUNT · which-you-can-USE · on-an-y-FU-ture-OR-der</t>
  </si>
  <si>
    <t xml:space="preserve">If read aloud: added_a → "ad-di-da" · credit_to → "cred-i-too" · use_on → "yoo-zon"</t>
  </si>
  <si>
    <t xml:space="preserve">If read aloud: warm and falling on "delay", then a gentle steady tone through "account", and a soft fall on "future order"; no rise, because this is a gift, not a question.</t>
  </si>
  <si>
    <t xml:space="preserve">If read aloud, "apology" is a-POL-o-gy with stress on the second part, and "future" is FEW-cher, not "fu-tyoor"; keep the "t" in "credit" light, tongue behind the top teeth.</t>
  </si>
  <si>
    <t xml:space="preserve">Warm, sincere, generous</t>
  </si>
  <si>
    <t xml:space="preserve">Relieved the problem is over but still annoyed about the wait.</t>
  </si>
  <si>
    <t xml:space="preserve">A small gift tag tied to the apology: the tag says what it is for, how much, and when to use it.</t>
  </si>
  <si>
    <t xml:space="preserve">देरी के लिए माफ़ी के तौर पर, मैंने आपके खाते में $20 का क्रेडिट जोड़ दिया है, जिसे आप अपने किसी भी अगले ऑर्डर पर इस्तेमाल कर सकते हैं।</t>
  </si>
  <si>
    <t xml:space="preserve">Deri ke liye maafi ke taur par, maine aapke account mein $20 ka credit jod diya hai, jise aap apne kisi bhi agle order par istemaal kar sakte hain.</t>
  </si>
  <si>
    <t xml:space="preserve">Because we made you wait, I have given you $20 to spend with us next time.</t>
  </si>
  <si>
    <t xml:space="preserve">It links the gesture clearly to the delay, so it reads as part of the apology, not a trick. It is already done and tells the customer exactly how to use it, so there is nothing to claim or chase.</t>
  </si>
  <si>
    <t xml:space="preserve">As an apology for ___, I have added ___ to your account.</t>
  </si>
  <si>
    <t xml:space="preserve">As an apology for + noun, + I have + past participle + … + which you can + verb …</t>
  </si>
  <si>
    <t xml:space="preserve">"Which you can use…" adds information about the credit without starting a new sentence.</t>
  </si>
  <si>
    <t xml:space="preserve">Saying "as an apology" makes it sincere. "As a special one-time exception" sounds like a favour the customer should be grateful for, which can annoy them.</t>
  </si>
  <si>
    <t xml:space="preserve">✗ As apology of the delay, I have added 20$ credit in your account. → ✓ As an apology for the delay, I have added a $20 credit to your account.</t>
  </si>
  <si>
    <t xml:space="preserve">"As a one-time exception, management has approved compensation." — it sounds grudging and makes the gesture about the company, not the customer.</t>
  </si>
  <si>
    <t xml:space="preserve">Instead of "This is a one-time exception", write "As an apology for the delay, I have added a $20 credit to your account."</t>
  </si>
  <si>
    <t xml:space="preserve">To say sorry for the long wait, I have added a $20 credit to your account for your next order.</t>
  </si>
  <si>
    <t xml:space="preserve">I have also added a $20 credit to your account as an apology for the delay; it will be applied automatically at checkout.</t>
  </si>
  <si>
    <t xml:space="preserve">As a gesture of apology for the delay, I have applied a $20 credit to your account, which you are welcome to use on any future order.</t>
  </si>
  <si>
    <t xml:space="preserve">The credit is already visible under "My account"; please reply if you cannot see it.</t>
  </si>
  <si>
    <t xml:space="preserve">Thank you, that is kind. · I'd rather have a refund than credit. · Does the credit expire?</t>
  </si>
  <si>
    <t xml:space="preserve">Customer: "I don't want credit; I want money back." → Agent: "I understand. I will check today whether the $20 can go back to your original card instead, and I will email you the answer by 5 pm."</t>
  </si>
  <si>
    <t xml:space="preserve">Indian-English emails often say "please use the same" or "kindly avail the offer". International customers may not expect these phrases; name the credit and say how to use it.</t>
  </si>
  <si>
    <t xml:space="preserve">Voice: say it warmly and confirm the customer heard the amount. Chat: one short message, then a check that it shows in their account. Email: put the amount and how to use it on one clear line.</t>
  </si>
  <si>
    <t xml:space="preserve">Do not offer a credit before the main problem is fixed; it can feel like you are trying to buy the customer's silence.</t>
  </si>
  <si>
    <t xml:space="preserve">Customer: My order finally arrived, nine days late. | Agent: I'm sorry your order arrived nine days late. As an apology for the delay, I have added a $20 credit to your account, which you can use on any future order. | Customer: Does it expire? | Agent: It is valid for 12 months, and I have sent the details to your email.</t>
  </si>
  <si>
    <t xml:space="preserve">Apology plus repair: an offer of repair ranked second only to taking responsibility (Lewicki et al., 2016).</t>
  </si>
  <si>
    <t xml:space="preserve">As an apology ____ the delay, I have added a $20 credit to your account, which you can use on any future order.</t>
  </si>
  <si>
    <t xml:space="preserve">Which sentence offers a goodwill credit in the most sincere way?</t>
  </si>
  <si>
    <t xml:space="preserve">A) As a one-time exception, management has approved a $20 credit for your account. | B) As an apology for the delay, I have added a $20 credit to your account today. | C) We have credited $20 to your account, and we hope you will order from us again soon. | D) You can claim a $20 credit for the delay by replying to this email with your order number.</t>
  </si>
  <si>
    <t xml:space="preserve">B links the credit to the delay and says it is already done. A is tempting because it sounds official, but "one-time exception" makes the credit sound like a favour; C sells instead of apologising, and D makes the customer do the work.</t>
  </si>
  <si>
    <t xml:space="preserve">account / added / to / your / credit / have / a / I</t>
  </si>
  <si>
    <t xml:space="preserve">I have added a credit to your account.</t>
  </si>
  <si>
    <t xml:space="preserve">Der se delivery ke liye maafi ke taur par maine aapke account mein $15 ka credit jod diya hai.</t>
  </si>
  <si>
    <t xml:space="preserve">As an apology for the late delivery, I have added a $15 credit to your account.</t>
  </si>
  <si>
    <t xml:space="preserve">Can I use it on sale items?</t>
  </si>
  <si>
    <t xml:space="preserve">Yes, you can use it on any item, including sale items, and it applies automatically at checkout.</t>
  </si>
  <si>
    <t xml:space="preserve">Partner A's furniture delivery was a week late after two missed slots. Partner B writes an email that apologises for the delay and offers a credit, saying how to use it.</t>
  </si>
  <si>
    <t xml:space="preserve">Write two sentences offering a goodwill credit to a customer whose repair took three weeks, and send them as text or a photo for audit.</t>
  </si>
  <si>
    <t xml:space="preserve">Did you link the gesture to the specific delay? · Did you say it is already done? · Did you explain how the customer can use it?</t>
  </si>
  <si>
    <t xml:space="preserve">CSE-A-005</t>
  </si>
  <si>
    <t xml:space="preserve">Thank you for your email. I have passed your case to our customer relations team, and Priya Shah from that team will contact you directly by Wednesday.</t>
  </si>
  <si>
    <t xml:space="preserve">A customer's email says they will take legal action if their insurance claim is not paid, and you must reply calmly without arguing or giving legal opinions; the customer relations team has assigned Priya Shah, who can contact the customer by Wednesday.</t>
  </si>
  <si>
    <t xml:space="preserve">An email mentions lawyers and court. What do you do with the case, who contacts the customer next, and when?</t>
  </si>
  <si>
    <t xml:space="preserve">THANK-you · for-your-E-mail · i've-PASSED-your-CASE · CUS-tom-er-re-LA-tions-TEAM · PRI-ya-SHAH · con-TACT-you · di-RECT-ly · by-WEDNES-day</t>
  </si>
  <si>
    <t xml:space="preserve">If read aloud: passed_your → "pas-chor" · contact_you → "kon-tak-choo" · to_our → "too-wow-er"</t>
  </si>
  <si>
    <t xml:space="preserve">If read aloud: level and calm throughout, with no rising tones; pause after "email", and finish with a clear fall on "Wednesday" so the date sounds certain.</t>
  </si>
  <si>
    <t xml:space="preserve">If read aloud, "Wednesday" is "WENZ-day" (the first "d" is silent), and "relations" begins with a light "r", not a rolled one; "passed" ends in a "t" sound ("past").</t>
  </si>
  <si>
    <t xml:space="preserve">Calm, neutral, respectful</t>
  </si>
  <si>
    <t xml:space="preserve">Angry, distrustful and trying to force a response.</t>
  </si>
  <si>
    <t xml:space="preserve">A relay baton: you do not run the legal race yourself, you pass the baton to the right runner and say when they will arrive.</t>
  </si>
  <si>
    <t xml:space="preserve">आपके ईमेल के लिए धन्यवाद। मैंने आपका मामला हमारी कस्टमर रिलेशन्स टीम को भेज दिया है, और उस टीम की प्रिया शाह बुधवार तक आपसे सीधे संपर्क करेंगी।</t>
  </si>
  <si>
    <t xml:space="preserve">Aapke email ke liye dhanyavaad. Maine aapka maamla hamari customer relations team ko bhej diya hai, aur us team ki Priya Shah budhvaar tak aapse seedhe sampark karengi.</t>
  </si>
  <si>
    <t xml:space="preserve">Thanks for writing. A special team now has your case, and a named person from it will contact you by Wednesday.</t>
  </si>
  <si>
    <t xml:space="preserve">It neither argues with the threat nor ignores it. It shows the case has gone to the right people, gives a real name and a day, and keeps the tone level so nothing in the reply can make things worse.</t>
  </si>
  <si>
    <t xml:space="preserve">I have passed your case to ___, and ___ will contact you by ___.</t>
  </si>
  <si>
    <t xml:space="preserve">I have + passed + object + to + team, + and + name + will + verb + by + day</t>
  </si>
  <si>
    <t xml:space="preserve">"Will contact you by Wednesday" means "on or before Wednesday", so it is a promise with a limit.</t>
  </si>
  <si>
    <t xml:space="preserve">No emotion, no defence and no legal words sounds professional. Lines like "Threats will not help you" or "You are free to go to court" sound hostile and can be quoted against the company.</t>
  </si>
  <si>
    <t xml:space="preserve">✗ Your matter has been forwarded to concerned team, they will contact you soon. → ✓ I have passed your case to our customer relations team, and Priya Shah will contact you directly by Wednesday.</t>
  </si>
  <si>
    <t xml:space="preserve">"There is no need to threaten us." — it judges the customer and turns a complaint into a fight.</t>
  </si>
  <si>
    <t xml:space="preserve">Instead of "We cannot discuss legal matters", write "I have passed your case to our customer relations team, who will contact you directly by Wednesday."</t>
  </si>
  <si>
    <t xml:space="preserve">Thank you for letting us know how serious this is for you. Your case is now with our customer relations team, and Priya Shah will email you by Wednesday.</t>
  </si>
  <si>
    <t xml:space="preserve">I have shared your email and case history with our customer relations team. Priya Shah will be your contact and will be in touch by Wednesday.</t>
  </si>
  <si>
    <t xml:space="preserve">Thank you for your email. I have referred your case to our customer relations team, and Priya Shah, who will manage it from now on, will contact you directly by Wednesday.</t>
  </si>
  <si>
    <t xml:space="preserve">In the meantime, if you have any documents you would like Priya to see, please reply to this email and I will pass them on today.</t>
  </si>
  <si>
    <t xml:space="preserve">Why can't you deal with it yourself? · Wednesday is too late. · Fine, but I expect a proper answer this time.</t>
  </si>
  <si>
    <t xml:space="preserve">Customer: "Wednesday is too late; my lawyer is waiting." → Agent: "I understand the urgency. I have asked Priya to contact you as early as possible, and I will confirm by tomorrow afternoon whether she can reply sooner."</t>
  </si>
  <si>
    <t xml:space="preserve">Indian service emails often say "forwarded to the concerned team, they will revert". International customers may not expect "revert" for "reply", and "the concerned team" sounds faceless; a named person and a day build trust.</t>
  </si>
  <si>
    <t xml:space="preserve">Voice: stay calm, do not argue, and say you will pass it on. Chat: say you are passing it to a specialist team and give the day. Email: keep it short; every word may be shown to a lawyer.</t>
  </si>
  <si>
    <t xml:space="preserve">Do not use this if your company has its own required wording for legal threats; follow that wording and your team lead's instructions.</t>
  </si>
  <si>
    <t xml:space="preserve">Customer: If my claim is not paid, my lawyer will be in touch. | Agent: Thank you for your email. I have passed your case to our customer relations team, and Priya Shah from that team will contact you directly by Wednesday. | Customer: Why not you? | Agent: Priya's team handles cases like yours and can make decisions that I cannot, so she is the best person to help.</t>
  </si>
  <si>
    <t xml:space="preserve">Escalate with a named owner and a clear time; replace vague promises with the next step and a deadline.</t>
  </si>
  <si>
    <t xml:space="preserve">I have ____ (pass) your case to our customer relations team, and Priya Shah from that team will contact you directly by Wednesday.</t>
  </si>
  <si>
    <t xml:space="preserve">passed</t>
  </si>
  <si>
    <t xml:space="preserve">A customer threatens legal action by email. Which reply is the safest and most professional?</t>
  </si>
  <si>
    <t xml:space="preserve">A) I understand you are upset, but there is no need to mention lawyers or courts in an email like this. | B) You are free to take legal action, but it will not make your claim go through any faster than this. | C) I have passed your case to our customer relations team, and Priya Shah will contact you by Wednesday. | D) Your matter has been forwarded to the concerned team, who will get back to you as soon as possible.</t>
  </si>
  <si>
    <t xml:space="preserve">C names the team, a person and a day without arguing. D is tempting because it is polite, but it is vague and gives no name or time. A and B argue with the customer.</t>
  </si>
  <si>
    <t xml:space="preserve">by / will / Wednesday / Priya / you / contact</t>
  </si>
  <si>
    <t xml:space="preserve">Priya will contact you by Wednesday.</t>
  </si>
  <si>
    <t xml:space="preserve">Maine aapka case hamari senior team ko bhej diya hai; Rahul Mehta Friday tak aapko call karenge.</t>
  </si>
  <si>
    <t xml:space="preserve">I have passed your case to our senior team, and Rahul Mehta will call you by Friday.</t>
  </si>
  <si>
    <t xml:space="preserve">I want written confirmation that my complaint is on record.</t>
  </si>
  <si>
    <t xml:space="preserve">Your complaint is recorded under reference CR-4518, and this email is your written confirmation.</t>
  </si>
  <si>
    <t xml:space="preserve">Partner A writes an email saying they will "see the company in court" over a lost parcel. Partner B replies without arguing, names the team and person taking over, and gives a day.</t>
  </si>
  <si>
    <t xml:space="preserve">Write a three-sentence reply to an email that threatens legal action over a refused refund, and send it as text or a photo for audit.</t>
  </si>
  <si>
    <t xml:space="preserve">Did you avoid arguing with or judging the customer? · Did you name a person or team and a day? · Did you avoid giving any legal opinion?</t>
  </si>
  <si>
    <t xml:space="preserve">CSE-A-006</t>
  </si>
  <si>
    <t xml:space="preserve">I saw your post about the missed installation, and I'm sorry it took a public message to get our attention. I'm now handling your case personally, and an engineer is booked for Saturday morning.</t>
  </si>
  <si>
    <t xml:space="preserve">A customer posted on social media that their broadband installation was missed twice, the social team asked you to follow up privately by email, and you have booked an engineer for Saturday morning.</t>
  </si>
  <si>
    <t xml:space="preserve">A customer complained in public and you are now writing privately. What do you admit about how they had to reach you, and what do you take over?</t>
  </si>
  <si>
    <t xml:space="preserve">i-SAW-your-POST · a-bout-the-MISSED-in-stal-LA-tion · and-i'm-SOR-ry · it-TOOK-a-PUB-lic-MES-sage · to-GET-our-at-TEN-tion · i'm-now-HAN-dling · your-CASE · PER-son-al-ly · and-an-en-gi-NEER · is-BOOKED · for-SAT-ur-day-MORN-ing</t>
  </si>
  <si>
    <t xml:space="preserve">If read aloud: saw_your → "saw-yor" · missed_installation → "mis-tin-stuh-LAY-shun" · get_our → "ge-tower"</t>
  </si>
  <si>
    <t xml:space="preserve">If read aloud: sincere and falling on "attention", pause, then a confident, steady tone on "personally", and a clear fall on "Saturday morning".</t>
  </si>
  <si>
    <t xml:space="preserve">If read aloud, "engineer" is en-ji-NEER with stress on the last part, not EN-gi-neer; "missed" ends in a "t" sound ("mist"), and "installation" has stress on LA.</t>
  </si>
  <si>
    <t xml:space="preserve">Humble, personal, decisive</t>
  </si>
  <si>
    <t xml:space="preserve">Frustrated, ignored, and testing whether the company will act now.</t>
  </si>
  <si>
    <t xml:space="preserve">The spotlight is on: step out of the crowd, admit they had to shout, and hand them your own name and a date.</t>
  </si>
  <si>
    <t xml:space="preserve">मैंने इंस्टॉलेशन छूटने के बारे में आपकी पोस्ट देखी, और मुझे खेद है कि हमारा ध्यान खींचने के लिए आपको पब्लिक में मैसेज लिखना पड़ा। अब मैं ख़ुद आपका मामला देख रहा/रही हूँ, और शनिवार सुबह के लिए इंजीनियर बुक है।</t>
  </si>
  <si>
    <t xml:space="preserve">Maine installation chhootne ke baare mein aapki post dekhi, aur mujhe khed hai ki hamara dhyaan kheenchne ke liye aapko public mein message likhna pada. Ab main khud aapka maamla dekh raha/rahi hoon, aur shanivaar subah ke liye engineer book hai.</t>
  </si>
  <si>
    <t xml:space="preserve">I read what you posted. I'm sorry you had to complain in public before we noticed. I'm now looking after your case myself, and an engineer will come on Saturday morning.</t>
  </si>
  <si>
    <t xml:space="preserve">It admits the real failure, that the customer had to go public to be heard, instead of pretending all is normal. Then it gives a single owner and a booked date, which is what moves a public complaint into a private fix.</t>
  </si>
  <si>
    <t xml:space="preserve">I'm sorry it took ___ to ___. I'm now handling your case personally, and ___.</t>
  </si>
  <si>
    <t xml:space="preserve">I'm sorry (that) + it took + noun + to + verb · I'm now + -ing + personally</t>
  </si>
  <si>
    <t xml:space="preserve">"It took a public message to get our attention" means "only a public message made us notice".</t>
  </si>
  <si>
    <t xml:space="preserve">Owning the failure sounds human. Asking the customer to "delete the post" or "please DM us for faster resolution" sounds as if the company cares about its image, not the problem.</t>
  </si>
  <si>
    <t xml:space="preserve">✗ Sorry for the inconvenience, we will look into it soon. → ✓ I'm now handling your case personally, and an engineer is booked for Saturday morning.</t>
  </si>
  <si>
    <t xml:space="preserve">"Could you please take down the post now that we are in touch?" — it puts the company's image before the customer's problem.</t>
  </si>
  <si>
    <t xml:space="preserve">Instead of "We noticed your negative post", write "I saw your post about the missed installation, and I'm sorry it took a public message to get our attention."</t>
  </si>
  <si>
    <t xml:space="preserve">Thank you for raising this, even though you should not have had to do it publicly. I am now your one point of contact, and an engineer is confirmed for Saturday morning.</t>
  </si>
  <si>
    <t xml:space="preserve">I have read your post and your earlier emails, and I'm sorry we let you down twice. I have booked an engineer for Saturday morning and will check with you on Saturday afternoon that everything works.</t>
  </si>
  <si>
    <t xml:space="preserve">I have seen your post regarding the missed installation, and I apologise that it took a public message to bring this to our attention. I am now managing your case personally, and an engineer has been booked for Saturday morning.</t>
  </si>
  <si>
    <t xml:space="preserve">Could you confirm that someone will be at home between 9 am and 12 noon on Saturday?</t>
  </si>
  <si>
    <t xml:space="preserve">Why did it take a public post? · Saturday works, but I've heard that before. · I'll update my post if it actually happens.</t>
  </si>
  <si>
    <t xml:space="preserve">Customer: "I've heard promises before." → Agent: "That is fair. I will call you on Friday evening to confirm the engineer's name and arrival window, and you can reply to me directly at any time."</t>
  </si>
  <si>
    <t xml:space="preserve">Some Indian support replies to public posts say "Request you to share details over DM, we will look into the same." International customers may not expect "the same" for the problem; they want the problem named and an owner.</t>
  </si>
  <si>
    <t xml:space="preserve">Voice: call if possible; a human voice repairs trust faster. Chat: move to a private chat and give your name. Email: one short paragraph with your name, the date and a direct reply address.</t>
  </si>
  <si>
    <t xml:space="preserve">Do not use this if you have not actually booked the fix yet; promising a date you have not confirmed will lead to a second public post.</t>
  </si>
  <si>
    <t xml:space="preserve">Customer: (on social media) Second missed installation. Nobody answers. | Agent: (by email) I saw your post about the missed installation, and I'm sorry it took a public message to get our attention. I'm now handling your case personally, and an engineer is booked for Saturday morning. | Customer: What time? | Agent: Between 9 am and 12 noon. I will call you on Friday to confirm the engineer's name.</t>
  </si>
  <si>
    <t xml:space="preserve">Take ownership: "I'll personally follow up… by 4 pm tomorrow"; give a clear timeline and next step, not vague promises.</t>
  </si>
  <si>
    <t xml:space="preserve">I'm now ____ (handle) your case personally, and an engineer is booked for Saturday morning.</t>
  </si>
  <si>
    <t xml:space="preserve">handling</t>
  </si>
  <si>
    <t xml:space="preserve">A customer complained publicly about a missed installation. Which private email line is best?</t>
  </si>
  <si>
    <t xml:space="preserve">A) Thank you for your message. Now that we are in touch, could you please take down your post about us? | B) We are sorry for any inconvenience caused, and your complaint has been forwarded to our installations team. | C) I'm sorry it took a public message to get our attention. I'm now handling your case personally. | D) We have seen your comments about us online and would like to resolve this issue as soon as possible.</t>
  </si>
  <si>
    <t xml:space="preserve">C admits the failure and takes ownership. A is tempting because the team may want the post gone, but asking for it puts the brand before the customer. B and D give no owner and no date.</t>
  </si>
  <si>
    <t xml:space="preserve">handling / I'm / personally / case / your / now</t>
  </si>
  <si>
    <t xml:space="preserve">I'm now handling your case personally.</t>
  </si>
  <si>
    <t xml:space="preserve">Mujhe khed hai ki aapko public mein likhna pada; ab main khud aapka case dekh raha/rahi hoon.</t>
  </si>
  <si>
    <t xml:space="preserve">I'm sorry you had to raise this publicly. I'm now handling your case personally.</t>
  </si>
  <si>
    <t xml:space="preserve">Will the engineer actually turn up this time?</t>
  </si>
  <si>
    <t xml:space="preserve">That is a fair question after two missed visits. I will confirm the engineer's name and time with you on Friday, and if anything changes I will call you before 8 am on Saturday.</t>
  </si>
  <si>
    <t xml:space="preserve">Partner A posted publicly that a refund promised three times never arrived. Partner B writes the private follow-up email: admits the failure, takes ownership and gives a date.</t>
  </si>
  <si>
    <t xml:space="preserve">Write a private email to a customer who complained publicly about a delayed delivery, taking ownership and giving one booked action, and send it as text or a photo for audit.</t>
  </si>
  <si>
    <t xml:space="preserve">Did you admit the customer had to go public to be heard? · Did you name yourself as the owner? · Did you avoid asking them to delete the post?</t>
  </si>
  <si>
    <t xml:space="preserve">CSE-A-007</t>
  </si>
  <si>
    <t xml:space="preserve">Your app was still connecting to our old server, which is why it kept logging you out. To fix it: 1) sign out, 2) delete the app, 3) install it again and sign in.</t>
  </si>
  <si>
    <t xml:space="preserve">After a technical investigation, you found why a customer's banking app logs them out every few minutes, and you must explain the cause and the fix to a non-technical customer.</t>
  </si>
  <si>
    <t xml:space="preserve">The cause is technical and the customer is not. How do you give the reason in one plain sentence and the fix as short numbered steps?</t>
  </si>
  <si>
    <t xml:space="preserve">your-APP · was-STILL-con-NECT-ing · to-our-OLD-SER-ver · which-is-WHY · it-KEPT-LOG-ging-you-OUT · to-FIX-it · SIGN-OUT · de-LETE-the-APP · in-STALL-it-a-GAIN · and-SIGN-IN</t>
  </si>
  <si>
    <t xml:space="preserve">If read aloud: which_is → "wi-chiz" · logging_you_out → "log-ging-yoo-WOUT" · install_it_again → "in-STAL-lit-uh-GEN"</t>
  </si>
  <si>
    <t xml:space="preserve">If read aloud: a falling tone at the end of the cause, then read each numbered step as a short separate unit with a small pause and a slight rise until the last step, which falls.</t>
  </si>
  <si>
    <t xml:space="preserve">If read aloud, "server" has a "v" sound: top teeth touch the lower lip, not rounded lips as for "w"; and "kept" keeps both final sounds, "p" and "t", not "kep".</t>
  </si>
  <si>
    <t xml:space="preserve">Clear, patient, practical</t>
  </si>
  <si>
    <t xml:space="preserve">Fed up and a little anxious about losing access to their money.</t>
  </si>
  <si>
    <t xml:space="preserve">A short map with three numbered stops: one line saying why the road was blocked, then stop 1, stop 2, stop 3.</t>
  </si>
  <si>
    <t xml:space="preserve">आपका ऐप अब भी हमारे पुराने सर्वर से जुड़ रहा था, इसी वजह से वह आपको बार-बार लॉग आउट कर रहा था। ठीक करने के लिए: 1) साइन आउट करें, 2) ऐप डिलीट करें, 3) उसे दोबारा इंस्टॉल करके साइन इन करें।</t>
  </si>
  <si>
    <t xml:space="preserve">Aapka app ab bhi hamare purane server se jud raha tha, isi wajah se woh aapko baar-baar log out kar raha tha. Theek karne ke liye: 1) sign out karein, 2) app delete karein, 3) use dobara install karke sign in karein.</t>
  </si>
  <si>
    <t xml:space="preserve">The app was talking to an old computer of ours, so it kept signing you out. Sign out, remove the app, put it back and sign in again.</t>
  </si>
  <si>
    <t xml:space="preserve">One plain sentence explains the cause without jargon like "cache" or "token", so the customer trusts the fix. Numbered steps are easy to follow on a phone and reduce follow-up questions.</t>
  </si>
  <si>
    <t xml:space="preserve">___, which is why ___. To fix it: 1) ___, 2) ___, 3) ___.</t>
  </si>
  <si>
    <t xml:space="preserve">Past continuous (was connecting) + , which is why + past simple · imperative steps (sign out, delete, install)</t>
  </si>
  <si>
    <t xml:space="preserve">"Which is why" links a cause to its result in one sentence.</t>
  </si>
  <si>
    <t xml:space="preserve">Plain words show respect for a non-expert. "Please clear the cache and re-authenticate your session token" sounds like a test of the customer's knowledge.</t>
  </si>
  <si>
    <t xml:space="preserve">✗ You have to clear cache and install again the app. → ✓ To fix it: 1) sign out, 2) delete the app, 3) install it again and sign in.</t>
  </si>
  <si>
    <t xml:space="preserve">"The issue is due to legacy endpoint token invalidation." — the customer cannot act on words they do not know.</t>
  </si>
  <si>
    <t xml:space="preserve">Instead of "You have to reinstall the app", write "To fix it: 1) sign out, 2) delete the app, 3) install it again and sign in."</t>
  </si>
  <si>
    <t xml:space="preserve">The logouts happened because your app was still linked to our old server. Three quick steps will fix it: sign out, delete the app, then install it again and sign in.</t>
  </si>
  <si>
    <t xml:space="preserve">We found the cause: your app was using our old server. Please sign out, delete the app, and install it again; when you sign in, it will connect to the new server.</t>
  </si>
  <si>
    <t xml:space="preserve">Our investigation found that your app was still connecting to a server we have retired, which caused the repeated logouts. To resolve this, please: 1) sign out, 2) delete the app, and 3) reinstall it and sign in.</t>
  </si>
  <si>
    <t xml:space="preserve">Once you have signed in again, could you reply to let me know whether you stay logged in?</t>
  </si>
  <si>
    <t xml:space="preserve">Will I lose my saved payees? · Done, it seems to work now. · I'm not sure how to delete an app.</t>
  </si>
  <si>
    <t xml:space="preserve">Customer: "Why should I do the work? It's your fault." → Agent: "You're right that the cause was on our side, and I'm sorry. These steps take about two minutes, and if you prefer, I can call you and go through them together."</t>
  </si>
  <si>
    <t xml:space="preserve">"Kindly do the needful" is common in Indian technical emails. International customers may not expect it, because it does not say what to do; name each action as a numbered step.</t>
  </si>
  <si>
    <t xml:space="preserve">Voice: give one step at a time and wait for "done". Chat: send each step as a separate short message. Email: number the steps, one per line.</t>
  </si>
  <si>
    <t xml:space="preserve">Do not give numbered self-fix steps to a customer who has said they are not comfortable with technology; offer to call and guide them.</t>
  </si>
  <si>
    <t xml:space="preserve">Customer: Your app logs me out every five minutes! | Agent: Your app was still connecting to our old server, which is why it kept logging you out. To fix it: 1) sign out, 2) delete the app, 3) install it again and sign in. | Customer: Will I lose my data? | Agent: No, your accounts and payees are stored with us, so they will be there when you sign in.</t>
  </si>
  <si>
    <t xml:space="preserve">Email body: plain words, number multi-step instructions, and one clear next step (ICMI plain language).</t>
  </si>
  <si>
    <t xml:space="preserve">Your app was still connecting to our old server, w____ is why it kept logging you out.</t>
  </si>
  <si>
    <t xml:space="preserve">which</t>
  </si>
  <si>
    <t xml:space="preserve">Which explanation of a technical fix is best for a non-technical customer?</t>
  </si>
  <si>
    <t xml:space="preserve">A) The app was using our old server; to fix it, sign out, delete the app and install it again. | B) The logouts are caused by an expired session token, so please clear your cache and sign in again. | C) We are aware of a backend issue with the login service, and our engineers are working on it now. | D) This is a known issue, so you have to delete the app and install it again before you can log in.</t>
  </si>
  <si>
    <t xml:space="preserve">A gives a plain cause and clear steps. B is tempting because it is technically correct, but most customers do not know what a cache or token is. C gives no steps, and D sounds like an order.</t>
  </si>
  <si>
    <t xml:space="preserve">logging / it / kept / why / is / you / which / out</t>
  </si>
  <si>
    <t xml:space="preserve">which is why it kept logging you out</t>
  </si>
  <si>
    <t xml:space="preserve">Printer purane driver ki wajah se band ho raha tha; naya driver install kariye aur printer restart kariye.</t>
  </si>
  <si>
    <t xml:space="preserve">The printer was stopping because of an old driver. To fix it: 1) install the new driver, 2) restart the printer.</t>
  </si>
  <si>
    <t xml:space="preserve">It still logs me out after I did all three steps.</t>
  </si>
  <si>
    <t xml:space="preserve">I'm sorry that did not fix it, and thank you for trying. I have asked our technical team to reset your account from our side today, and I will email you by 4 pm once it is done.</t>
  </si>
  <si>
    <t xml:space="preserve">Partner A's smart TV app keeps freezing because of an old version. Partner B writes an email explaining the cause in one plain sentence and the fix in three numbered steps.</t>
  </si>
  <si>
    <t xml:space="preserve">Write an email explaining in plain words why a customer's emails are not syncing, with a three-step numbered fix, and send it as text or a photo for audit.</t>
  </si>
  <si>
    <t xml:space="preserve">Did you explain the cause without jargon? · Did you number the steps? · Did each step start with a clear action verb?</t>
  </si>
  <si>
    <t xml:space="preserve">CSE-A-008</t>
  </si>
  <si>
    <t xml:space="preserve">Here is where things stand: the refund for your headphones has been processed, but our warehouse team is still tracing the missing charger. I will update you on the charger by Friday.</t>
  </si>
  <si>
    <t xml:space="preserve">A customer raised two problems in one order; one is solved and one is still open, and you need to report both honestly in one email.</t>
  </si>
  <si>
    <t xml:space="preserve">One part of the problem is solved and one is not. How do you report both clearly without making the whole case sound finished?</t>
  </si>
  <si>
    <t xml:space="preserve">HERE-is-WHERE-things-STAND · the-RE-fund · for-your-HEAD-phones · has-been-PRO-cessed · but-our-WARE-house-TEAM · is-still-TRAY-sing · the-MISS-ing-CHAR-ger · i-will-up-DATE-you · on-the-CHAR-ger · by-FRI-day</t>
  </si>
  <si>
    <t xml:space="preserve">If read aloud: here_is → "hee-riz" · update_you → "up-DAY-choo" · you_on → "yoo-won"</t>
  </si>
  <si>
    <t xml:space="preserve">If read aloud: a slight pause after "stand", a falling, satisfied tone on "processed", a lower, serious tone after "but", and a firm fall on "Friday".</t>
  </si>
  <si>
    <t xml:space="preserve">If read aloud, "things" starts with "th" (tongue between the teeth), not "tings"; "processed" ends with "st" ("PRO-sest"), keeping both final sounds.</t>
  </si>
  <si>
    <t xml:space="preserve">Honest, organised, reassuring</t>
  </si>
  <si>
    <t xml:space="preserve">Pleased about the refund but worried the rest will be forgotten.</t>
  </si>
  <si>
    <t xml:space="preserve">A two-column scoreboard: DONE on the left, STILL OPEN on the right, with a date written under the open column.</t>
  </si>
  <si>
    <t xml:space="preserve">अभी की स्थिति यह है: आपके हेडफ़ोन का रिफ़ंड प्रोसेस हो चुका है, लेकिन हमारी वेयरहाउस टीम अभी भी खोए हुए चार्जर को ढूँढ रही है। मैं चार्जर के बारे में शुक्रवार तक आपको अपडेट दूँगा/दूँगी।</t>
  </si>
  <si>
    <t xml:space="preserve">Abhi ki sthiti yeh hai: aapke headphones ka refund process ho chuka hai, lekin hamari warehouse team abhi bhi khoye hue charger ko dhoondh rahi hai. Main charger ke baare mein shukravaar tak aapko update doonga/doongi.</t>
  </si>
  <si>
    <t xml:space="preserve">Your money for the headphones is on its way back. We are still looking for the charger. I will tell you more by Friday.</t>
  </si>
  <si>
    <t xml:space="preserve">It separates what is done from what is not, so the customer does not think the whole case is closed. The open part has an owner and a date, which stops the customer from chasing.</t>
  </si>
  <si>
    <t xml:space="preserve">Here is where things stand: ___ has been ___, but ___ is still ___. I will update you on ___ by ___.</t>
  </si>
  <si>
    <t xml:space="preserve">Present perfect passive (has been processed) for done · present continuous (is still tracing) for not done · I will + verb + by + day</t>
  </si>
  <si>
    <t xml:space="preserve">"Has been processed" means it is finished; "is still tracing" means the work is going on now.</t>
  </si>
  <si>
    <t xml:space="preserve">Clear, balanced reporting sounds trustworthy. "Your issue has been resolved" when part of it is still open sounds dishonest and leads to angrier emails later.</t>
  </si>
  <si>
    <t xml:space="preserve">✗ Your issue is resolved, only charger is pending. → ✓ The refund for your headphones has been processed, but our warehouse team is still tracing the missing charger.</t>
  </si>
  <si>
    <t xml:space="preserve">"Your complaint is resolved." — when only half is fixed, it is not true and the customer will reopen the case angrier.</t>
  </si>
  <si>
    <t xml:space="preserve">Instead of "The charger is not found yet", write "Our warehouse team is still tracing the missing charger, and I will update you by Friday."</t>
  </si>
  <si>
    <t xml:space="preserve">Here is an update on both parts of your request. The headphones refund is complete; the missing charger is still being traced, and I will write to you about it by Friday.</t>
  </si>
  <si>
    <t xml:space="preserve">Good news first: your headphones refund has gone through. Our warehouse team is still looking for the missing charger, and you will hear from me by Friday.</t>
  </si>
  <si>
    <t xml:space="preserve">I would like to update you on both matters. The refund for your headphones has now been processed; however, our warehouse team is still tracing the missing charger, and I will provide an update on this by Friday.</t>
  </si>
  <si>
    <t xml:space="preserve">If the charger cannot be found by Friday, would you prefer a replacement or a refund for it?</t>
  </si>
  <si>
    <t xml:space="preserve">Thanks, I can see the refund. · Why is the charger taking so long? · Just send me a new charger instead.</t>
  </si>
  <si>
    <t xml:space="preserve">Customer: "Just send a new one; I don't care about tracing it." → Agent: "Of course. I have ordered a new charger for you today, and I will email you the tracking number by tomorrow."</t>
  </si>
  <si>
    <t xml:space="preserve">Indian-English updates often say "the matter is under process". International customers may not expect this phrase; it does not say who is doing what or when it will finish.</t>
  </si>
  <si>
    <t xml:space="preserve">Voice: say "two updates" first, then each one. Chat: one message for the done part, one for the open part. Email: you can use two short lines, "Done:" and "Still open:".</t>
  </si>
  <si>
    <t xml:space="preserve">Do not use this to close a ticket; if part of the issue is still open, the ticket should stay open too.</t>
  </si>
  <si>
    <t xml:space="preserve">Customer: Any news on my refund and the missing charger? | Agent: Here is where things stand: the refund for your headphones has been processed, but our warehouse team is still tracing the missing charger. I will update you on the charger by Friday. | Customer: And if it is lost? | Agent: Then on Friday I will offer you a new charger at no cost or a refund, whichever you prefer.</t>
  </si>
  <si>
    <t xml:space="preserve">Be specific about what will happen and when: a clear timeline, a reference and the next step.</t>
  </si>
  <si>
    <t xml:space="preserve">The refund for your headphones has been ____ (process), but our warehouse team is still tracing the missing charger.</t>
  </si>
  <si>
    <t xml:space="preserve">processed</t>
  </si>
  <si>
    <t xml:space="preserve">One part of a customer's problem is fixed and one is not. Which update is best?</t>
  </si>
  <si>
    <t xml:space="preserve">A) Your issue has been resolved, and we will contact you again only if anything else comes up. | B) The refund is complete, and the charger is being handled by our warehouse team at the moment. | C) We are working on both parts of your case and will update you as soon as we have any news. | D) The refund is done, but the charger is still being traced; I will update you by Friday.</t>
  </si>
  <si>
    <t xml:space="preserve">D separates the done part from the open part and gives a date. A is tempting because it sounds positive, but it is not true when the charger is still missing. B and C give no date for the open part.</t>
  </si>
  <si>
    <t xml:space="preserve">by / update / will / I / Friday / you</t>
  </si>
  <si>
    <t xml:space="preserve">I will update you by Friday.</t>
  </si>
  <si>
    <t xml:space="preserve">Aapka refund ho gaya hai, lekin replacement abhi tak dispatch nahin hua; main kal tak update doonga/doongi.</t>
  </si>
  <si>
    <t xml:space="preserve">Your refund has been processed, but the replacement has not been dispatched yet. I will update you by tomorrow.</t>
  </si>
  <si>
    <t xml:space="preserve">So is my case closed now?</t>
  </si>
  <si>
    <t xml:space="preserve">Not yet. I will keep it open until the charger question is settled, and I will write to you by Friday either way.</t>
  </si>
  <si>
    <t xml:space="preserve">Partner A ordered a sofa and cushions; the sofa was refunded but the cushions are still missing. Partner B writes an update that reports both parts and gives a date.</t>
  </si>
  <si>
    <t xml:space="preserve">Write an email update in which a damaged phone has been replaced but the case is still waiting for a refund of the delivery fee, and send it as text or a photo for audit.</t>
  </si>
  <si>
    <t xml:space="preserve">Did you clearly say what is done? · Did you clearly say what is still open? · Did you give a date for the open part?</t>
  </si>
  <si>
    <t xml:space="preserve">CSE-A-009</t>
  </si>
  <si>
    <t xml:space="preserve">I need to correct something I told you yesterday: your warranty covers the screen for 12 months, not 24. I'm sorry I gave you the wrong figure, and the repair you booked is still covered.</t>
  </si>
  <si>
    <t xml:space="preserve">You told a customer yesterday that their screen warranty lasts 24 months, but you have checked and it is 12, so you must correct it in writing.</t>
  </si>
  <si>
    <t xml:space="preserve">You gave a customer wrong information yesterday. How do you correct it at once, own the error and reassure them about what still stands?</t>
  </si>
  <si>
    <t xml:space="preserve">i-NEED-to-cor-RECT · SOME-thing · i-TOLD-you-YES-ter-day · your-WAR-ran-ty · COV-ers-the-SCREEN · for-TWELVE-MONTHS · NOT-TWEN-ty-FOUR · i'm-SOR-ry · i-GAVE-you-the-WRONG-FIG-ure · and-the-re-PAIR · you-BOOKED · is-STILL-COV-ered</t>
  </si>
  <si>
    <t xml:space="preserve">If read aloud: need_to → "nee-tuh" · told_you → "tol-joo" · gave_you → "gay-vyoo"</t>
  </si>
  <si>
    <t xml:space="preserve">If read aloud: steady and direct up to the colon, a short pause, strong contrastive stress on "twelve" and "not twenty-four", then a softer, reassuring fall on "still covered".</t>
  </si>
  <si>
    <t xml:space="preserve">If read aloud, "months" ends in "nths": say the "th" and the "s" ("munths"), not "munts"; "warranty" is WOR-ran-ty with the "w" made with rounded lips, not teeth on lip.</t>
  </si>
  <si>
    <t xml:space="preserve">Honest, direct, reassuring</t>
  </si>
  <si>
    <t xml:space="preserve">Surprised, possibly suspicious, and worried about what else was wrong.</t>
  </si>
  <si>
    <t xml:space="preserve">A red pen on yesterday's note: cross out 24, write 12, and draw a tick next to the repair that still stands.</t>
  </si>
  <si>
    <t xml:space="preserve">मैंने आपको कल जो बताया था, उसमें सुधार करना है: आपकी वारंटी स्क्रीन को 24 नहीं, 12 महीने तक कवर करती है। ग़लत आँकड़ा बताने के लिए मुझे खेद है, और आपने जो रिपेयर बुक किया है वह अब भी कवर है।</t>
  </si>
  <si>
    <t xml:space="preserve">Maine aapko kal jo bataya tha, usmein sudhaar karna hai: aapki warranty screen ko 24 nahin, 12 mahine tak cover karti hai. Galat aankda batane ke liye mujhe khed hai, aur aapne jo repair book kiya hai woh ab bhi cover hai.</t>
  </si>
  <si>
    <t xml:space="preserve">I gave you a wrong number yesterday. The screen warranty is one year, not two. Sorry for that. Your booked repair is still covered by the warranty.</t>
  </si>
  <si>
    <t xml:space="preserve">It corrects the mistake in the first sentence instead of hiding it in the middle, and it owns the error with "I told you". It then removes the customer's biggest worry by confirming what has not changed.</t>
  </si>
  <si>
    <t xml:space="preserve">I need to correct something I told you ___: ___, not ___.</t>
  </si>
  <si>
    <t xml:space="preserve">I need to + verb · something (that) I told you + time · X, not Y (contrast)</t>
  </si>
  <si>
    <t xml:space="preserve">"X, not Y" is a short way to replace a wrong fact with the right one.</t>
  </si>
  <si>
    <t xml:space="preserve">Correcting quickly and plainly builds trust. Writing "There was some miscommunication" hides who made the mistake and sounds evasive.</t>
  </si>
  <si>
    <t xml:space="preserve">✗ Please note there was some miscommunication regarding the warranty period. → ✓ I need to correct something I told you yesterday: your warranty covers the screen for 12 months, not 24.</t>
  </si>
  <si>
    <t xml:space="preserve">"There seems to have been a misunderstanding on your part." — it blames the customer for your error.</t>
  </si>
  <si>
    <t xml:space="preserve">Instead of "The information given earlier was wrong", write "I need to correct something I told you yesterday."</t>
  </si>
  <si>
    <t xml:space="preserve">I'm writing to correct my email from yesterday: the screen warranty is 12 months, not 24. I'm sorry for the mistake; your booked repair is not affected.</t>
  </si>
  <si>
    <t xml:space="preserve">I gave you the wrong warranty period yesterday, and I apologise. It is 12 months for the screen, and your repair on Monday is still covered.</t>
  </si>
  <si>
    <t xml:space="preserve">I must correct the information I gave you yesterday: your warranty covers the screen for 12 months, not 24. I apologise for giving you the wrong figure; your booked repair remains fully covered.</t>
  </si>
  <si>
    <t xml:space="preserve">If you made any decision based on the 24 months I mentioned, please tell me and I will check your options and reply by tomorrow.</t>
  </si>
  <si>
    <t xml:space="preserve">Thanks for being honest. · So what else did you get wrong? · I only bought the extended cover because of what you said.</t>
  </si>
  <si>
    <t xml:space="preserve">Customer: "I bought extra cover because you said 24 months." → Agent: "I understand, and I'm sorry my mistake led you to buy it. I will ask for that cover to be cancelled and refunded in full, and I will confirm by tomorrow."</t>
  </si>
  <si>
    <t xml:space="preserve">Indian-English emails sometimes say "please ignore the previous mail" without saying what was wrong. International customers may not expect this; state the correct fact and own the mistake.</t>
  </si>
  <si>
    <t xml:space="preserve">Voice: say "I need to correct something" first, slowly, so the caller listens. Chat: one short message with the right fact. Email: put the corrected fact in the first line, and in bold if your tool allows.</t>
  </si>
  <si>
    <t xml:space="preserve">Do not send this until you have checked the correct figure yourself; a second wrong number is worse than a short delay.</t>
  </si>
  <si>
    <t xml:space="preserve">Customer: Thanks for confirming the two-year screen warranty. | Agent: I need to correct something I told you yesterday: your warranty covers the screen for 12 months, not 24. I'm sorry I gave you the wrong figure, and the repair you booked is still covered. | Customer: OK, at least the repair is fine. | Agent: Yes, it is confirmed for Monday at no cost.</t>
  </si>
  <si>
    <t xml:space="preserve">Apologise specifically and take responsibility, then confirm what you will do (Lewicki et al., 2016).</t>
  </si>
  <si>
    <t xml:space="preserve">I need to correct something I told you yesterday: your warranty covers the screen for 12 months, ____ 24.</t>
  </si>
  <si>
    <t xml:space="preserve">You gave a customer the wrong warranty period yesterday. Which sentence starts the correction best?</t>
  </si>
  <si>
    <t xml:space="preserve">A) I need to correct something I told you yesterday: your screen warranty is 12 months, not 24. | B) Please ignore my previous email, as it contained some incorrect information about your warranty. | C) There was some miscommunication yesterday about your warranty, and I would like to clarify it. | D) Our records show that your screen warranty is 12 months, so the earlier figure does not apply.</t>
  </si>
  <si>
    <t xml:space="preserve">A owns the mistake and gives the correct fact. C is tempting because it sounds soft, but it hides who made the error. B and D change the fact without owning the mistake.</t>
  </si>
  <si>
    <t xml:space="preserve">told / to / correct / you / I / something / need / I</t>
  </si>
  <si>
    <t xml:space="preserve">I need to correct something I told you.</t>
  </si>
  <si>
    <t xml:space="preserve">Maine aapko kal jo bataya tha, use sahi karna hai: aapki delivery Tuesday ko nahin, Thursday ko hogi.</t>
  </si>
  <si>
    <t xml:space="preserve">I need to correct something I told you yesterday: your delivery is on Thursday, not Tuesday.</t>
  </si>
  <si>
    <t xml:space="preserve">How do I know the 12 months is right?</t>
  </si>
  <si>
    <t xml:space="preserve">That is a fair question. I have attached the warranty page for your model, and the screen cover is on page 2.</t>
  </si>
  <si>
    <t xml:space="preserve">Partner A was told a refund would take three days, but it takes ten. Partner B writes an email that corrects the information, apologises and confirms what still stands.</t>
  </si>
  <si>
    <t xml:space="preserve">Write an email correcting a delivery date you gave a customer by mistake, and send it as text or a photo for audit.</t>
  </si>
  <si>
    <t xml:space="preserve">Did the correct fact appear in your first sentence? · Did you say "I" told you, not "there was a miscommunication"? · Did you confirm what has not changed?</t>
  </si>
  <si>
    <t xml:space="preserve">CSE-A-010</t>
  </si>
  <si>
    <t xml:space="preserve">To sum up: your two accounts have been merged, the duplicate charge has been refunded, and your new plan starts on 1 June. As everything is now sorted, I'll close this ticket, but you can reopen it at any time by replying to this email.</t>
  </si>
  <si>
    <t xml:space="preserve">After a two-week email thread with several problems, everything is now fixed and you are writing the final email to close the ticket.</t>
  </si>
  <si>
    <t xml:space="preserve">A long thread is finally finished. How do you list what was done, check it is all settled and tell the customer how to come back?</t>
  </si>
  <si>
    <t xml:space="preserve">to-SUM-UP · your-TWO-ac-COUNTS · have-been-MERGED · the-DU-pli-cate-CHARGE · has-been-re-FUND-ed · and-your-NEW-PLAN · STARTS-on-the-FIRST-of-JUNE · as-EV-ry-thing-is-now-SOR-ted · i'll-CLOSE-this-TICK-et · but-you-can-re-O-pen-it · at-an-y-TIME · by-re-PLY-ing · to-this-E-mail</t>
  </si>
  <si>
    <t xml:space="preserve">If read aloud: sum_up → "suh-mup" · accounts_have → "a-COUNT-sav" · reopen_it → "ree-oh-pe-nit"</t>
  </si>
  <si>
    <t xml:space="preserve">If read aloud: a short pause after "sum up", a slight rise on each of the first two items and a fall on "1 June", then a friendly, falling tone on "replying to this email".</t>
  </si>
  <si>
    <t xml:space="preserve">If read aloud, "merged" ends in "rjd" said together ("murjd"), not "mer-ged"; "accounts" keeps the final "nts", not "accoun".</t>
  </si>
  <si>
    <t xml:space="preserve">Organised, confident, open</t>
  </si>
  <si>
    <t xml:space="preserve">Tired of the long thread and relieved it might be over.</t>
  </si>
  <si>
    <t xml:space="preserve">A receipt at the end of shopping: each item listed, a total line saying "done", and a note that returns are welcome.</t>
  </si>
  <si>
    <t xml:space="preserve">संक्षेप में: आपके दोनों खाते मर्ज कर दिए गए हैं, दोहरा चार्ज वापस कर दिया गया है, और आपका नया प्लान 1 जून से शुरू होगा। अब सब कुछ ठीक हो गया है, इसलिए मैं यह टिकट बंद कर रहा/रही हूँ, लेकिन आप इस ईमेल का जवाब देकर इसे कभी भी फिर से खोल सकते हैं।</t>
  </si>
  <si>
    <t xml:space="preserve">Sankshep mein: aapke dono account merge kar diye gaye hain, dohra charge wapas kar diya gaya hai, aur aapka naya plan 1 June se shuru hoga. Ab sab kuch theek ho gaya hai, isliye main yeh ticket band kar raha/rahi hoon, lekin aap is email ka jawaab dekar ise kabhi bhi phir se khol sakte hain.</t>
  </si>
  <si>
    <t xml:space="preserve">Here is everything we did. It is all finished, so I am closing your case, but just reply if you need us again.</t>
  </si>
  <si>
    <t xml:space="preserve">Listing each outcome lets the customer check nothing was missed after a long thread. Saying how to reopen the ticket makes closing it feel safe, not like being dismissed.</t>
  </si>
  <si>
    <t xml:space="preserve">To sum up: ___, ___, and ___. As everything is now sorted, I'll close this ticket, but ___.</t>
  </si>
  <si>
    <t xml:space="preserve">To sum up: + list of present perfect passives (have been merged, has been refunded) · As + reason, + I'll + verb, + but + you can + verb</t>
  </si>
  <si>
    <t xml:space="preserve">"Has been refunded" (present perfect passive) says the job is done without repeating "I did" each time.</t>
  </si>
  <si>
    <t xml:space="preserve">A clear summary sounds professional and caring. "Closing this ticket as no further action is required" sounds cold and as if the company wants to get rid of the customer.</t>
  </si>
  <si>
    <t xml:space="preserve">✗ As discussed, all issues are resolved, hence closing the ticket. → ✓ To sum up: your two accounts have been merged, the duplicate charge has been refunded, and your new plan starts on 1 June.</t>
  </si>
  <si>
    <t xml:space="preserve">"We are closing this ticket as no further action is required from our end." — it sounds cold and gives no way back.</t>
  </si>
  <si>
    <t xml:space="preserve">Instead of "This ticket will be closed", write "As everything is now sorted, I'll close this ticket, but you can reopen it at any time by replying to this email."</t>
  </si>
  <si>
    <t xml:space="preserve">Here is a quick summary: your accounts are merged, the extra charge is refunded, and your new plan begins on 1 June. I'll close the ticket now; just reply to this email if anything else comes up.</t>
  </si>
  <si>
    <t xml:space="preserve">Everything we discussed is now done: accounts merged, duplicate charge refunded, new plan from 1 June. I'm closing this ticket, and a reply to this email will reopen it.</t>
  </si>
  <si>
    <t xml:space="preserve">To summarise, your two accounts have been merged, the duplicate charge has been refunded, and your new plan will begin on 1 June. As all matters are now resolved, I will close this ticket; however, you may reopen it at any time by replying to this email.</t>
  </si>
  <si>
    <t xml:space="preserve">Thank you for your patience over the past two weeks, and I hope the new plan works well for you.</t>
  </si>
  <si>
    <t xml:space="preserve">Thanks, that all looks right. · Wait, I still haven't received the refund. · Can I keep your name for next time?</t>
  </si>
  <si>
    <t xml:space="preserve">Customer: "The refund still isn't in my account." → Agent: "Thank you for telling me. I will keep the ticket open, check the refund with our payments team today, and send you the bank reference by tomorrow."</t>
  </si>
  <si>
    <t xml:space="preserve">Indian-English closing emails often use "hence closing the ticket" or "thanks and regards". International customers may not expect "hence"; a plain summary and "I'll close this ticket" sound friendlier.</t>
  </si>
  <si>
    <t xml:space="preserve">Voice: summarise aloud, then ask whether everything is resolved before closing. Chat: send the summary as a short list, then ask "Is everything sorted on your side?". Email: use the summary line, or a short list if there are more than three items.</t>
  </si>
  <si>
    <t xml:space="preserve">Do not send this if any item is still open; use a partial-update email instead and keep the ticket open.</t>
  </si>
  <si>
    <t xml:space="preserve">Customer: I think that's everything now. | Agent: To sum up: your two accounts have been merged, the duplicate charge has been refunded, and your new plan starts on 1 June. As everything is now sorted, I'll close this ticket, but you can reopen it at any time by replying to this email. | Customer: Great, thanks for sticking with it. | Agent: You're welcome. Thank you for your patience over the past two weeks.</t>
  </si>
  <si>
    <t xml:space="preserve">Close by summarising the outcomes and next steps; check the issue is resolved before closing.</t>
  </si>
  <si>
    <t xml:space="preserve">To sum up: your two accounts have been merged, the duplicate charge has been ____ (refund), and your new plan starts on 1 June.</t>
  </si>
  <si>
    <t xml:space="preserve">You are closing a long email thread where every issue is now fixed. Which closing is best?</t>
  </si>
  <si>
    <t xml:space="preserve">A) To sum up: accounts merged, charge refunded, new plan from 1 June. Reply to this email to reopen the ticket. | B) As all of your issues are now resolved, this ticket is closed and no further action is required from our end. | C) Your accounts, refund and new plan are all dealt with. Thank you for contacting us, and have a good day. | D) Thank you for your patience over the past two weeks. Is there anything else I can help you with today?</t>
  </si>
  <si>
    <t xml:space="preserve">A lists every outcome and gives a way back. D is tempting because it is polite, but at the end of a long thread the customer needs a summary, not an open question. B sounds cold, and C gives no way back.</t>
  </si>
  <si>
    <t xml:space="preserve">email / replying / reopen / you / to / it / can / by / this</t>
  </si>
  <si>
    <t xml:space="preserve">You can reopen it by replying to this email.</t>
  </si>
  <si>
    <t xml:space="preserve">Sankshep mein: aapka address update ho gaya hai aur naya card bhej diya gaya hai. Main yeh ticket ab band kar raha/rahi hoon, lekin aap is email ka jawaab dekar ise phir se khol sakte hain.</t>
  </si>
  <si>
    <t xml:space="preserve">To sum up: your address has been updated and your new card has been sent. I'll close this ticket now, but you can reply to this email to reopen it.</t>
  </si>
  <si>
    <t xml:space="preserve">Thanks. Can I contact you directly if something goes wrong?</t>
  </si>
  <si>
    <t xml:space="preserve">Yes. Reply to this email and the ticket will reopen with the full history, so you will not need to explain everything again.</t>
  </si>
  <si>
    <t xml:space="preserve">Partner A has had a three-week thread about a broken fridge: a repair, a refund of the call-out fee and a new warranty. Partner B writes the closing email with a summary.</t>
  </si>
  <si>
    <t xml:space="preserve">Write a closing email that summarises three things fixed on a customer's broadband account and tells them how to reopen the ticket, and send it as text or a photo for audit.</t>
  </si>
  <si>
    <t xml:space="preserve">Did you list every outcome? · Did you check that nothing is still open? · Did you tell the customer how to reopen the ticket?</t>
  </si>
  <si>
    <t xml:space="preserve">CSE-A-011</t>
  </si>
  <si>
    <t xml:space="preserve">If you feel we have put things right, we would be grateful for a short review. If something still isn't right, please reply to this email so I can fix it.</t>
  </si>
  <si>
    <t xml:space="preserve">A difficult case has just been resolved after a complaint, and you want to ask for a review without pressuring a customer who was recently upset.</t>
  </si>
  <si>
    <t xml:space="preserve">A recently upset customer is now happy. How do you ask for a review without pressure, and what do you offer if they are still not happy?</t>
  </si>
  <si>
    <t xml:space="preserve">if-you-FEEL · we-have-PUT-things-RIGHT · we-would-be-GRATE-ful · for-a-SHORT-re-VIEW · if-SOME-thing · STILL-ISN'T-RIGHT · please-re-PLY-to-this-E-mail · so-i-can-FIX-it</t>
  </si>
  <si>
    <t xml:space="preserve">If read aloud: if_you → "i-fyoo" · so_I → "soh-wy" · fix_it → "fik-sit"</t>
  </si>
  <si>
    <t xml:space="preserve">If read aloud: a gentle rise on "put things right", a soft fall on "review", a short pause, then a warm, steady tone on "reply to this email".</t>
  </si>
  <si>
    <t xml:space="preserve">If read aloud, "review" has a "v" sound: top teeth touch the lower lip ("ri-VYOO"), not "ri-wyoo"; and "grateful" is GRATE-ful, two syllables, with a clear "t".</t>
  </si>
  <si>
    <t xml:space="preserve">Respectful, modest, open</t>
  </si>
  <si>
    <t xml:space="preserve">Satisfied now, but still remembering the earlier frustration.</t>
  </si>
  <si>
    <t xml:space="preserve">A door with two handles: one says "review us", the other says "tell me what is wrong", and the customer chooses.</t>
  </si>
  <si>
    <t xml:space="preserve">अगर आपको लगता है कि हमने चीज़ें ठीक कर दी हैं, तो एक छोटा रिव्यू देने पर हम आभारी होंगे। अगर अब भी कुछ ठीक नहीं है, तो कृपया इस ईमेल का जवाब दें ताकि मैं उसे ठीक कर सकूँ।</t>
  </si>
  <si>
    <t xml:space="preserve">Agar aapko lagta hai ki humne cheezein theek kar di hain, to ek chhota review dene par hum aabhaari honge. Agar ab bhi kuch theek nahin hai, to kripya is email ka jawaab dein taaki main use theek kar sakoon.</t>
  </si>
  <si>
    <t xml:space="preserve">If you are happy with how we fixed this, please write a short review. If not, reply to this email and I will fix it.</t>
  </si>
  <si>
    <t xml:space="preserve">The "if you feel" condition leaves the choice with the customer, so it does not sound like pressure. Offering a route for problems shows you care more about fixing things than about the score.</t>
  </si>
  <si>
    <t xml:space="preserve">If you feel ___, we would be grateful for ___. If ___, please ___ so I can ___.</t>
  </si>
  <si>
    <t xml:space="preserve">If + present simple, + we would be grateful for + noun · If + present simple, + please + verb + so (that) + I can + verb</t>
  </si>
  <si>
    <t xml:space="preserve">"We would be grateful for" is a polite, indirect way to ask for something.</t>
  </si>
  <si>
    <t xml:space="preserve">The conditional makes the request modest. "Please give us 5 stars" sounds like pressure, and it can feel insulting to a customer who has just had a bad experience.</t>
  </si>
  <si>
    <t xml:space="preserve">✗ Please give 5-star rating for my service, it is very important to me. → ✓ If you feel we have put things right, we would be grateful for a short review.</t>
  </si>
  <si>
    <t xml:space="preserve">"Please rate us 5 stars, it helps my performance." — it pressures the customer and makes the review about the agent.</t>
  </si>
  <si>
    <t xml:space="preserve">Instead of "Contact me before you post anything", write "If something still isn't right, please reply to this email so I can fix it."</t>
  </si>
  <si>
    <t xml:space="preserve">If you are happy with how this was handled, a short review would mean a lot to our team. If not, please tell me what is still wrong.</t>
  </si>
  <si>
    <t xml:space="preserve">When you have a moment, and only if you feel we put things right, we would welcome a short review. I'm also here if anything still needs fixing.</t>
  </si>
  <si>
    <t xml:space="preserve">Should you feel that we have resolved matters to your satisfaction, we would be grateful for a brief review. If anything remains unresolved, please reply to me directly so that I can address it.</t>
  </si>
  <si>
    <t xml:space="preserve">Thank you again for your patience while we sorted this out.</t>
  </si>
  <si>
    <t xml:space="preserve">Sure, happy to. · I'll think about it. · Honestly, the delay still annoys me.</t>
  </si>
  <si>
    <t xml:space="preserve">Customer: "Honestly, the delay still annoys me." → Agent: "That is completely fair, and thank you for telling me. Please do not feel any need to leave a review; is there anything I can still do about the delay?"</t>
  </si>
  <si>
    <t xml:space="preserve">Indian-English requests often say "kindly give your valuable feedback" or "kindly rate 5 stars". International customers may not expect this; a soft, optional request sounds more sincere.</t>
  </si>
  <si>
    <t xml:space="preserve">Voice: ask lightly at the very end, only if the caller is clearly happy. Chat: one short line after the customer says thanks. Email: put the review request after the summary, never in the subject line.</t>
  </si>
  <si>
    <t xml:space="preserve">Do not ask for a review when the customer is still upset or the issue is only partly fixed.</t>
  </si>
  <si>
    <t xml:space="preserve">Customer: Thanks, the new phone works perfectly. | Agent: I'm glad to hear it. If you feel we have put things right, we would be grateful for a short review. If something still isn't right, please reply to this email so I can fix it. | Customer: Happy to leave one. | Agent: Thank you, and enjoy the new phone.</t>
  </si>
  <si>
    <t xml:space="preserve">Close only after checking the issue is resolved; do not ask closing questions on an unresolved case.</t>
  </si>
  <si>
    <t xml:space="preserve">If you feel we have put things right, we would be grateful ____ a short review.</t>
  </si>
  <si>
    <t xml:space="preserve">A customer whose complaint was just fixed seems happy. Which review request is best?</t>
  </si>
  <si>
    <t xml:space="preserve">A) If you have a moment, please give us 5 stars, because good ratings are very important to our team. | B) Please take two minutes to rate us today; your review helps me reach my monthly target. | C) Now that the problem is fixed, we expect you to complete the review form sent to your email. | D) If you feel we have put things right, we would be grateful for a short review of our service.</t>
  </si>
  <si>
    <t xml:space="preserve">D leaves the choice to the customer and is modest. A is tempting because it is polite in form, but asking for a set score is pressure. B makes it about your target, and C is an order.</t>
  </si>
  <si>
    <t xml:space="preserve">grateful / a / We / for / would / review / short / be</t>
  </si>
  <si>
    <t xml:space="preserve">We would be grateful for a short review.</t>
  </si>
  <si>
    <t xml:space="preserve">Agar aap hamari service se khush hain, to ek chhota review dene par hum aabhaari honge.</t>
  </si>
  <si>
    <t xml:space="preserve">If you are happy with our service, we would be grateful for a short review.</t>
  </si>
  <si>
    <t xml:space="preserve">Where do I leave the review?</t>
  </si>
  <si>
    <t xml:space="preserve">I will send you the review link in a separate email today. You can use it whenever suits you.</t>
  </si>
  <si>
    <t xml:space="preserve">Partner A's damaged sofa was replaced after a complaint and they are now happy. Partner B writes the final email with a sensitive review request and a route for any remaining problem.</t>
  </si>
  <si>
    <t xml:space="preserve">Write two sentences asking a customer for a review after a resolved complaint, with a route for any remaining problem, and send them as text or a photo for audit.</t>
  </si>
  <si>
    <t xml:space="preserve">Did you make the review optional? · Did you avoid asking for a specific star rating? · Did you offer a way to report a remaining problem?</t>
  </si>
  <si>
    <t xml:space="preserve">CSE-A-012</t>
  </si>
  <si>
    <t xml:space="preserve">I can see why you are angry: you were promised a callback twice, and we did not call. I'm sorry. I will call you myself at 11 am tomorrow, or at another time that suits you better.</t>
  </si>
  <si>
    <t xml:space="preserve">A customer has sent an angry email in capital letters because two promised callbacks never happened, and you are replying.</t>
  </si>
  <si>
    <t xml:space="preserve">The customer is furious because a promise was broken twice. How do you name the reason for the anger, apologise briefly, and make a promise you will personally keep?</t>
  </si>
  <si>
    <t xml:space="preserve">i-can-SEE-WHY · you-are-AN-gry · you-were-PROM-ised · a-CALL-back-TWICE · and-we-did-not-CALL · i'm-SOR-ry · i-will-CALL-you-my-SELF · at-e-LEV-en-A-M · to-MOR-row · or-at-a-NUTH-er-TIME · that-SUITS-you-BET-ter</t>
  </si>
  <si>
    <t xml:space="preserve">If read aloud: promised_a → "PROM-is-ta" · call_you → "caw-lyoo" · at_another → "a-ta-NUTH-er"</t>
  </si>
  <si>
    <t xml:space="preserve">If read aloud: low and steady, not rising, on "angry"; pause before "I'm sorry" and say it simply; then a firm, falling tone on "tomorrow".</t>
  </si>
  <si>
    <t xml:space="preserve">If read aloud, "promised" ends in "st" ("PROM-ist"), not "pro-mi-sed"; "eleven" is i-LEV-en with a "v" (teeth on lip), not "i-lewen".</t>
  </si>
  <si>
    <t xml:space="preserve">Calm, accountable, personal</t>
  </si>
  <si>
    <t xml:space="preserve">Furious, let down and feeling ignored.</t>
  </si>
  <si>
    <t xml:space="preserve">A broken promise gets mended with a stronger knot: name the break, say sorry, tie a new promise to your own name and an exact time.</t>
  </si>
  <si>
    <t xml:space="preserve">मैं समझ सकता/सकती हूँ कि आप नाराज़ क्यों हैं: आपसे दो बार कॉलबैक का वादा किया गया और हमने कॉल नहीं किया। मुझे खेद है। मैं कल सुबह 11 बजे ख़ुद आपको कॉल करूँगा/करूँगी, या किसी और समय जो आपके लिए बेहतर हो।</t>
  </si>
  <si>
    <t xml:space="preserve">Main samajh sakta/sakti hoon ki aap naraaz kyon hain: aapse do baar callback ka vaada kiya gaya aur humne call nahin kiya. Mujhe khed hai. Main kal subah 11 baje khud aapko call karoonga/karoongi, ya kisi aur samay jo aapke liye behtar ho.</t>
  </si>
  <si>
    <t xml:space="preserve">You are right to be angry; we said we would call you two times and we did not. Sorry. I will call you myself tomorrow at 11, or when you like.</t>
  </si>
  <si>
    <t xml:space="preserve">It names the exact reason for the anger, which shows the agent has read the email properly. A short apology plus a personal, timed promise answers the real problem: the customer no longer trusts the company's promises.</t>
  </si>
  <si>
    <t xml:space="preserve">I can see why you are ___: ___. I'm sorry. I will ___ myself at ___.</t>
  </si>
  <si>
    <t xml:space="preserve">I can see why + subject + verb · passive past (you were promised) · I will + verb + myself + at + time</t>
  </si>
  <si>
    <t xml:space="preserve">"You were promised" (passive) focuses on what happened to the customer, not on who forgot.</t>
  </si>
  <si>
    <t xml:space="preserve">Naming the feeling and the cause is respectful. "Please calm down" or "There is no need for capital letters" judges the customer and makes them angrier.</t>
  </si>
  <si>
    <t xml:space="preserve">✗ Please calm down, we will arrange callback soon. → ✓ I can see why you are angry: you were promised a callback twice, and we did not call.</t>
  </si>
  <si>
    <t xml:space="preserve">"There is no need to write in capitals." — it criticises the customer's style instead of fixing the broken promise.</t>
  </si>
  <si>
    <t xml:space="preserve">Instead of "Please don't be rude", write "I can see why you are angry, and I'm sorry."</t>
  </si>
  <si>
    <t xml:space="preserve">You have every reason to be angry; we promised to call you twice and did not. I'm sorry. I will call you myself tomorrow at 11 am, unless another time is better for you.</t>
  </si>
  <si>
    <t xml:space="preserve">I understand your anger, as two promised callbacks never happened. I apologise. I have blocked 11 am tomorrow in my own calendar to call you, or you can suggest another time.</t>
  </si>
  <si>
    <t xml:space="preserve">I fully understand your frustration: you were promised a callback on two occasions, and neither took place. Please accept my apology. I will telephone you personally at 11 am tomorrow, or at any other time that is more convenient.</t>
  </si>
  <si>
    <t xml:space="preserve">Is the number ending 4471 still the best one to reach you on?</t>
  </si>
  <si>
    <t xml:space="preserve">Fine, 11 is OK. · Why should I believe you this time? · Don't call, just fix it by email.</t>
  </si>
  <si>
    <t xml:space="preserve">Customer: "Why should I believe you this time?" → Agent: "That is fair after what happened. I have put the call in my own calendar, and if anything stops me, I will email you before 11 am."</t>
  </si>
  <si>
    <t xml:space="preserve">"Please calm down" or "Please cooperate" can appear in Indian service replies to angry emails. International customers may not expect this; it reads as blaming them, so name the feeling and act instead.</t>
  </si>
  <si>
    <t xml:space="preserve">Voice: let the caller finish, then say this slowly. Chat: send the empathy line and the promise as two messages. Email: reply within the same working day if you can, and keep it short.</t>
  </si>
  <si>
    <t xml:space="preserve">Do not promise a personal callback if you will not be on shift at that time; offer a time you can actually keep.</t>
  </si>
  <si>
    <t xml:space="preserve">Customer: NOBODY HAS CALLED ME. TWICE! | Agent: I can see why you are angry: you were promised a callback twice, and we did not call. I'm sorry. I will call you myself at 11 am tomorrow, or at another time that suits you better. | Customer: 11 is fine. Don't forget. | Agent: I won't. I have put it in my calendar, and I will call the number ending 4471.</t>
  </si>
  <si>
    <t xml:space="preserve">Never say "calm down"; name the feeling, then act with "I will" plus a time.</t>
  </si>
  <si>
    <t xml:space="preserve">I can see why you are angry: you were ____ (promise) a callback twice, and we did not call.</t>
  </si>
  <si>
    <t xml:space="preserve">An angry customer was promised two callbacks that never happened. Which reply is best?</t>
  </si>
  <si>
    <t xml:space="preserve">A) I can see why you are angry, and I'm sorry. I will call you myself at 11 am tomorrow. | B) Please calm down, as I want to help you. A senior colleague will call you back as soon as possible. | C) I understand that you are upset, but there is no need to write in capital letters in an email. | D) We are sorry for the delay in calling you. Our team is very busy, so delays can sometimes happen.</t>
  </si>
  <si>
    <t xml:space="preserve">A names the feeling, apologises and gives a personal, timed promise. B is tempting because it promises a call, but "calm down" usually makes people angrier, and "soon" is vague. C criticises the customer's capitals, and D makes excuses.</t>
  </si>
  <si>
    <t xml:space="preserve">why / angry / are / I / you / see / can</t>
  </si>
  <si>
    <t xml:space="preserve">I can see why you are angry.</t>
  </si>
  <si>
    <t xml:space="preserve">Main samajh sakta/sakti hoon ki aap pareshaan kyon hain. Main kal subah 10 baje khud aapko call karoonga/karoongi.</t>
  </si>
  <si>
    <t xml:space="preserve">I can see why you are upset. I will call you myself at 10 am tomorrow.</t>
  </si>
  <si>
    <t xml:space="preserve">And what if you don't call either?</t>
  </si>
  <si>
    <t xml:space="preserve">I will call. If anything stops me, I will email you before 11 am with a new time, and you can reply to me directly.</t>
  </si>
  <si>
    <t xml:space="preserve">Partner A writes an angry email because a technician missed two visits. Partner B replies: names the reason for the anger, apologises briefly and makes a personal, timed promise.</t>
  </si>
  <si>
    <t xml:space="preserve">Write a reply to an angry email about two missed delivery slots, naming the feeling and making one timed promise, and send it as text or a photo for audit.</t>
  </si>
  <si>
    <t xml:space="preserve">Did you name the reason for the anger? · Did you avoid "calm down" or any comment on the customer's tone? · Did you make a promise with your name and an exact time?</t>
  </si>
  <si>
    <t xml:space="preserve">CSE-A-013</t>
  </si>
  <si>
    <t xml:space="preserve">Thank you for asking for a copy of your personal data. To protect your account, could you reply from the email address registered with us? Once we have confirmed it is you, I will start the request and tell you when to expect the file.</t>
  </si>
  <si>
    <t xml:space="preserve">An email arrives from an unknown address asking for a copy of all the personal data your company holds about an account, and you must check identity before sharing anything.</t>
  </si>
  <si>
    <t xml:space="preserve">Someone asks for all their personal data from an address you do not recognise. What reason do you give, what one thing do you ask for, and what happens next?</t>
  </si>
  <si>
    <t xml:space="preserve">THANK-you · for-ASK-ing · for-a-COP-y · of-your-PER-son-al-DA-ta · to-pro-TECT · your-ac-COUNT · could-you-re-PLY · from-the-E-mail-ad-DRESS · REG-is-tered-with-US · once-we-have-con-FIRMED-it-is-YOU · i-will-START-the-re-QUEST · and-TELL-you · when-to-ex-PECT-the-FILE</t>
  </si>
  <si>
    <t xml:space="preserve">If read aloud: copy_of → "cop-pee-yuv" · protect_your → "pro-tek-chor" · confirmed_it → "con-fir-mdit"</t>
  </si>
  <si>
    <t xml:space="preserve">If read aloud: a rise on "registered with us?" because it is a yes/no request, a short pause, then a steady fall on "expect the file".</t>
  </si>
  <si>
    <t xml:space="preserve">If read aloud, "data" is DAY-ta or DAH-ta with a light alveolar "t" (tongue behind the top teeth), not a heavy retroflex "t"; "protect" keeps the final "ct", not "protec".</t>
  </si>
  <si>
    <t xml:space="preserve">Careful, polite, reassuring</t>
  </si>
  <si>
    <t xml:space="preserve">Curious or concerned about privacy, possibly suspicious of the company.</t>
  </si>
  <si>
    <t xml:space="preserve">A locked filing cabinet: you show the customer the lock, ask for the one key that fits, then promise to open it.</t>
  </si>
  <si>
    <t xml:space="preserve">अपने पर्सनल डेटा की कॉपी माँगने के लिए धन्यवाद। आपके अकाउंट की सुरक्षा के लिए, क्या आप हमारे पास रजिस्टर्ड ईमेल एड्रेस से जवाब दे सकते हैं? जब हम पुष्टि कर लेंगे कि यह आप ही हैं, तब मैं रिक्वेस्ट शुरू करूँगा/करूँगी और बताऊँगा/बताऊँगी कि फ़ाइल कब तक मिलेगी।</t>
  </si>
  <si>
    <t xml:space="preserve">Apne personal data ki copy maangne ke liye dhanyavaad. Aapke account ki suraksha ke liye, kya aap hamare paas registered email address se jawaab de sakte hain? Jab hum pushti kar lenge ki yeh aap hi hain, tab main request shuru karoonga/karoongi aur bataoonga/bataoongi ki file kab tak milegi.</t>
  </si>
  <si>
    <t xml:space="preserve">Thanks for asking. To keep your information safe, please write to us from the email address on your account. Then I will start and tell you when the file will come.</t>
  </si>
  <si>
    <t xml:space="preserve">It thanks the customer instead of treating the request as a problem, states the purpose of the check, and asks for only one thing. The customer knows what happens next and why.</t>
  </si>
  <si>
    <t xml:space="preserve">To protect your account, could you ___? Once we have confirmed ___, I will ___.</t>
  </si>
  <si>
    <t xml:space="preserve">To + verb (purpose), + could you + verb …? · Once + present perfect, + I will + verb</t>
  </si>
  <si>
    <t xml:space="preserve">"Once we have confirmed" means "after we confirm"; the present perfect shows one step must finish before the next.</t>
  </si>
  <si>
    <t xml:space="preserve">Stating the purpose makes the check feel protective, not suspicious. "We cannot share data with unknown persons" sounds like an accusation.</t>
  </si>
  <si>
    <t xml:space="preserve">✗ Please send your Aadhaar, PAN and bank statement for verification. → ✓ To protect your account, could you reply from the email address registered with us?</t>
  </si>
  <si>
    <t xml:space="preserve">"We cannot share any data with you." — it sounds like a refusal and does not tell the customer how to get what they are entitled to.</t>
  </si>
  <si>
    <t xml:space="preserve">Instead of "We need your ID proof before we can do anything", write "To protect your account, could you reply from the email address registered with us?"</t>
  </si>
  <si>
    <t xml:space="preserve">Thank you for your data request. To keep your information safe, please send your request from the email address on your account, and I will then get it started.</t>
  </si>
  <si>
    <t xml:space="preserve">We're happy to help with your data request. For security, could you reply from your registered email address? I will confirm the expected date as soon as we have checked it.</t>
  </si>
  <si>
    <t xml:space="preserve">Thank you for your request for a copy of your personal data. To protect your account, we ask that you reply from the email address registered with us; once your identity has been confirmed, I will begin the request and confirm the expected date.</t>
  </si>
  <si>
    <t xml:space="preserve">If you no longer have access to that email address, please let me know and I will explain the other way to confirm your identity.</t>
  </si>
  <si>
    <t xml:space="preserve">I no longer use that email. · Why do you need this? It's my data. · Done, I've replied from my old address.</t>
  </si>
  <si>
    <t xml:space="preserve">Customer: "It's my data; why are you making this hard?" → Agent: "You are right that it is your data, and that is exactly why we check: we must not send it to anyone else by mistake. Replying from your registered address is the quickest way."</t>
  </si>
  <si>
    <t xml:space="preserve">Indian service emails sometimes ask for many documents at once ("Aadhaar, PAN, address proof"). International customers may not expect this; ask only for what is needed and say why.</t>
  </si>
  <si>
    <t xml:space="preserve">Voice: ask the standard security questions and explain why. Chat: never ask for full card numbers or passwords in chat; move the request to a secure form or email. Email: never attach personal data to a reply until identity is confirmed.</t>
  </si>
  <si>
    <t xml:space="preserve">Do not use this if your company has a required data-request form or legal wording; follow that process and link to it.</t>
  </si>
  <si>
    <t xml:space="preserve">Customer: Please send me all the personal data you hold on me. | Agent: Thank you for asking for a copy of your personal data. To protect your account, could you reply from the email address registered with us? Once we have confirmed it is you, I will start the request and tell you when to expect the file. | Customer: Done, I've replied from my account email. | Agent: Thank you, that is confirmed. I have started the request, and I will email you the expected date today.</t>
  </si>
  <si>
    <t xml:space="preserve">Once we have ____ (confirm) it is you, I will start the request and tell you when to expect the file.</t>
  </si>
  <si>
    <t xml:space="preserve">confirmed</t>
  </si>
  <si>
    <t xml:space="preserve">Someone requests a copy of their personal data from an unknown email address. What is the best first reply?</t>
  </si>
  <si>
    <t xml:space="preserve">A) We cannot share personal data with unknown persons, so your request cannot be processed. | B) Thank you for your request. Your data file is attached; please keep it somewhere safe. | C) To process your request, please send a copy of your passport and a recent bank statement. | D) To protect your account, could you reply from the email address registered with us?</t>
  </si>
  <si>
    <t xml:space="preserve">D gives the purpose and asks for one thing. B is tempting because it is fast, but sending personal data before checking identity could give it to the wrong person. A refuses outright, and C asks for far more than you need.</t>
  </si>
  <si>
    <t xml:space="preserve">address / registered / reply / could / email / from / your / you</t>
  </si>
  <si>
    <t xml:space="preserve">Could you reply from your registered email address?</t>
  </si>
  <si>
    <t xml:space="preserve">Aapke account ki suraksha ke liye, kya aap registered mobile number se call kar sakte hain?</t>
  </si>
  <si>
    <t xml:space="preserve">To protect your account, could you call us from your registered mobile number?</t>
  </si>
  <si>
    <t xml:space="preserve">How long will it take to get the file?</t>
  </si>
  <si>
    <t xml:space="preserve">Once the request has started, I will email you the exact date the same day, and I will send the file only to your registered email address.</t>
  </si>
  <si>
    <t xml:space="preserve">Partner A emails from a new address asking for all the data a gym holds about them. Partner B replies: thanks, the purpose of the check, one request, and what happens next.</t>
  </si>
  <si>
    <t xml:space="preserve">Write a reply to a personal-data request from an unrecognised email address, stating the purpose of the check and asking for one thing, and send it as text or a photo for audit.</t>
  </si>
  <si>
    <t xml:space="preserve">Did you say why you need to check identity? · Did you ask for only one thing? · Did you explain what happens after the check?</t>
  </si>
  <si>
    <t xml:space="preserve">CSE-A-014</t>
  </si>
  <si>
    <t xml:space="preserve">Hi Meera, I'm escalating ticket #48820 because the customer has been charged twice every month since March, and a full refund is above my approval limit. Could you approve a refund of $240 by Thursday?</t>
  </si>
  <si>
    <t xml:space="preserve">You need your manager to approve a refund larger than you are allowed to give, and you are writing an internal email that she can act on quickly.</t>
  </si>
  <si>
    <t xml:space="preserve">Your manager is busy and the customer is waiting. What three things must your internal email say in its first lines?</t>
  </si>
  <si>
    <t xml:space="preserve">HI-MEE-ra · i'm-ES-ca-lat-ing · TICK-et · NUM-ber-FOUR-EIGHT-EIGHT-TWO-OH · be-cause-the-CUS-tom-er · has-been-CHARGED-TWICE · EV-ery-MONTH · since-MARCH · and-a-FULL-RE-fund · is-a-BOVE-my · ap-PROV-al-LIM-it · could-you-ap-PROVE · a-RE-fund-of-two-HUN-dred-and-FOR-ty-DOL-lars · by-THURS-day</t>
  </si>
  <si>
    <t xml:space="preserve">If read aloud: could_you → "cud-joo" · approve_a → "a-PROOV-a" · is_above → "i-za-BUV"</t>
  </si>
  <si>
    <t xml:space="preserve">If read aloud: quick and businesslike, a fall on "limit", a pause, then a clear rise on "by Thursday?" because it is a direct yes/no request.</t>
  </si>
  <si>
    <t xml:space="preserve">If read aloud, "approve" and "above" both have a "v": top teeth on the lower lip, not "w"; and "escalating" is ES-ca-lat-ing, stress on the first part.</t>
  </si>
  <si>
    <t xml:space="preserve">Concise, factual, action-focused</t>
  </si>
  <si>
    <t xml:space="preserve">(Manager) Busy and needing the facts fast; (customer) frustrated about repeated charges.</t>
  </si>
  <si>
    <t xml:space="preserve">A sticky note on a busy desk: ticket number, why it is yours to decide, exact ask, deadline.</t>
  </si>
  <si>
    <t xml:space="preserve">हाय मीरा, मैं टिकट #48820 आगे भेज रहा/रही हूँ क्योंकि ग्राहक से मार्च से हर महीने दो बार पैसे कटे हैं, और पूरा रिफ़ंड मेरी मंज़ूरी सीमा से ज़्यादा है। क्या आप गुरुवार तक $240 का रिफ़ंड मंज़ूर कर सकती हैं?</t>
  </si>
  <si>
    <t xml:space="preserve">Hi Meera, main ticket #48820 aage bhej raha/rahi hoon kyonki grahak se March se har mahine do baar paise kate hain, aur poora refund meri manzoori seema se zyada hai. Kya aap guruvaar tak $240 ka refund manzoor kar sakti hain?</t>
  </si>
  <si>
    <t xml:space="preserve">Meera, I need your help with ticket 48820. The customer paid double every month since March, and I cannot approve that much. Please approve $240 by Thursday.</t>
  </si>
  <si>
    <t xml:space="preserve">The manager sees the ticket, the reason it needs her, the exact amount and the deadline in two sentences, so she can say yes without opening the whole thread. A clear ask gets a faster decision.</t>
  </si>
  <si>
    <t xml:space="preserve">I'm escalating ticket ___ because ___. Could you approve ___ by ___?</t>
  </si>
  <si>
    <t xml:space="preserve">I'm + -ing (escalating) + because + present perfect passive (has been charged) · Could you + verb + object + by + day?</t>
  </si>
  <si>
    <t xml:space="preserve">"Has been charged twice every month since March" shows a repeated problem that started in the past and is still going on.</t>
  </si>
  <si>
    <t xml:space="preserve">Short and factual respects the manager's time. "Please look into this urgently and take action" gives no facts and no clear request.</t>
  </si>
  <si>
    <t xml:space="preserve">✗ Customer is waiting, please see the ticket and approve urgently. → ✓ Could you approve a refund of $240 by Thursday?</t>
  </si>
  <si>
    <t xml:space="preserve">"Customer is very angry, please handle." — it passes on the emotion but not the facts or the decision needed.</t>
  </si>
  <si>
    <t xml:space="preserve">Instead of "Please look into this ASAP", write "Could you approve a refund of $240 by Thursday?"</t>
  </si>
  <si>
    <t xml:space="preserve">Hi Meera, ticket #48820 needs your approval: the customer was double-charged monthly from March to August, a total of $240, which is over my limit. Could you approve it by Thursday?</t>
  </si>
  <si>
    <t xml:space="preserve">Hi Meera, could you approve a $240 refund on ticket #48820 by Thursday? The customer has been charged twice a month since March, and the amount is above my approval limit.</t>
  </si>
  <si>
    <t xml:space="preserve">Dear Meera, I am escalating ticket #48820 for your approval. The customer has been charged twice monthly since March, and the full refund of $240 exceeds my approval limit. Could you approve it by Thursday?</t>
  </si>
  <si>
    <t xml:space="preserve">I have attached the six billing statements and the customer's original email, so everything you need is in one place.</t>
  </si>
  <si>
    <t xml:space="preserve">Approved, go ahead. · Can you check whether all six charges were duplicates? · Offer a $100 credit first.</t>
  </si>
  <si>
    <t xml:space="preserve">Manager: "Can't you offer a credit instead?" → Agent: "I can, but the customer has asked for money back for charges they did not authorise, so I think a refund is the right outcome. Could we approve the refund and add a small credit as an apology?"</t>
  </si>
  <si>
    <t xml:space="preserve">Internal Indian office emails often say "PFA" and "kindly do the needful at the earliest". Managers in international teams may not expect these; name the attachment and give a clear request and day.</t>
  </si>
  <si>
    <t xml:space="preserve">Voice: give the ticket number first, then the ask, in under 30 seconds. Chat (internal): one message with the ticket, the reason and the ask. Email: subject "Approval needed: refund $240 – #48820".</t>
  </si>
  <si>
    <t xml:space="preserve">Do not escalate before you have checked the facts and the amount; a manager cannot decide quickly on an unclear request.</t>
  </si>
  <si>
    <t xml:space="preserve">Customer: When will I get my money back? | Agent: (to the manager) Hi Meera, I'm escalating ticket #48820 because the customer has been charged twice every month since March, and a full refund is above my approval limit. Could you approve a refund of $240 by Thursday? | Manager: Approved. | Agent: (to the customer) Your refund of $240 has been approved and will be sent today. | Customer: Thank you, that's a relief.</t>
  </si>
  <si>
    <t xml:space="preserve">Ownership and expectations: replace vague requests with a clear next step, a reference and a time.</t>
  </si>
  <si>
    <t xml:space="preserve">I'm escalating ticket #48820 because the customer has ____ charged twice every month since March, and a full refund is above my approval limit.</t>
  </si>
  <si>
    <t xml:space="preserve">You need your manager's approval for a large refund. Which first line of your email is best?</t>
  </si>
  <si>
    <t xml:space="preserve">A) Hi Meera, a customer is waiting for a refund. Please look at ticket #48820 and approve it urgently. | B) Hi Meera, the customer on ticket #48820 is very angry about the double charges, so please handle this today. | C) Hi Meera, could you call me when you are free? I need to discuss a refund that is above my limit. | D) Hi Meera, I'm escalating ticket #48820 as it is above my limit. Could you approve a $240 refund by Thursday?</t>
  </si>
  <si>
    <t xml:space="preserve">D gives the ticket, the amount, the ask and the deadline. B is tempting because it names the ticket and shows urgency, but it gives no amount and no decision to make. A has no amount or deadline either, and C asks for a call instead of a decision.</t>
  </si>
  <si>
    <t xml:space="preserve">by / approve / Thursday / could / you / it</t>
  </si>
  <si>
    <t xml:space="preserve">Could you approve it by Thursday?</t>
  </si>
  <si>
    <t xml:space="preserve">Hi Arjun, ticket #51290 aapki approval ke liye bhej raha/rahi hoon; kya aap kal tak $90 ka refund approve kar sakte hain?</t>
  </si>
  <si>
    <t xml:space="preserve">Hi Arjun, I'm escalating ticket #51290 for your approval. Could you approve a refund of $90 by tomorrow?</t>
  </si>
  <si>
    <t xml:space="preserve">(Manager) Were all six charges duplicates?</t>
  </si>
  <si>
    <t xml:space="preserve">Yes. I checked all six statements, and each month shows two identical payments of $40; the statements are attached.</t>
  </si>
  <si>
    <t xml:space="preserve">Partner A is a team lead. Partner B writes an internal email asking A to approve a replacement laptop above B's limit, with the ticket number, reason, ask and deadline.</t>
  </si>
  <si>
    <t xml:space="preserve">Write an internal email to your team lead asking for approval of a $150 compensation payment, with ticket number, reason, ask and deadline, and send it as text or a photo for audit.</t>
  </si>
  <si>
    <t xml:space="preserve">Did you put the ticket number in the first line? · Did you make one clear request with an amount? · Did you give a deadline?</t>
  </si>
  <si>
    <t xml:space="preserve">CSE-A-015</t>
  </si>
  <si>
    <t xml:space="preserve">I am extremely disappointed with the service I have received from your company.</t>
  </si>
  <si>
    <t xml:space="preserve">A long-standing customer opens a formal email with this line after a cancelled booking and two unanswered emails.</t>
  </si>
  <si>
    <t xml:space="preserve">A customer writes that they are very disappointed but does not shout or swear. How serious is this, and what does the customer want first?</t>
  </si>
  <si>
    <t xml:space="preserve">i-am-ex-TREME-ly · dis-ap-POINT-ed · with-the-SER-vice · i-have-re-CEIVED · from-your-COM-pa-ny</t>
  </si>
  <si>
    <t xml:space="preserve">If read aloud: am_extremely → "a-mex-TREEM-ly" · service_I → "ser-vi-sigh"</t>
  </si>
  <si>
    <t xml:space="preserve">If read aloud: slow and heavy, with strong stress on "extremely" and a long fall on "disappointed"; the calm delivery is what makes it serious.</t>
  </si>
  <si>
    <t xml:space="preserve">If read aloud, "disappointed" ends in "-tid" with a light "t" and "d"; "extremely" has the cluster "kstr" said together, not "ex-ter-eem-ly".</t>
  </si>
  <si>
    <t xml:space="preserve">Cold, controlled, serious</t>
  </si>
  <si>
    <t xml:space="preserve">Deeply let down, losing trust, close to leaving.</t>
  </si>
  <si>
    <t xml:space="preserve">Disappointment is quiet anger: a closed door, not a slammed one, and you have one chance to knock.</t>
  </si>
  <si>
    <t xml:space="preserve">मैं आपकी कंपनी से मिली सर्विस से बेहद निराश हूँ।</t>
  </si>
  <si>
    <t xml:space="preserve">Main aapki company se mili service se behad niraash hoon.</t>
  </si>
  <si>
    <t xml:space="preserve">The customer is very unhappy with how your company has treated them and expected much better.</t>
  </si>
  <si>
    <t xml:space="preserve">A calm "disappointed" in formal English can be more serious than "angry": it means the customer had trust and expectations, and you broke them. They want to be taken seriously, a specific apology, and proof that someone will fix it.</t>
  </si>
  <si>
    <t xml:space="preserve">I am extremely disappointed with ___.</t>
  </si>
  <si>
    <t xml:space="preserve">I am + adverb (extremely) + disappointed + with + noun</t>
  </si>
  <si>
    <t xml:space="preserve">"Disappointed with" is used for a thing or service; "disappointed in" is often used for a person.</t>
  </si>
  <si>
    <t xml:space="preserve">The polite form hides strong feeling. Treating it as mild ("Sorry to hear that!") would sound careless; treat it as a serious complaint.</t>
  </si>
  <si>
    <t xml:space="preserve">✗ (agent reads it as mild) Sorry to hear that! How can I help? → ✓ I'm sorry we have let you down, Mr Hughes; I have read your emails, and here is what I am doing.</t>
  </si>
  <si>
    <t xml:space="preserve">"We are sorry you feel that way." — it puts the problem in the customer's feelings, not in what the company did.</t>
  </si>
  <si>
    <t xml:space="preserve">Instead of "Sorry you feel disappointed", write "I'm sorry we have let you down; here is what I am doing to put it right."</t>
  </si>
  <si>
    <t xml:space="preserve">Mr Hughes, we failed you twice: your booking was cancelled and your emails went unanswered. I'm sorry, and I am taking this on personally.</t>
  </si>
  <si>
    <t xml:space="preserve">Thank you for telling us how disappointed you are. You were right to expect better, and I will write to you again by 3 pm today with what I have done.</t>
  </si>
  <si>
    <t xml:space="preserve">Please accept my sincere apology for the service you have received. You were entitled to expect far better, and I am now handling your case personally.</t>
  </si>
  <si>
    <t xml:space="preserve">I'm sorry we let you down, Mr Hughes. Your booking was cancelled without notice and your emails went unanswered; I have restored the booking and will confirm the details by 3 pm today.</t>
  </si>
  <si>
    <t xml:space="preserve">I have been a customer for eight years. · I expect a proper explanation. · Frankly, I am thinking of leaving.</t>
  </si>
  <si>
    <t xml:space="preserve">Customer: "I am thinking of moving to another provider." → Agent: "I understand, and I would rather earn your trust back than lose you. Here is what I have already done, and I will call you on Friday to check that everything is working."</t>
  </si>
  <si>
    <t xml:space="preserve">Agents who use "disappointed" for small annoyances may read it as mild. In formal British and international English, a calm "extremely disappointed" from a long-time customer is a serious warning that they may leave.</t>
  </si>
  <si>
    <t xml:space="preserve">Voice: the caller will sound quiet and cold; do not mistake that for calm. Chat: rarer; reply with an apology and an action at once. Email: reply the same day if possible, with a named owner.</t>
  </si>
  <si>
    <t xml:space="preserve">Do not reply with a cheerful template ("Thanks for reaching out!"); the tone would clash with a serious complaint.</t>
  </si>
  <si>
    <t xml:space="preserve">Customer: I am extremely disappointed with the service I have received from your company. | Agent: I'm sorry we have let you down, Mr Hughes. Your booking was cancelled and your emails were not answered; I have restored the booking today. | Customer: Why was it cancelled at all? | Agent: A system error removed it; I have reported it and will tell you what we find by Friday.</t>
  </si>
  <si>
    <t xml:space="preserve">Empathy line, then action: never an empathy line on its own.</t>
  </si>
  <si>
    <t xml:space="preserve">I am extremely ____ (disappoint) with the service I have received from your company.</t>
  </si>
  <si>
    <t xml:space="preserve">disappointed</t>
  </si>
  <si>
    <t xml:space="preserve">A long-time customer writes, "I am extremely disappointed with the service." What does this most likely mean?</t>
  </si>
  <si>
    <t xml:space="preserve">A) They are only slightly upset, because "disappointed" is a gentle word that people use for small problems. | B) They are very serious: their trust is damaged, and they may leave if the reply is weak or slow. | C) They are furious and will probably shout or swear in their next message if nothing changes. | D) They are worried about a mistake of their own and want advice from the company on what to do.</t>
  </si>
  <si>
    <t xml:space="preserve">B: a calm "extremely disappointed" signals lost trust and a real risk of leaving. A is tempting because "disappointed" sounds gentle, but here the polite wording makes it more serious, not less; C misses that the calm tone is itself the warning, and D does not match the line at all.</t>
  </si>
  <si>
    <t xml:space="preserve">we / let / down / I'm / you / sorry / have</t>
  </si>
  <si>
    <t xml:space="preserve">I'm sorry we have let you down.</t>
  </si>
  <si>
    <t xml:space="preserve">Main aapki service se bahut niraash hoon. (Agent ka jawaab English mein likhiye.)</t>
  </si>
  <si>
    <t xml:space="preserve">I'm sorry we have let you down. I have read your emails, and here is what I am doing to put this right.</t>
  </si>
  <si>
    <t xml:space="preserve">I want to know why nobody answered my emails.</t>
  </si>
  <si>
    <t xml:space="preserve">That is a fair question, and I'm sorry. Your emails were sent to the wrong team; I have checked them all and will answer each point in this email.</t>
  </si>
  <si>
    <t xml:space="preserve">Partner A writes a formal email saying they are extremely disappointed after a cancelled holiday booking. Partner B explains what A really means and writes a reply with an apology and an action.</t>
  </si>
  <si>
    <t xml:space="preserve">Write a reply to a customer who says they are extremely disappointed after three late deliveries, with a specific apology and one action, and send it as text or a photo for audit.</t>
  </si>
  <si>
    <t xml:space="preserve">Did you treat the email as a serious complaint? · Did you apologise for something specific? · Did you give an action with a time?</t>
  </si>
  <si>
    <t xml:space="preserve">CSE-A-016</t>
  </si>
  <si>
    <t xml:space="preserve">If I do not hear back by the end of the week, I will be taking this further.</t>
  </si>
  <si>
    <t xml:space="preserve">A customer ends an email about an unpaid compensation claim with this line after waiting three weeks for a reply.</t>
  </si>
  <si>
    <t xml:space="preserve">The customer says they will "take it further". What could that mean, and what is the most useful thing to do in your reply?</t>
  </si>
  <si>
    <t xml:space="preserve">if-i-do-NOT-hear-BACK · by-the-END-of-the-WEEK · i-will-be-TAK-ing-this-FUR-ther</t>
  </si>
  <si>
    <t xml:space="preserve">If read aloud: if_I → "i-fy" · end_of → "en-dov"</t>
  </si>
  <si>
    <t xml:space="preserve">If read aloud: level and controlled on "end of the week", then a firm fall on "further" that sounds like a warning, not a question.</t>
  </si>
  <si>
    <t xml:space="preserve">If read aloud, "further" has the "th" sound of "this" (tongue between the teeth), not "d" as in "fur-der"; "week" is a long "ee" with a "w" made by rounded lips.</t>
  </si>
  <si>
    <t xml:space="preserve">Polite, firm, warning</t>
  </si>
  <si>
    <t xml:space="preserve">Out of patience and ready to escalate outside the company.</t>
  </si>
  <si>
    <t xml:space="preserve">The customer is holding a door handle to the next room: a manager, a regulator, a review site or a lawyer. Your reply decides whether they open it.</t>
  </si>
  <si>
    <t xml:space="preserve">अगर हफ़्ते के आख़िर तक मुझे जवाब नहीं मिला, तो मैं यह मामला आगे ले जाऊँगा/जाऊँगी।</t>
  </si>
  <si>
    <t xml:space="preserve">Agar hafte ke aakhir tak mujhe jawaab nahin mila, to main yeh maamla aage le jaoonga/jaoongi.</t>
  </si>
  <si>
    <t xml:space="preserve">The customer is saying: answer me this week, or I will complain to someone more powerful, such as a manager, a regulator or a lawyer.</t>
  </si>
  <si>
    <t xml:space="preserve">"Taking this further" is a polite warning. The customer feels ignored and wants a real answer and a clear timeline. They are not asking you to argue; they are testing whether anyone is in charge.</t>
  </si>
  <si>
    <t xml:space="preserve">I will be taking this ___.</t>
  </si>
  <si>
    <t xml:space="preserve">If + present simple negative, + I will be + -ing (future continuous)</t>
  </si>
  <si>
    <t xml:space="preserve">"I will be taking" (future continuous) sounds like a decided plan, not just an idea.</t>
  </si>
  <si>
    <t xml:space="preserve">The wording is calm, but the meaning is serious. Answering with "You may do as you wish" sounds hostile; answering only with "noted" sounds like the company does not care.</t>
  </si>
  <si>
    <t xml:space="preserve">✗ (agent replies) Noted. We will get back to you soon. → ✓ I'm sorry you have waited three weeks. I have reviewed your claim today, and I will email you a decision by Thursday.</t>
  </si>
  <si>
    <t xml:space="preserve">"That is your choice." — it sounds like a challenge and almost guarantees the escalation.</t>
  </si>
  <si>
    <t xml:space="preserve">Instead of "You are free to complain wherever you like", write "I understand you have waited too long; here is what I have done today and when you will hear from me next."</t>
  </si>
  <si>
    <t xml:space="preserve">You are right to expect a reply by now, and I'm sorry you have not had one. I have reviewed your file myself and will email you our decision by Thursday afternoon.</t>
  </si>
  <si>
    <t xml:space="preserve">You should not have had to wait this long, and I apologise. Your claim is now with me, and you will have a full answer before Friday.</t>
  </si>
  <si>
    <t xml:space="preserve">I apologise that you have not received a response within a reasonable time. I have now reviewed your claim and will provide a full decision by Thursday.</t>
  </si>
  <si>
    <t xml:space="preserve">I'm sorry you have waited three weeks. I have reviewed your claim today, and I will email you a decision by Thursday, before your deadline.</t>
  </si>
  <si>
    <t xml:space="preserve">Thursday is fine, but no later. · I've already contacted the ombudsman. · Why did it take three weeks?</t>
  </si>
  <si>
    <t xml:space="preserve">Customer: "I've already contacted the ombudsman." → Agent: "Thank you for letting me know, and I'm sorry it has come to that. You are entitled to do that, and I will still give you our full answer by Thursday so you have it for them too."</t>
  </si>
  <si>
    <t xml:space="preserve">Some agents expect customers to say "I will escalate the matter" and may miss the quieter "take this further". In British English it often means going outside the company: a regulator, an ombudsman or a solicitor.</t>
  </si>
  <si>
    <t xml:space="preserve">Voice: often said quietly at the end of a call; do not let it pass without a timeline. Chat: rarer; give a clear deadline at once. Email: reply before the customer's deadline, even if only to update.</t>
  </si>
  <si>
    <t xml:space="preserve">Do not reply as if the customer has made a legal threat; "take this further" is usually a warning to escalate, not a lawsuit.</t>
  </si>
  <si>
    <t xml:space="preserve">Customer: If I do not hear back by the end of the week, I will be taking this further. | Agent: I'm sorry you have waited three weeks. I have reviewed your claim today, and I will email you a decision by Thursday. | Customer: Thursday, then. | Agent: Yes, and if anything changes, I will tell you on Wednesday.</t>
  </si>
  <si>
    <t xml:space="preserve">Use "I will", plus a time; replace vague promises with a clear timeline, a reference and the next step.</t>
  </si>
  <si>
    <t xml:space="preserve">If I do not hear back by the end of the week, I will be ____ (take) this further.</t>
  </si>
  <si>
    <t xml:space="preserve">A customer writes, "I will be taking this further." What do they most likely mean?</t>
  </si>
  <si>
    <t xml:space="preserve">A) They will stop using your company and take their account to a competitor if nothing changes. | B) They will take the complaint to someone with more authority, such as a manager or a regulator. | C) They are asking for more time and are willing to wait until the end of next week. | D) They plan to send you more documents about the claim before the end of the week.</t>
  </si>
  <si>
    <t xml:space="preserve">B: "take this further" means escalate the complaint to someone with more authority. A is tempting because "take it elsewhere" is a similar idiom, but that means leaving the company, not escalating. C and D misread the warning.</t>
  </si>
  <si>
    <t xml:space="preserve">further / taking / this / I / be / will</t>
  </si>
  <si>
    <t xml:space="preserve">I will be taking this further.</t>
  </si>
  <si>
    <t xml:space="preserve">Customer ne likha ki agar Friday tak jawaab nahin mila to woh complaint aage le jayega. Aap jawaab likhiye.</t>
  </si>
  <si>
    <t xml:space="preserve">I'm sorry you have had to wait. I have reviewed your complaint today, and I will email you a full answer by Thursday.</t>
  </si>
  <si>
    <t xml:space="preserve">Why did it take three weeks to get any reply?</t>
  </si>
  <si>
    <t xml:space="preserve">That is a fair question. Your claim was waiting for a document check, and we did not update you; I'm sorry, and I will update you every two days until it is settled.</t>
  </si>
  <si>
    <t xml:space="preserve">Partner A writes an email that ends "I will be taking this further". Partner B explains what A means and replies with an apology, a review done today and a deadline before A's.</t>
  </si>
  <si>
    <t xml:space="preserve">Write a reply to a customer who says they will take a delayed refund further, with an apology and a deadline before theirs, and send it as text or a photo for audit.</t>
  </si>
  <si>
    <t xml:space="preserve">Did you reply before the customer's deadline? · Did you avoid challenging or dismissing the warning? · Did you give a specific date for the next step?</t>
  </si>
  <si>
    <t xml:space="preserve">CSE-A-017</t>
  </si>
  <si>
    <t xml:space="preserve">Your response is unacceptable and does not address any of the points I raised.</t>
  </si>
  <si>
    <t xml:space="preserve">After your team sent a short template reply, the customer writes back with this line, clearly annoyed that their questions were ignored.</t>
  </si>
  <si>
    <t xml:space="preserve">The customer rejects your last reply completely. What went wrong, and what must the next reply do differently?</t>
  </si>
  <si>
    <t xml:space="preserve">your-re-SPONSE · is-un-ac-CEPT-a-ble · does-NOT-ad-DRESS · AN-y-of-the-POINTS · i-RAISED</t>
  </si>
  <si>
    <t xml:space="preserve">If read aloud: response_is → "ri-spon-siz" · not_address → "no-tuh-dres" · points_I → "poyn-tsy"</t>
  </si>
  <si>
    <t xml:space="preserve">If read aloud: sharp stress on "unacceptable", a short pause, and a heavy fall on "raised", which sounds like an accusation.</t>
  </si>
  <si>
    <t xml:space="preserve">If read aloud, "unacceptable" is un-ac-CEPT-a-ble, stress on CEPT; "raised" ends in "zd" ("rayzd"), not "ray-sed".</t>
  </si>
  <si>
    <t xml:space="preserve">Sharp, critical, frustrated</t>
  </si>
  <si>
    <t xml:space="preserve">Ignored and insulted by a generic reply.</t>
  </si>
  <si>
    <t xml:space="preserve">The customer sent a list and got back a postcard. Your next reply must tick each item on their list.</t>
  </si>
  <si>
    <t xml:space="preserve">आपका जवाब स्वीकार करने लायक नहीं है और मेरे उठाए गए किसी भी मुद्दे का जवाब नहीं देता।</t>
  </si>
  <si>
    <t xml:space="preserve">Aapka jawaab sweekar karne laayak nahin hai aur mere uthaye gaye kisi bhi mudde ka jawaab nahin deta.</t>
  </si>
  <si>
    <t xml:space="preserve">Your last email did not answer my questions at all, and I am not happy with it.</t>
  </si>
  <si>
    <t xml:space="preserve">The customer is not angry about the wording; they are angry that nobody read their email. They want each point answered, one by one, by someone who has clearly read what they wrote.</t>
  </si>
  <si>
    <t xml:space="preserve">Your response does not address ___.</t>
  </si>
  <si>
    <t xml:space="preserve">Your response + is + adjective · does not + address + object</t>
  </si>
  <si>
    <t xml:space="preserve">"Address a point" means "deal with it or answer it", not "a postal address".</t>
  </si>
  <si>
    <t xml:space="preserve">"Unacceptable" is strong but still formal. Defending the old reply ("Our previous email clearly explained…") will make it worse; admit the gap and answer properly.</t>
  </si>
  <si>
    <t xml:space="preserve">✗ (agent re-sends the template) As mentioned in our last email, your request is being processed. → ✓ I'm sorry my last reply did not answer your questions. Here are answers to each of your three points.</t>
  </si>
  <si>
    <t xml:space="preserve">"As already informed in our previous mail…" — it tells the customer they should have understood, when the real problem is that the reply missed their points.</t>
  </si>
  <si>
    <t xml:space="preserve">Instead of "As mentioned in my last email", write "I'm sorry my last reply missed your questions; here is an answer to each one."</t>
  </si>
  <si>
    <t xml:space="preserve">Thank you for writing back. My last email missed your questions, and that was our mistake. I have now answered all three, in the order you asked them.</t>
  </si>
  <si>
    <t xml:space="preserve">I'm sorry our previous reply did not deal with what you raised. I have read your email again carefully and answered each point below.</t>
  </si>
  <si>
    <t xml:space="preserve">Please accept my apology that our previous response did not address the points you raised. I have reviewed your email in full and respond to each point below.</t>
  </si>
  <si>
    <t xml:space="preserve">You are right, and I'm sorry my last reply missed your questions. Here is an answer to each of your three points, numbered as in your email.</t>
  </si>
  <si>
    <t xml:space="preserve">Finally, a proper answer. · Point 2 is still not clear. · Why was I sent a template in the first place?</t>
  </si>
  <si>
    <t xml:space="preserve">Customer: "Why was I sent a template?" → Agent: "I'm sorry, that was a mistake on our side: the reply did not match your questions. I will handle your case myself from now on, so you will get answers from someone who has read your emails."</t>
  </si>
  <si>
    <t xml:space="preserve">Indian service teams often reply "As informed earlier" or "Your request is under process". International customers may not expect these; they read them as copy-paste and want each point answered.</t>
  </si>
  <si>
    <t xml:space="preserve">Voice: "That's not good enough" is the spoken version; repeat their points back before answering. Chat: answer each point in a separate short message. Email: number your answers to match the customer's points.</t>
  </si>
  <si>
    <t xml:space="preserve">Do not answer this with a shorter version of the same template; that is exactly what caused the complaint.</t>
  </si>
  <si>
    <t xml:space="preserve">Customer: Your response is unacceptable and does not address any of the points I raised. | Agent: You are right, and I'm sorry my last reply missed your questions. Here is an answer to each of your three points. | Customer: Fine, let's see. | Agent: 1) The fee was charged in error and is refunded. 2) Your contract ends in May. 3) The engineer's report is attached.</t>
  </si>
  <si>
    <t xml:space="preserve">Use a canned reply only when it fully fits; otherwise answer the customer's actual questions.</t>
  </si>
  <si>
    <t xml:space="preserve">Your response is unacceptable and does not a____ any of the points I raised.</t>
  </si>
  <si>
    <t xml:space="preserve">A customer replies, "Your response is unacceptable and does not address any of the points I raised." What should your next email do?</t>
  </si>
  <si>
    <t xml:space="preserve">A) Apologise for missing their points, then answer each one in turn, numbered as in their email. | B) Thank them for their feedback and re-send the same information with a more polite greeting. | C) Explain politely why the previous reply was correct and ask them to read it again carefully. | D) Apologise and ask them to call the helpline, where an agent can explain everything by phone.</t>
  </si>
  <si>
    <t xml:space="preserve">A fixes the actual problem: unanswered points. D is tempting because a call can help, but it pushes more effort onto the customer when they want written answers. B re-sends the same thing, and C defends the old reply.</t>
  </si>
  <si>
    <t xml:space="preserve">raised / points / you / the / address / not / did / reply / my</t>
  </si>
  <si>
    <t xml:space="preserve">My reply did not address the points you raised.</t>
  </si>
  <si>
    <t xml:space="preserve">Customer keh raha hai ki pichhla jawaab uske sawaalon ka jawaab nahin deta. Aap maafi maangiye aur har point ka jawaab dene ka vaada kariye.</t>
  </si>
  <si>
    <t xml:space="preserve">I'm sorry my last reply did not answer your questions. Here is an answer to each of your points.</t>
  </si>
  <si>
    <t xml:space="preserve">Point 2 is still not clear to me.</t>
  </si>
  <si>
    <t xml:space="preserve">Thank you for telling me. Put simply, your contract ends on 31 May, and after that you can leave without a fee.</t>
  </si>
  <si>
    <t xml:space="preserve">Partner A sent three questions and got a template reply. Partner A writes "Your response is unacceptable." Partner B explains what A means and writes a reply that answers all three points.</t>
  </si>
  <si>
    <t xml:space="preserve">Write a reply to a customer who called your last email unacceptable, apologising and answering their three numbered points, and send it as text or a photo for audit.</t>
  </si>
  <si>
    <t xml:space="preserve">Did you admit the last reply missed their points? · Did you answer every point they raised? · Did you avoid "as informed earlier", which international customers may read as copy-paste?</t>
  </si>
  <si>
    <t xml:space="preserve">CSE-A-018</t>
  </si>
  <si>
    <t xml:space="preserve">Please treat this email as a formal complaint.</t>
  </si>
  <si>
    <t xml:space="preserve">A customer has explained a problem over several messages and now adds this line, asking for the issue to go into the official complaints process.</t>
  </si>
  <si>
    <t xml:space="preserve">The customer asks for their email to be handled as a formal complaint. What do they want to happen, and what must your reply include?</t>
  </si>
  <si>
    <t xml:space="preserve">PLEASE-TREAT · this-E-mail · as-a-FOR-mal · com-PLAINT</t>
  </si>
  <si>
    <t xml:space="preserve">If read aloud: this_email → "thi-see-mayl" · email_as → "ee-may-laz" · as_a → "uh-zuh"</t>
  </si>
  <si>
    <t xml:space="preserve">If read aloud: even and deliberate, with stress on "formal" and a final fall on "complaint"; it is an instruction, not a request for discussion.</t>
  </si>
  <si>
    <t xml:space="preserve">If read aloud, "complaint" ends in "nt" said clearly ("kum-PLAINT"), not "kum-plain"; "formal" is FOR-mal with stress on the first syllable, not for-MAL.</t>
  </si>
  <si>
    <t xml:space="preserve">Formal, decisive, serious</t>
  </si>
  <si>
    <t xml:space="preserve">Determined and wanting official recognition of the problem.</t>
  </si>
  <si>
    <t xml:space="preserve">The customer is asking you to move their letter from the ordinary inbox into the red folder that has a number, a deadline and a named person.</t>
  </si>
  <si>
    <t xml:space="preserve">कृपया इस ईमेल को एक औपचारिक शिकायत के रूप में दर्ज करें।</t>
  </si>
  <si>
    <t xml:space="preserve">Kripya is email ko ek aupchaarik shikayat ke roop mein darj karein.</t>
  </si>
  <si>
    <t xml:space="preserve">The customer wants their problem officially recorded as a complaint, with a reference and a proper response, not just a normal reply.</t>
  </si>
  <si>
    <t xml:space="preserve">The customer wants a record, a process and accountability. They may plan to escalate later, so they need a reference number, the timeline for a response, and who is handling it.</t>
  </si>
  <si>
    <t xml:space="preserve">Please treat this as ___.</t>
  </si>
  <si>
    <t xml:space="preserve">Please + treat + object + as + noun phrase</t>
  </si>
  <si>
    <t xml:space="preserve">"Treat X as Y" means "handle X in the way you handle Y".</t>
  </si>
  <si>
    <t xml:space="preserve">The polite request is firm. Replying casually ("Sure, we'll look into it") or ignoring the word "formal" sounds dismissive and can harm the company if the case is reviewed later.</t>
  </si>
  <si>
    <t xml:space="preserve">✗ (agent replies) Your concern is noted and will be looked into. → ✓ I have logged your email as a formal complaint, reference FC-2093, and our complaints team will reply in full by 20 May.</t>
  </si>
  <si>
    <t xml:space="preserve">"There is no need to make it formal; I can help you here." — it ignores the customer's clear request and may break the company's complaints process.</t>
  </si>
  <si>
    <t xml:space="preserve">Instead of "Your concern has been noted", write "I have logged your email as a formal complaint, and here is your reference number."</t>
  </si>
  <si>
    <t xml:space="preserve">Thank you. I have registered this as a formal complaint under reference FC-2093, and you will receive a full response by 20 May.</t>
  </si>
  <si>
    <t xml:space="preserve">Understood. Anita Kapoor on our complaints team now owns your complaint, which is open under reference FC-2093. She will send you a full written answer by 20 May.</t>
  </si>
  <si>
    <t xml:space="preserve">Further to your request, I have registered your email as a formal complaint under reference FC-2093. Our complaints team will provide a full written response by 20 May.</t>
  </si>
  <si>
    <t xml:space="preserve">I have logged your email as a formal complaint, reference FC-2093. Our complaints team will reply in full by 20 May, and I will be your contact until then.</t>
  </si>
  <si>
    <t xml:space="preserve">Thank you; I'll wait for the response. · What happens if I am not happy with it? · Who will be dealing with it?</t>
  </si>
  <si>
    <t xml:space="preserve">Customer: "What if I'm not satisfied with the outcome?" → Agent: "That is a fair question. The final response will explain the next steps, including how to ask for a review or contact an independent body if that applies to your case."</t>
  </si>
  <si>
    <t xml:space="preserve">Indian service replies often say "Your concern has been noted". International customers may not expect this vague wording after asking for a formal complaint; they look for a reference number, a date and a named owner.</t>
  </si>
  <si>
    <t xml:space="preserve">Voice: confirm you are logging it as a formal complaint and read out the reference slowly. Chat: give the reference in its own message so it is easy to find. Email: put the reference in the subject line.</t>
  </si>
  <si>
    <t xml:space="preserve">Do not ignore the request just because you think you can fix the problem quickly; log it, then fix it.</t>
  </si>
  <si>
    <t xml:space="preserve">Customer: Please treat this email as a formal complaint. | Agent: I have logged your email as a formal complaint, reference FC-2093. Our complaints team will reply in full by 20 May, and I will be your contact until then. | Customer: Who is on the complaints team? | Agent: Anita Kapoor is handling it, and she may email you for more details.</t>
  </si>
  <si>
    <t xml:space="preserve">Replace vague promises with a clear timeline, a ticket or reference number and the next step.</t>
  </si>
  <si>
    <t xml:space="preserve">Please treat this email ____ a formal complaint.</t>
  </si>
  <si>
    <t xml:space="preserve">A customer writes, "Please treat this email as a formal complaint." What must your reply include?</t>
  </si>
  <si>
    <t xml:space="preserve">A) A warm thank-you, a link to the help pages and an offer to answer any other questions. | B) A reference number, the date of the full response and the name of the person handling it. | C) An apology, an offer to fix the problem informally today and a promise to call the customer. | D) A short note that the email has been received and will be passed to the right department.</t>
  </si>
  <si>
    <t xml:space="preserve">B gives the customer the record and timeline they asked for. C is tempting because a quick fix seems helpful, but it ignores their clear request for a formal process. A and D give no record or date.</t>
  </si>
  <si>
    <t xml:space="preserve">complaint / formal / I / logged / a / as / it / have</t>
  </si>
  <si>
    <t xml:space="preserve">I have logged it as a formal complaint.</t>
  </si>
  <si>
    <t xml:space="preserve">Customer chahta hai ki uska email formal complaint ki tarah darj ho. Aap jawaab mein reference number aur date dijiye.</t>
  </si>
  <si>
    <t xml:space="preserve">I have logged your email as a formal complaint, reference FC-3110, and you will receive a full response by 12 June.</t>
  </si>
  <si>
    <t xml:space="preserve">Can I add more details to the complaint?</t>
  </si>
  <si>
    <t xml:space="preserve">Yes. Please reply to this email with the details and quote reference FC-2093; I will add them to your complaint the same day.</t>
  </si>
  <si>
    <t xml:space="preserve">Partner A ends an email about a damaged parcel with "Please treat this as a formal complaint." Partner B explains what A wants and writes a reply with a reference, a date and an owner.</t>
  </si>
  <si>
    <t xml:space="preserve">Write a reply to a customer who asks for their email to be treated as a formal complaint about a billing error, with a reference, a date and an owner, and send it as text or a photo for audit.</t>
  </si>
  <si>
    <t xml:space="preserve">Did you confirm it is logged as a formal complaint? · Did you give a reference number? · Did you give a date and a named owner?</t>
  </si>
  <si>
    <t xml:space="preserve">CSE-A-019</t>
  </si>
  <si>
    <t xml:space="preserve">I was led to believe that the upgrade would be free of charge.</t>
  </si>
  <si>
    <t xml:space="preserve">A customer received a bill for an upgrade and writes that someone from your company told them it would cost nothing.</t>
  </si>
  <si>
    <t xml:space="preserve">The customer says they were "led to believe" something. Who do they think is responsible, and what should you check before answering?</t>
  </si>
  <si>
    <t xml:space="preserve">i-was-LED · to-be-LIEVE · that-the-UP-grade · would-be-FREE · of-CHARGE</t>
  </si>
  <si>
    <t xml:space="preserve">If read aloud: was_led → "wuz-LED" · led_to → "led-too" · free_of → "free-yuv"</t>
  </si>
  <si>
    <t xml:space="preserve">If read aloud: steady and slightly cold, with stress on "led" and "free", and a falling, pointed tone on "charge".</t>
  </si>
  <si>
    <t xml:space="preserve">If read aloud, "believe" ends in a clear "v" (top teeth on lower lip), not "bileew"; "that" starts with the soft "th" of "this", not "dat".</t>
  </si>
  <si>
    <t xml:space="preserve">Polite, pointed, accusing</t>
  </si>
  <si>
    <t xml:space="preserve">Misled and suspicious that the company changed its story.</t>
  </si>
  <si>
    <t xml:space="preserve">Someone drew the customer a map; the road on the map does not match the real road. Find the map before you argue about the road.</t>
  </si>
  <si>
    <t xml:space="preserve">मुझे यक़ीन दिलाया गया था कि अपग्रेड मुफ़्त होगा।</t>
  </si>
  <si>
    <t xml:space="preserve">Mujhe yakeen dilaya gaya tha ki upgrade muft hoga.</t>
  </si>
  <si>
    <t xml:space="preserve">Someone from your company made me think the upgrade would cost nothing, and now you are charging me.</t>
  </si>
  <si>
    <t xml:space="preserve">"Led to believe" politely says, "Your company gave me this idea." The customer feels misled and wants you to take the claim seriously, check what was said, and correct the bill if they are right.</t>
  </si>
  <si>
    <t xml:space="preserve">I was led to believe that ___.</t>
  </si>
  <si>
    <t xml:space="preserve">I was + led (passive of "lead") + to believe + that-clause</t>
  </si>
  <si>
    <t xml:space="preserve">"Was led to believe" is passive: someone else made the customer believe it, without naming who.</t>
  </si>
  <si>
    <t xml:space="preserve">The phrase is polite but contains an accusation. Replying "You must have misunderstood" denies their experience and makes things worse; checking first is respectful.</t>
  </si>
  <si>
    <t xml:space="preserve">✗ (agent replies) You may have misunderstood our executive. → ✓ Thank you for telling me. I'm checking the notes from your call on 3 May and will reply by 4 pm today.</t>
  </si>
  <si>
    <t xml:space="preserve">"Our agents never say that." — you do not know yet, and it calls the customer a liar.</t>
  </si>
  <si>
    <t xml:space="preserve">Instead of "You must have misunderstood", write "I'm sorry if we gave you that impression; I'm checking what was said and will reply by 4 pm."</t>
  </si>
  <si>
    <t xml:space="preserve">Thank you for explaining. I'm checking the notes and recording from your call, and if the record shows you were told the upgrade was free, I will remove the charge.</t>
  </si>
  <si>
    <t xml:space="preserve">I'm sorry this has caused a problem with your bill. Could you tell me roughly when you were told this, and whether it was by phone, chat or email? I will check it today.</t>
  </si>
  <si>
    <t xml:space="preserve">Thank you for bringing this to my attention. I am reviewing the record of your conversation with our team and will respond by 4 pm today; if the record shows you were told the upgrade would be free, the charge will be removed.</t>
  </si>
  <si>
    <t xml:space="preserve">I'm sorry if we gave you the wrong impression. I'm checking the notes from your call on 3 May, and if the record shows you were told the upgrade was free, I will remove the charge and confirm by 4 pm today.</t>
  </si>
  <si>
    <t xml:space="preserve">It was on the phone, about two weeks ago. · I have the chat transcript if you want it. · I don't remember the agent's name.</t>
  </si>
  <si>
    <t xml:space="preserve">Customer: "So you think I'm lying?" → Agent: "I'm sorry it sounded that way; not at all. I want to find the record so I can correct the bill quickly, and if I cannot find it, I will ask my manager to review your case by tomorrow."</t>
  </si>
  <si>
    <t xml:space="preserve">Learners from Indian-English backgrounds may hear "led to believe" as a neutral remark. In British formal complaints it is a polite accusation that the company gave a wrong impression, so check the record before you answer.</t>
  </si>
  <si>
    <t xml:space="preserve">Voice: "But I was told…" is the spoken version; ask when and how they were told. Chat: ask for a transcript if they have one. Email: promise a check with a time, then reply with what you found.</t>
  </si>
  <si>
    <t xml:space="preserve">Do not promise to remove the charge before checking, unless you are allowed to decide in the customer's favour without proof.</t>
  </si>
  <si>
    <t xml:space="preserve">Customer: I was led to believe that the upgrade would be free of charge. | Agent: I'm sorry if we gave you the wrong impression. I'm checking the notes from your call on 3 May and will reply by 4 pm today. | Customer: Thank you. | Agent: I have checked: you were told it was free, so I have removed the charge, and your next bill will show it.</t>
  </si>
  <si>
    <t xml:space="preserve">Paraphrase and check before solving: "So, if I've understood correctly…"; then give a clear time for the answer.</t>
  </si>
  <si>
    <t xml:space="preserve">I was ____ (lead) to believe that the upgrade would be free of charge.</t>
  </si>
  <si>
    <t xml:space="preserve">led</t>
  </si>
  <si>
    <t xml:space="preserve">A customer writes, "I was led to believe that the upgrade would be free." What is the best first response?</t>
  </si>
  <si>
    <t xml:space="preserve">A) I think you may have misunderstood what our agent told you, as the upgrade has always had a price. | B) Our agents are trained not to make promises like that, so I would be surprised if this was said. | C) The upgrade costs $10 per month, as stated on our website, so the charge on your bill is correct. | D) I'm sorry if we gave you that impression. I'm checking the call notes and will reply by 4 pm today.</t>
  </si>
  <si>
    <t xml:space="preserve">D takes the claim seriously and gives a time. C is tempting because it is a fact, but it ignores what the customer says they were told. A and B doubt the customer before checking.</t>
  </si>
  <si>
    <t xml:space="preserve">free / was / to / I / that / it / led / believe / was</t>
  </si>
  <si>
    <t xml:space="preserve">I was led to believe that it was free.</t>
  </si>
  <si>
    <t xml:space="preserve">Customer ka kehna hai ki use bataya gaya tha ki delivery free hogi. Aap jaanch karne ka vaada kariye aur samay batayiye.</t>
  </si>
  <si>
    <t xml:space="preserve">I'm sorry if we gave you the wrong impression. I'm checking what you were told and will reply by 3 pm today.</t>
  </si>
  <si>
    <t xml:space="preserve">I can forward you the chat where your agent said it.</t>
  </si>
  <si>
    <t xml:space="preserve">Thank you, that would help. Please forward it to this address, and I will check it and reply by 4 pm today.</t>
  </si>
  <si>
    <t xml:space="preserve">Partner A writes, "I was led to believe that installation was included." Partner B explains what A means and writes a reply that takes the claim seriously and promises a check by a set time.</t>
  </si>
  <si>
    <t xml:space="preserve">Write a reply to a customer who was "led to believe" that delivery was free, promising a check with a time, and send it as text or a photo for audit.</t>
  </si>
  <si>
    <t xml:space="preserve">Did you avoid saying the customer misunderstood? · Did you promise to check what was said? · Did you give a time for your answer?</t>
  </si>
  <si>
    <t xml:space="preserve">CSE-A-020</t>
  </si>
  <si>
    <t xml:space="preserve">Should this not be resolved by Friday, I will cancel my subscription and request a full refund.</t>
  </si>
  <si>
    <t xml:space="preserve">A customer whose streaming service has not worked for a week ends their email with this conditional deadline.</t>
  </si>
  <si>
    <t xml:space="preserve">The customer's email starts its last line with "Should this not…". What condition and deadline are they setting, and what must you send before it?</t>
  </si>
  <si>
    <t xml:space="preserve">SHOULD-this-NOT · be-re-SOLVED · by-FRI-day · i-will-CAN-cel · my-sub-SCRIP-tion · and-re-QUEST · a-FULL-RE-fund</t>
  </si>
  <si>
    <t xml:space="preserve">If read aloud: not_be → "nop-bee" · request_a → "ri-KWES-tuh" · and_request → "an-dri-KWEST"</t>
  </si>
  <si>
    <t xml:space="preserve">If read aloud: a rising, held tone on "Friday" (the condition), a short pause, then a firm, falling tone on "full refund" (the consequence).</t>
  </si>
  <si>
    <t xml:space="preserve">If read aloud, "resolved" is ri-ZOLVD, with a "z" sound and a final "vd", not "ri-sol-ved"; "subscription" has stress on SCRIP.</t>
  </si>
  <si>
    <t xml:space="preserve">Firm, conditional, businesslike</t>
  </si>
  <si>
    <t xml:space="preserve">Frustrated, out of patience, but still giving one last chance.</t>
  </si>
  <si>
    <t xml:space="preserve">"Should this not…" is a clock on the wall: it shows the deadline first, then what happens when the alarm rings.</t>
  </si>
  <si>
    <t xml:space="preserve">अगर यह शुक्रवार तक हल नहीं हुआ, तो मैं अपना सब्सक्रिप्शन रद्द कर दूँगा/दूँगी और पूरा रिफ़ंड माँगूँगा/माँगूँगी।</t>
  </si>
  <si>
    <t xml:space="preserve">Agar yeh shukravaar tak hal nahin hua, to main apna subscription radd kar doonga/doongi aur poora refund maangoonga/maangoongi.</t>
  </si>
  <si>
    <t xml:space="preserve">If you have not fixed this by Friday, I will stop my subscription and ask for all my money back.</t>
  </si>
  <si>
    <t xml:space="preserve">"Should this not…" is a formal way of saying "If this is not…". The customer is giving you one last chance with a clear deadline. They want a real fix, or at least a clear plan, before Friday.</t>
  </si>
  <si>
    <t xml:space="preserve">Should this not be ___ by ___, I will ___.</t>
  </si>
  <si>
    <t xml:space="preserve">Should + subject + not + be + past participle (inverted conditional) + by + day, + I will + verb</t>
  </si>
  <si>
    <t xml:space="preserve">Starting with "Should" instead of "If" is a formal way to make a condition.</t>
  </si>
  <si>
    <t xml:space="preserve">The inverted "should" sounds cool and decided. Replying "We are trying our best" ignores the deadline; the customer needs a clear plan before Friday.</t>
  </si>
  <si>
    <t xml:space="preserve">✗ (learner reads "Should" as advice) The customer says we should fix it. → ✓ "Should this not be resolved" means "If this is not resolved".</t>
  </si>
  <si>
    <t xml:space="preserve">"We will try our best to resolve it soon." — it ignores the customer's Friday deadline and promises nothing.</t>
  </si>
  <si>
    <t xml:space="preserve">Instead of "We will try to fix it soon", write "I will give you a full update by Thursday at noon, before your deadline."</t>
  </si>
  <si>
    <t xml:space="preserve">Thank you for being clear about Friday. Our engineers are working on your account now, and I will update you by Thursday at noon.</t>
  </si>
  <si>
    <t xml:space="preserve">A week without your service is too long, and I'm sorry. Your case is now marked urgent, and I will email you by Thursday at noon, with your refund options if the fix is not ready.</t>
  </si>
  <si>
    <t xml:space="preserve">I appreciate that you need this resolved by Friday. I have escalated your case as urgent and will update you by Thursday at noon; should the issue remain, I will set out your refund options in full.</t>
  </si>
  <si>
    <t xml:space="preserve">I understand you need this fixed by Friday. I have raised your case as urgent, and I will update you by Thursday at noon with either the fix or your refund options.</t>
  </si>
  <si>
    <t xml:space="preserve">Thursday is fine. · I've heard that before. · Just cancel it now.</t>
  </si>
  <si>
    <t xml:space="preserve">Customer: "Just cancel it now." → Agent: "Of course, and I'm sorry it has come to this. I can cancel it today. Before I do, would you like me to check what refund you are due for the days the service did not work?"</t>
  </si>
  <si>
    <t xml:space="preserve">Learners who know "should" only as advice may misread "Should this not…". In formal British and international emails it simply means "if this is not…", so treat it as a deadline, not a suggestion.</t>
  </si>
  <si>
    <t xml:space="preserve">Voice: the spoken version is "If this isn't fixed by Friday, I'm cancelling." Chat: confirm the deadline and give a time for your next update. Email: reply before the deadline with a dated plan.</t>
  </si>
  <si>
    <t xml:space="preserve">Do not promise a fix by Friday unless the technical team has confirmed it; promise an update instead.</t>
  </si>
  <si>
    <t xml:space="preserve">Customer: Should this not be resolved by Friday, I will cancel my subscription and request a full refund. | Agent: I understand you need this fixed by Friday. I have raised your case as urgent and will update you by Thursday at noon. | Customer: And if it is still broken then? | Agent: Then I will cancel the subscription for you and process your refund the same day, so you will not need to ask again.</t>
  </si>
  <si>
    <t xml:space="preserve">Set expectations: use "I will", plus a time, instead of "we'll try" or "hopefully soon".</t>
  </si>
  <si>
    <t xml:space="preserve">____ this not be resolved by Friday, I will cancel my subscription and request a full refund.</t>
  </si>
  <si>
    <t xml:space="preserve">Should</t>
  </si>
  <si>
    <t xml:space="preserve">A customer writes, "Should this not be resolved by Friday, I will cancel." What does "Should this not be resolved" mean?</t>
  </si>
  <si>
    <t xml:space="preserve">A) You ought to resolve this before Friday arrives. | B) If this has still not been resolved by Friday. | C) This should never have been left unresolved. | D) I am not sure this can be resolved by Friday.</t>
  </si>
  <si>
    <t xml:space="preserve">B: in formal English, starting with "Should" makes a condition, like "If". A is tempting because "should" usually means advice, but here the word order shows it is a condition. C and D change the meaning.</t>
  </si>
  <si>
    <t xml:space="preserve">resolved / should / Friday / not / be / by / this</t>
  </si>
  <si>
    <t xml:space="preserve">Should this not be resolved by Friday</t>
  </si>
  <si>
    <t xml:space="preserve">Customer ne likha hai ki agar Monday tak problem theek nahin hui to woh account band kar dega. Aap jawaab likhiye.</t>
  </si>
  <si>
    <t xml:space="preserve">I understand you need this fixed by Monday. I have raised it as urgent, and I will update you by Friday afternoon.</t>
  </si>
  <si>
    <t xml:space="preserve">Can you guarantee it will be fixed by Friday?</t>
  </si>
  <si>
    <t xml:space="preserve">I can't promise the fix itself yet, but I can promise an update by Thursday at noon, and if it is still not working, I will process your refund that day.</t>
  </si>
  <si>
    <t xml:space="preserve">Partner A writes, "Should this not be resolved by Monday, I will close my account." Partner B explains the meaning and writes a reply with a dated update before the deadline.</t>
  </si>
  <si>
    <t xml:space="preserve">Write a reply to a customer who says, "Should this not be resolved by Friday, I will cancel", giving a dated update before their deadline, and send it as text or a photo for audit.</t>
  </si>
  <si>
    <t xml:space="preserve">Did you understand "Should this not" as "If this is not"? · Did you give a time before the customer's deadline? · Did you avoid "we'll try our best"?</t>
  </si>
  <si>
    <t xml:space="preserve">#</t>
  </si>
  <si>
    <t xml:space="preserve">Side</t>
  </si>
  <si>
    <t xml:space="preserve">Field</t>
  </si>
  <si>
    <t xml:space="preserve">Key</t>
  </si>
  <si>
    <t xml:space="preserve">What goes in it</t>
  </si>
  <si>
    <t xml:space="preserve">Card</t>
  </si>
  <si>
    <t xml:space="preserve">id</t>
  </si>
  <si>
    <t xml:space="preserve">CSV-B-001 (V=voice C=chat E=email, B/I/A level)</t>
  </si>
  <si>
    <t xml:space="preserve">channel</t>
  </si>
  <si>
    <t xml:space="preserve">Voice | Chat | Email</t>
  </si>
  <si>
    <t xml:space="preserve">level</t>
  </si>
  <si>
    <t xml:space="preserve">Basic | Intermediate | Advanced</t>
  </si>
  <si>
    <t xml:space="preserve">cefr</t>
  </si>
  <si>
    <t xml:space="preserve">A2 | B1 | B2 | C1</t>
  </si>
  <si>
    <t xml:space="preserve">kind</t>
  </si>
  <si>
    <t xml:space="preserve">Say it | Understand it</t>
  </si>
  <si>
    <t xml:space="preserve">call_stage</t>
  </si>
  <si>
    <t xml:space="preserve">Opening, Verify, Listen &amp; clarify, Hold &amp; check, Transfer, Apologise, Explain, Say no politely, Escalate, Set expectations, Close, Follow-up, Difficult customer</t>
  </si>
  <si>
    <t xml:space="preserve">Side 1</t>
  </si>
  <si>
    <t xml:space="preserve">sentence</t>
  </si>
  <si>
    <t xml:space="preserve">Say it: the agent's line. Understand it: the customer's line (as people really say it).</t>
  </si>
  <si>
    <t xml:space="preserve">speaker</t>
  </si>
  <si>
    <t xml:space="preserve">Agent | Customer</t>
  </si>
  <si>
    <t xml:space="preserve">situation</t>
  </si>
  <si>
    <t xml:space="preserve">One sentence: what is happening when this is said.</t>
  </si>
  <si>
    <t xml:space="preserve">recall_cue</t>
  </si>
  <si>
    <t xml:space="preserve">A question the learner answers before turning. Never contains the sentence.</t>
  </si>
  <si>
    <t xml:space="preserve">stress</t>
  </si>
  <si>
    <t xml:space="preserve">Stressed syllables in CAPITALS, groups split by ' · '.</t>
  </si>
  <si>
    <t xml:space="preserve">linking</t>
  </si>
  <si>
    <t xml:space="preserve">How words join in natural speech, e.g. could_you → 'cud-joo'.</t>
  </si>
  <si>
    <t xml:space="preserve">intonation</t>
  </si>
  <si>
    <t xml:space="preserve">Rising/falling, where to pause, speed.</t>
  </si>
  <si>
    <t xml:space="preserve">indian_pron_tip</t>
  </si>
  <si>
    <t xml:space="preserve">One real sound/stress trap for Indian speakers in THIS sentence (v/w, th, final consonant, stress).</t>
  </si>
  <si>
    <t xml:space="preserve">register</t>
  </si>
  <si>
    <t xml:space="preserve">Formal | Neutral | Friendly</t>
  </si>
  <si>
    <t xml:space="preserve">tone</t>
  </si>
  <si>
    <t xml:space="preserve">2-5 words: polite request, calm reassurance…</t>
  </si>
  <si>
    <t xml:space="preserve">importance</t>
  </si>
  <si>
    <t xml:space="preserve">Digit 1-5</t>
  </si>
  <si>
    <t xml:space="preserve">customer_emotion</t>
  </si>
  <si>
    <t xml:space="preserve">The customer's likely feeling at this moment (4+ words).</t>
  </si>
  <si>
    <t xml:space="preserve">memory_hook</t>
  </si>
  <si>
    <t xml:space="preserve">A vivid hook to remember the line (8+ words).</t>
  </si>
  <si>
    <t xml:space="preserve">Side 2</t>
  </si>
  <si>
    <t xml:space="preserve">hindi_meaning</t>
  </si>
  <si>
    <t xml:space="preserve">Devanagari. Use देखता/देखती style where gender matters.</t>
  </si>
  <si>
    <t xml:space="preserve">hindi_roman</t>
  </si>
  <si>
    <t xml:space="preserve">Same meaning in Roman script.</t>
  </si>
  <si>
    <t xml:space="preserve">simple_meaning</t>
  </si>
  <si>
    <t xml:space="preserve">Plain paraphrase a beginner understands.</t>
  </si>
  <si>
    <t xml:space="preserve">why_it_works</t>
  </si>
  <si>
    <t xml:space="preserve">1-2 sentences: what this wording does for the customer.</t>
  </si>
  <si>
    <t xml:space="preserve">key_chunk</t>
  </si>
  <si>
    <t xml:space="preserve">The reusable frame inside, with slot: 'Could you ___, please?'</t>
  </si>
  <si>
    <t xml:space="preserve">grammar_pattern</t>
  </si>
  <si>
    <t xml:space="preserve">Formula: Could + you + base verb …</t>
  </si>
  <si>
    <t xml:space="preserve">grammar_note</t>
  </si>
  <si>
    <t xml:space="preserve">One line a beginner understands.</t>
  </si>
  <si>
    <t xml:space="preserve">tone_note</t>
  </si>
  <si>
    <t xml:space="preserve">Why this sounds polite/neutral and what would sound rude.</t>
  </si>
  <si>
    <t xml:space="preserve">watch_out</t>
  </si>
  <si>
    <t xml:space="preserve">'✗ real wrong version → ✓ correct version' (a real learner mistake).</t>
  </si>
  <si>
    <t xml:space="preserve">dont_say</t>
  </si>
  <si>
    <t xml:space="preserve">A blunt/negative/outdated line agents really use, and why to avoid it.</t>
  </si>
  <si>
    <t xml:space="preserve">positive_swap</t>
  </si>
  <si>
    <t xml:space="preserve">'Instead of … say …' (negative → positive language).</t>
  </si>
  <si>
    <t xml:space="preserve">alt_1</t>
  </si>
  <si>
    <t xml:space="preserve">Different wording, same job.</t>
  </si>
  <si>
    <t xml:space="preserve">alt_2</t>
  </si>
  <si>
    <t xml:space="preserve">more_formal</t>
  </si>
  <si>
    <t xml:space="preserve">Version for email/complaint/senior customer.</t>
  </si>
  <si>
    <t xml:space="preserve">ask_next</t>
  </si>
  <si>
    <t xml:space="preserve">What the agent asks or says right after this.</t>
  </si>
  <si>
    <t xml:space="preserve">replies_you_may_hear</t>
  </si>
  <si>
    <t xml:space="preserve">2-3 real customer replies separated by ' · '.</t>
  </si>
  <si>
    <t xml:space="preserve">if_customer_pushes</t>
  </si>
  <si>
    <t xml:space="preserve">Customer's hard reply → agent's calm answer.</t>
  </si>
  <si>
    <t xml:space="preserve">cultural_note</t>
  </si>
  <si>
    <t xml:space="preserve">One note on Indian-English habit vs what international customers expect.</t>
  </si>
  <si>
    <t xml:space="preserve">channel_note</t>
  </si>
  <si>
    <t xml:space="preserve">How it changes on voice / chat / email.</t>
  </si>
  <si>
    <t xml:space="preserve">when_not_to_use</t>
  </si>
  <si>
    <t xml:space="preserve">One situation where this line is wrong.</t>
  </si>
  <si>
    <t xml:space="preserve">mini_conversation</t>
  </si>
  <si>
    <t xml:space="preserve">'Customer: … | Agent: … | Customer: … | Agent: …' (4 turns).</t>
  </si>
  <si>
    <t xml:space="preserve">source_rule</t>
  </si>
  <si>
    <t xml:space="preserve">The service rule behind this line, short (from the research brief).</t>
  </si>
  <si>
    <t xml:space="preserve">Side 3</t>
  </si>
  <si>
    <t xml:space="preserve">fill_blank</t>
  </si>
  <si>
    <t xml:space="preserve">Sentence with ____ (exactly one blank).</t>
  </si>
  <si>
    <t xml:space="preserve">fill_answer</t>
  </si>
  <si>
    <t xml:space="preserve">Exact word(s) for the blank.</t>
  </si>
  <si>
    <t xml:space="preserve">mcq_question</t>
  </si>
  <si>
    <t xml:space="preserve">Tests choice of wording/meaning, not answerable from itself.</t>
  </si>
  <si>
    <t xml:space="preserve">mcq_options</t>
  </si>
  <si>
    <t xml:space="preserve">'A) … | B) … | C) … | D) …' exactly one correct.</t>
  </si>
  <si>
    <t xml:space="preserve">mcq_answer</t>
  </si>
  <si>
    <t xml:space="preserve">A-D</t>
  </si>
  <si>
    <t xml:space="preserve">mcq_why</t>
  </si>
  <si>
    <t xml:space="preserve">Why it is right and why the tempting one is wrong.</t>
  </si>
  <si>
    <t xml:space="preserve">reorder_task</t>
  </si>
  <si>
    <t xml:space="preserve">The sentence's words jumbled, separated by ' / '.</t>
  </si>
  <si>
    <t xml:space="preserve">reorder_answer</t>
  </si>
  <si>
    <t xml:space="preserve">The correct sentence.</t>
  </si>
  <si>
    <t xml:space="preserve">hindi_to_english</t>
  </si>
  <si>
    <t xml:space="preserve">A Hindi (Roman) prompt the learner turns into English.</t>
  </si>
  <si>
    <t xml:space="preserve">hindi_to_english_answer</t>
  </si>
  <si>
    <t xml:space="preserve">A model English answer.</t>
  </si>
  <si>
    <t xml:space="preserve">whats_next_customer</t>
  </si>
  <si>
    <t xml:space="preserve">A customer line that follows this moment.</t>
  </si>
  <si>
    <t xml:space="preserve">whats_next_reply</t>
  </si>
  <si>
    <t xml:space="preserve">A model agent reply to that line.</t>
  </si>
  <si>
    <t xml:space="preserve">role_play</t>
  </si>
  <si>
    <t xml:space="preserve">A 2-person task with a concrete scenario.</t>
  </si>
  <si>
    <t xml:space="preserve">record_task</t>
  </si>
  <si>
    <t xml:space="preserve">Voice/Chat: what to record. Email: what to write and send as text/photo.</t>
  </si>
  <si>
    <t xml:space="preserve">self_check</t>
  </si>
  <si>
    <t xml:space="preserve">3 yes/no checks separated by ' · ' before submitting.</t>
  </si>
  <si>
    <t xml:space="preserve">Summary</t>
  </si>
  <si>
    <t xml:space="preserve">Count</t>
  </si>
  <si>
    <t xml:space="preserve">All</t>
  </si>
  <si>
    <t xml:space="preserve">Cards</t>
  </si>
  <si>
    <t xml:space="preserve">Level: Basic</t>
  </si>
  <si>
    <t xml:space="preserve">Level: Intermediate</t>
  </si>
  <si>
    <t xml:space="preserve">Level: Advanced</t>
  </si>
  <si>
    <t xml:space="preserve">Kind: Say it</t>
  </si>
  <si>
    <t xml:space="preserve">Kind: Understand it</t>
  </si>
  <si>
    <t xml:space="preserve">Stage: Apologise</t>
  </si>
  <si>
    <t xml:space="preserve">Stage: Close</t>
  </si>
  <si>
    <t xml:space="preserve">Stage: Difficult customer</t>
  </si>
  <si>
    <t xml:space="preserve">Stage: Escalate</t>
  </si>
  <si>
    <t xml:space="preserve">Stage: Explain</t>
  </si>
  <si>
    <t xml:space="preserve">Stage: Follow-up</t>
  </si>
  <si>
    <t xml:space="preserve">Stage: Hold &amp; check</t>
  </si>
  <si>
    <t xml:space="preserve">Stage: Listen &amp; clarify</t>
  </si>
  <si>
    <t xml:space="preserve">Stage: Opening</t>
  </si>
  <si>
    <t xml:space="preserve">Stage: Say no politely</t>
  </si>
  <si>
    <t xml:space="preserve">Stage: Set expectations</t>
  </si>
  <si>
    <t xml:space="preserve">Stage: Transfer</t>
  </si>
  <si>
    <t xml:space="preserve">Stage: Verify</t>
  </si>
  <si>
    <t xml:space="preserve">CEFR: A2</t>
  </si>
  <si>
    <t xml:space="preserve">CEFR: B1</t>
  </si>
  <si>
    <t xml:space="preserve">CEFR: B2</t>
  </si>
  <si>
    <t xml:space="preserve">CEFR: C1</t>
  </si>
  <si>
    <t xml:space="preserve">My status: Known</t>
  </si>
  <si>
    <t xml:space="preserve">My status: Learning</t>
  </si>
  <si>
    <t xml:space="preserve">My status: Unknown</t>
  </si>
  <si>
    <t xml:space="preserve">My status: Fix</t>
  </si>
  <si>
    <t xml:space="preserve">Audit script result (2026-10-15, run when this file was built)</t>
  </si>
  <si>
    <t xml:space="preserve">Errors</t>
  </si>
  <si>
    <t xml:space="preserve">Warnings</t>
  </si>
  <si>
    <t xml:space="preserve">Source</t>
  </si>
  <si>
    <t xml:space="preserve">Link</t>
  </si>
  <si>
    <t xml:space="preserve">source</t>
  </si>
  <si>
    <t xml:space="preserve">https://learnenglish.life/guides/english-for-customer-service/</t>
  </si>
  <si>
    <t xml:space="preserve">https://web1svr.unicron.com/Download_PDFS/mL4B05/602358/Telephoning%20In%20English%20Cambridge.pdf</t>
  </si>
  <si>
    <t xml:space="preserve">https://www.fluentu.com/blog/english/business-english-telephone-phrases/</t>
  </si>
  <si>
    <t xml:space="preserve">https://convin.ai/blog/customer-verification-call-center</t>
  </si>
  <si>
    <t xml:space="preserve">https://www.slideshare.net/slideshow/call-handling-guidelines-238682174/238682174</t>
  </si>
  <si>
    <t xml:space="preserve">https://poly.ai/blog/automating-identity-verification-in-the-contact-center-what-you-should-know</t>
  </si>
  <si>
    <t xml:space="preserve">https://www.anser.com/qa/hold</t>
  </si>
  <si>
    <t xml:space="preserve">https://melotel.com/what-are-the-right-and-wrong-ways-to-place-callers-on-hold/</t>
  </si>
  <si>
    <t xml:space="preserve">https://exotel.com/blog/bad-call-center-phrases-15-to-avoid/</t>
  </si>
  <si>
    <t xml:space="preserve">https://vida.io/blog/how-to-put-someone-on-hold</t>
  </si>
  <si>
    <t xml:space="preserve">https://www.verequest.com/courses/holds-dead-air-and-transfers</t>
  </si>
  <si>
    <t xml:space="preserve">https://docs.medallia.com/mindful/mindful-callback/faqs/best-practices/quote-wait-time-before-offering-callbacks</t>
  </si>
  <si>
    <t xml:space="preserve">https://www.calilio.com/blogs/warm-transfer-vs-cold-transfer</t>
  </si>
  <si>
    <t xml:space="preserve">https://krispcall.com/customer-experience/cold-transfer-vs-warm-transfer/</t>
  </si>
  <si>
    <t xml:space="preserve">https://desk.zoho.com/portal/cinchhomeservices/en/kb/articles/call-transfer-procedures</t>
  </si>
  <si>
    <t xml:space="preserve">https://www.entrepreneur.com/article/227458</t>
  </si>
  <si>
    <t xml:space="preserve">https://www.quo.com/blog/active-listening-in-customer-service/</t>
  </si>
  <si>
    <t xml:space="preserve">https://customerthink.com/?p=1049518</t>
  </si>
  <si>
    <t xml:space="preserve">https://www.cxtoday.com/contact-centre/valuable-active-listening-exercises-for-contact-center-agents</t>
  </si>
  <si>
    <t xml:space="preserve">https://www.capterra.com/resources/paraphrasing-customer-service-success-secret-weapon/</t>
  </si>
  <si>
    <t xml:space="preserve">https://fonolo.com/?p=53552</t>
  </si>
  <si>
    <t xml:space="preserve">https://pollackpeacebuilding.com/blog/heard-method/</t>
  </si>
  <si>
    <t xml:space="preserve">https://www.livechat.com/success/sorry-for-the-inconvenience</t>
  </si>
  <si>
    <t xml:space="preserve">https://www.bolddesk.com/blogs/sorry-for-the-inconvenience</t>
  </si>
  <si>
    <t xml:space="preserve">https://news.osu.edu/the-6-elements-of-an-effective-apology-according-to-science/</t>
  </si>
  <si>
    <t xml:space="preserve">https://www.psychologicalscience.org/news/minds-business/effective-apologies-include-six-elements.html</t>
  </si>
  <si>
    <t xml:space="preserve">https://entripy-82.helpscoutdocs.com/article/392-take-owership-maintain-control-of-the-call</t>
  </si>
  <si>
    <t xml:space="preserve">https://www.quo.com/blog/customer-service-expectations/</t>
  </si>
  <si>
    <t xml:space="preserve">https://toistersolutions.com/blog/2016/7/6/how-clear-language-can-help-you-avoid-service-failures</t>
  </si>
  <si>
    <t xml:space="preserve">https://www.renascence.io/journal/gartners-customer-effort-research-why-effort-beats-delight</t>
  </si>
  <si>
    <t xml:space="preserve">https://www.gartner.com/en/newsroom/press-releases/2020-08-19-gartner-reveals-two-actions-customer-service-leaders-</t>
  </si>
  <si>
    <t xml:space="preserve">https://sqmgroup.com/resources/library/blog/5-pros-and-cons-agents-asking-customers-if-they-resolved-issues</t>
  </si>
  <si>
    <t xml:space="preserve">https://www.shopify.com/blog/positive-scripting</t>
  </si>
  <si>
    <t xml:space="preserve">https://www.callcentrehelper.com/positive-scripting-examples-for-better-customer-conversations-253958.htm</t>
  </si>
  <si>
    <t xml:space="preserve">https://quidget.ai/?p=1975</t>
  </si>
  <si>
    <t xml:space="preserve">https://digitaldealer.com/news/5-things-employees-say-sabotage-customer-service-drive-customers-away/74915/</t>
  </si>
  <si>
    <t xml:space="preserve">https://customerthink.com/part-3-are-you-using-these-magic-customer-service-words/</t>
  </si>
  <si>
    <t xml:space="preserve">https://www.cxtoday.com/wfo/positive-language-usage-20-examples-that-will-make-every-interaction-a-little-bit-brighter</t>
  </si>
  <si>
    <t xml:space="preserve">Zapier</t>
  </si>
  <si>
    <t xml:space="preserve">https://zapier.com/blog/customer-support-language-and-tone</t>
  </si>
  <si>
    <t xml:space="preserve">Hiver</t>
  </si>
  <si>
    <t xml:space="preserve">https://hiverhq.com/?p=46426</t>
  </si>
  <si>
    <t xml:space="preserve">https://www.vocabulary.com/articles/wordroutes/is-there-a-problem-with-no-problem/</t>
  </si>
  <si>
    <t xml:space="preserve">https://www.hospitalitynet.org/opinion/4093603.html</t>
  </si>
  <si>
    <t xml:space="preserve">https://www.td.org/insights/when-you-say-no-problem-you-may-have-customer-service-problem</t>
  </si>
  <si>
    <t xml:space="preserve">https://waywordradio.org/no-problem-youre-welcome/</t>
  </si>
  <si>
    <t xml:space="preserve">https://www.customerthermometer.com/customer-service/excellent-customer-service-phrases/</t>
  </si>
  <si>
    <t xml:space="preserve">https://www.parcelperform.com/insights/customer-service-disney-tips</t>
  </si>
  <si>
    <t xml:space="preserve">https://www.xola.com/articles/how-to-use-the-last-method-for-customer-service/</t>
  </si>
  <si>
    <t xml:space="preserve">https://centeredgesoftware.com/blog/5-effective-ways-to-resolve-complaints-with-last/</t>
  </si>
  <si>
    <t xml:space="preserve">https://readytrainingonline.com/articles/customer-service/</t>
  </si>
  <si>
    <t xml:space="preserve">https://trainingcenter.acgov.org/2020/03/latte-for-customer-service</t>
  </si>
  <si>
    <t xml:space="preserve">https://www.pharmacytimes.com/view/how-to-handle-angry-pharmacy-customers</t>
  </si>
  <si>
    <t xml:space="preserve">https://rachel.core2learn.org/modules/en-learnsaylor/mod/page/view.php@id=18749.html</t>
  </si>
  <si>
    <t xml:space="preserve">https://www.servicetitan.com/blog/pantheon-recap-hearing-is-not-enough</t>
  </si>
  <si>
    <t xml:space="preserve">https://open-exam-prep.com/study-guides/ca-ab-abst/communication/leaps-communication-method</t>
  </si>
  <si>
    <t xml:space="preserve">https://caringforcare.co.uk/leaps-model/</t>
  </si>
  <si>
    <t xml:space="preserve">https://www.zendesk.com/blog/6-best-practices-chat-etiquette/</t>
  </si>
  <si>
    <t xml:space="preserve">https://www.zendesk.com/in/blog/messaging-and-chat/live-chat/live-chat-support-skills/</t>
  </si>
  <si>
    <t xml:space="preserve">https://www.chaindesk.ai/blog/chat-etiquette-for-customer-service-guide</t>
  </si>
  <si>
    <t xml:space="preserve">https://community.intercom.com/messenger-8/how-do-you-handle-customers-expecting-instant-replies-in-intercom-messenger-14016</t>
  </si>
  <si>
    <t xml:space="preserve">https://www.stayntouch.com/wp-content/uploads/intercom-guide.pdf</t>
  </si>
  <si>
    <t xml:space="preserve">https://www.intercom.com/help/en/articles/198-our-best-practice-guide-to-customer-support</t>
  </si>
  <si>
    <t xml:space="preserve">https://www.whoson.com/live-chat-best-practice/canned-responses-dos-donts</t>
  </si>
  <si>
    <t xml:space="preserve">https://www.marketing-interactive.com/study-brands-should-beware-using-emoticons-in-customer-communication/</t>
  </si>
  <si>
    <t xml:space="preserve">https://theses.lib.polyu.edu.hk/handle/200/12107</t>
  </si>
  <si>
    <t xml:space="preserve">https://archives.marketing-trends-congress.com/2025/pages/PDF/108.pdf</t>
  </si>
  <si>
    <t xml:space="preserve">https://www.businesswire.com/news/home/20200220005312/en</t>
  </si>
  <si>
    <t xml:space="preserve">https://livechat.knowledgebase.ai/canned-response-examples/</t>
  </si>
  <si>
    <t xml:space="preserve">https://www.toistersolutions.com/blog/2013/1/1/email-tip-what-do-they-want</t>
  </si>
  <si>
    <t xml:space="preserve">https://www.freshworks.com/explore-cx/tips-to-write-a-good-support-email-with-email-templates/</t>
  </si>
  <si>
    <t xml:space="preserve">https://www.keeping.com/content/email-etiquette-customer-service/</t>
  </si>
  <si>
    <t xml:space="preserve">https://salto.io/blog-posts/tips-and-tricks-to-improve-your-zendesk-emails-from-a-zendesk-expert</t>
  </si>
  <si>
    <t xml:space="preserve">https://www.zendesk.com/dk/blog/use-customer-service-email-templates-save-time/</t>
  </si>
  <si>
    <t xml:space="preserve">https://customerthink.com/?p=113471</t>
  </si>
  <si>
    <t xml:space="preserve">https://icmi.com/resources/2021/plain-language-in-customer-service</t>
  </si>
  <si>
    <t xml:space="preserve">https://helpscout.com/blog/how-to-tell-a-customer-no</t>
  </si>
  <si>
    <t xml:space="preserve">https://www.revistaiberica.org/index.php/iberica/article/view/273</t>
  </si>
  <si>
    <t xml:space="preserve">https://www.talkdrill.com/blog/spoken-english/common-mistakes/common-english-mistakes-indians/</t>
  </si>
  <si>
    <t xml:space="preserve">https://languagehat.com/do-the-needful/</t>
  </si>
  <si>
    <t xml:space="preserve">https://www.vocabulary.com/cm/wordroutes/2307/</t>
  </si>
  <si>
    <t xml:space="preserve">https://llexi.com/l1-errors/common-english-errors-hindi-speakers.html</t>
  </si>
  <si>
    <t xml:space="preserve">https://owl.purdue.edu/owl/multilingual/multilingual_students/writing_for_an_indian_business_audience/index.html</t>
  </si>
  <si>
    <t xml:space="preserve">https://www.talkdrill.com/blog/workplace-english/emails/email-etiquette-mistakes-indian-professionals/</t>
  </si>
  <si>
    <t xml:space="preserve">https://kops.uni-konstanz.de/entities/publication/04b6bd76-5d17-4e6a-a0b9-1e1d98d19930/full</t>
  </si>
  <si>
    <t xml:space="preserve">https://riuma.uma.es/xmlui/handle/10630/11233</t>
  </si>
  <si>
    <t xml:space="preserve">https://repository.nwu.ac.za/handle/10394/15268</t>
  </si>
  <si>
    <t xml:space="preserve">https://repository.stcloudstate.edu/engl_etds/148</t>
  </si>
  <si>
    <t xml:space="preserve">https://assta.org/proceedings/ICPhS2019/papers/ICPhS%5F1431.pdf</t>
  </si>
  <si>
    <t xml:space="preserve">https://www.talkdrill.com/blog/pronunciation/indian-english/indian-english-pronunciation/</t>
  </si>
  <si>
    <t xml:space="preserve">https://hal.archives-ouvertes.fr/hal-01498953</t>
  </si>
  <si>
    <t xml:space="preserve">https://www.degruyterbrill.com/document/doi/10.1075/veaw.g68.07fuc/html</t>
  </si>
  <si>
    <t xml:space="preserve">https://iaak.uni-bonn.de/bael/en/research/word-stress-perception-in-indian-english</t>
  </si>
  <si>
    <t xml:space="preserve">https://cris-portal.uni-muenster.de/portal/en/publication/20007334</t>
  </si>
  <si>
    <t xml:space="preserve">https://assta.org/proceedings/ICPhS2019Microsite/pdf/full-paper_606.pdf</t>
  </si>
  <si>
    <t xml:space="preserve">https://slam.lin.ufl.edu/wp-content/uploads/sites/106/2020/01/2005-Wiltshire-EWW.pdf</t>
  </si>
  <si>
    <t xml:space="preserve">https://www.cambridge.org/core/books/english-around-the-world/final-consonant-cluster-simplification-in-a-variety-of-indian-english/AB78E80B5EDE29BBD8B2A6A8D30EC9E4</t>
  </si>
  <si>
    <t xml:space="preserve">https://journals.uvic.ca/index.php/WPLC/article/view/5670/2196</t>
  </si>
  <si>
    <t xml:space="preserve">https://eprints.nottingham.ac.uk/31046/</t>
  </si>
  <si>
    <t xml:space="preserve">https://www.isca-archive.org/interspeech_2009/weber09_interspeech.html</t>
  </si>
  <si>
    <t xml:space="preserve">https://rm.coe.int/common-european-framework-of-reference-for-languages-learning-teaching/16809ea0d4</t>
  </si>
  <si>
    <t xml:space="preserve">https://www.eaquals.org/2018/06/20/the-cefr-companion-volume-launch-conference-may-2018-tim-goodier/</t>
  </si>
  <si>
    <t xml:space="preserve">https://edit.hueber.de/media/36/Language%20Hub_Elementary_SB_CEFR_Mapping.pdf</t>
  </si>
  <si>
    <t xml:space="preserve">https://api.macmillanenglish.com/fileadmin/user_upload/Blog_and_Resources/Blogs_and_articles/CEFR-all-scales-and-all-skills.pdf</t>
  </si>
  <si>
    <t xml:space="preserve">https://www.oebv.at/internal/f28d2222-b4fc-4803-aac5-79bd48ff8b8a</t>
  </si>
  <si>
    <t xml:space="preserve">https://www.coe.int/en/web/common-european-framework-reference-languages/cefr-descriptors-search</t>
  </si>
  <si>
    <t xml:space="preserve">https://eslbrains.com/esl-lesson-on-customer-service/</t>
  </si>
  <si>
    <t xml:space="preserve">https://www.sciencedaily.com/releases/2008/01/080111224745.htm</t>
  </si>
  <si>
    <t xml:space="preserve">https://www.npr.org/2008/01/19/18255131/hearing-a-smile-in-tone-of-voice</t>
  </si>
  <si>
    <t xml:space="preserve">https://magoosh.com/toefl/wp-json/wp/v2/posts/2124</t>
  </si>
  <si>
    <t xml:space="preserve">https://pronuncian.com/podcasts/episode213</t>
  </si>
  <si>
    <t xml:space="preserve">https://cla-acl.artsci.utoronto.ca/pdfs/actes-2010/CLA2010_Hedberg_et_al.pdf</t>
  </si>
  <si>
    <t xml:space="preserve">https://campusweb.howardcc.edu/ehicks/YE618/Mastering%20American%20Pronunciation/Intonation/Intonation_print.html</t>
  </si>
  <si>
    <t xml:space="preserve">Card IDs</t>
  </si>
  <si>
    <t xml:space="preserve">Status options</t>
  </si>
  <si>
    <t xml:space="preserve">Known</t>
  </si>
  <si>
    <t xml:space="preserve">Unknown</t>
  </si>
  <si>
    <t xml:space="preserve">Learning</t>
  </si>
  <si>
    <t xml:space="preserve">Fix</t>
  </si>
</sst>
</file>

<file path=xl/styles.xml><?xml version="1.0" encoding="utf-8"?>
<styleSheet xmlns="http://schemas.openxmlformats.org/spreadsheetml/2006/main">
  <numFmts count="3">
    <numFmt numFmtId="164" formatCode="General"/>
    <numFmt numFmtId="165" formatCode="d\ mmm\ yyyy"/>
    <numFmt numFmtId="166" formatCode="General"/>
  </numFmts>
  <fonts count="19">
    <font>
      <sz val="11"/>
      <color theme="1"/>
      <name val="Calibri"/>
      <family val="2"/>
      <charset val="1"/>
    </font>
    <font>
      <sz val="10"/>
      <name val="Arial"/>
      <family val="0"/>
    </font>
    <font>
      <sz val="10"/>
      <name val="Arial"/>
      <family val="0"/>
    </font>
    <font>
      <sz val="10"/>
      <name val="Arial"/>
      <family val="0"/>
    </font>
    <font>
      <b val="true"/>
      <sz val="15"/>
      <color rgb="FF1F3A68"/>
      <name val="Arial"/>
      <family val="0"/>
      <charset val="1"/>
    </font>
    <font>
      <sz val="11"/>
      <color rgb="FF1B1F24"/>
      <name val="Arial"/>
      <family val="0"/>
      <charset val="1"/>
    </font>
    <font>
      <b val="true"/>
      <sz val="11"/>
      <color rgb="FF1F3A68"/>
      <name val="Arial"/>
      <family val="0"/>
      <charset val="1"/>
    </font>
    <font>
      <b val="true"/>
      <sz val="14"/>
      <color rgb="FF1F3A68"/>
      <name val="Arial"/>
      <family val="0"/>
      <charset val="1"/>
    </font>
    <font>
      <b val="true"/>
      <sz val="11"/>
      <name val="Arial"/>
      <family val="0"/>
      <charset val="1"/>
    </font>
    <font>
      <b val="true"/>
      <sz val="12"/>
      <name val="Arial"/>
      <family val="0"/>
      <charset val="1"/>
    </font>
    <font>
      <b val="true"/>
      <sz val="11"/>
      <color rgb="FFFFFFFF"/>
      <name val="Arial"/>
      <family val="0"/>
      <charset val="1"/>
    </font>
    <font>
      <b val="true"/>
      <sz val="11"/>
      <color rgb="FF5F6773"/>
      <name val="Arial"/>
      <family val="0"/>
      <charset val="1"/>
    </font>
    <font>
      <b val="true"/>
      <sz val="11"/>
      <color rgb="FF0077B3"/>
      <name val="Arial"/>
      <family val="0"/>
      <charset val="1"/>
    </font>
    <font>
      <b val="true"/>
      <sz val="13"/>
      <color rgb="FF1F3A68"/>
      <name val="Arial"/>
      <family val="0"/>
      <charset val="1"/>
    </font>
    <font>
      <b val="true"/>
      <sz val="11"/>
      <color rgb="FFB35500"/>
      <name val="Arial"/>
      <family val="0"/>
      <charset val="1"/>
    </font>
    <font>
      <b val="true"/>
      <sz val="11"/>
      <color rgb="FF1A7F45"/>
      <name val="Arial"/>
      <family val="0"/>
      <charset val="1"/>
    </font>
    <font>
      <b val="true"/>
      <sz val="11"/>
      <color rgb="FF8F6300"/>
      <name val="Arial"/>
      <family val="0"/>
      <charset val="1"/>
    </font>
    <font>
      <sz val="11"/>
      <name val="Arial"/>
      <family val="0"/>
      <charset val="1"/>
    </font>
    <font>
      <u val="single"/>
      <sz val="11"/>
      <color rgb="FF0563C1"/>
      <name val="Arial"/>
      <family val="0"/>
      <charset val="1"/>
    </font>
  </fonts>
  <fills count="9">
    <fill>
      <patternFill patternType="none"/>
    </fill>
    <fill>
      <patternFill patternType="gray125"/>
    </fill>
    <fill>
      <patternFill patternType="solid">
        <fgColor rgb="FFFFF4CC"/>
        <bgColor rgb="FFFFFFFF"/>
      </patternFill>
    </fill>
    <fill>
      <patternFill patternType="solid">
        <fgColor rgb="FF5F6773"/>
        <bgColor rgb="FF808080"/>
      </patternFill>
    </fill>
    <fill>
      <patternFill patternType="solid">
        <fgColor rgb="FF0077B3"/>
        <bgColor rgb="FF0563C1"/>
      </patternFill>
    </fill>
    <fill>
      <patternFill patternType="solid">
        <fgColor rgb="FFB35500"/>
        <bgColor rgb="FF8F6300"/>
      </patternFill>
    </fill>
    <fill>
      <patternFill patternType="solid">
        <fgColor rgb="FF1A7F45"/>
        <bgColor rgb="FF339966"/>
      </patternFill>
    </fill>
    <fill>
      <patternFill patternType="solid">
        <fgColor rgb="FF8F6300"/>
        <bgColor rgb="FFB35500"/>
      </patternFill>
    </fill>
    <fill>
      <patternFill patternType="solid">
        <fgColor rgb="FF1F3A68"/>
        <bgColor rgb="FF333399"/>
      </patternFill>
    </fill>
  </fills>
  <borders count="2">
    <border diagonalUp="false" diagonalDown="false">
      <left/>
      <right/>
      <top/>
      <bottom/>
      <diagonal/>
    </border>
    <border diagonalUp="false" diagonalDown="false">
      <left/>
      <right/>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4" borderId="0"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0" fillId="5" borderId="0" xfId="0" applyFont="true" applyBorder="true" applyAlignment="true" applyProtection="false">
      <alignment horizontal="general" vertical="center"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0" fillId="6" borderId="0"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0" fillId="7" borderId="0" xfId="0" applyFont="true" applyBorder="true" applyAlignment="true" applyProtection="false">
      <alignment horizontal="general" vertical="center"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left" vertical="top" textRotation="0" wrapText="true" indent="0" shrinkToFit="false"/>
      <protection locked="true" hidden="false"/>
    </xf>
    <xf numFmtId="165" fontId="17" fillId="0" borderId="0" xfId="0" applyFont="true" applyBorder="false" applyAlignment="true" applyProtection="false">
      <alignment horizontal="left" vertical="top" textRotation="0" wrapText="true" indent="0" shrinkToFit="false"/>
      <protection locked="true" hidden="false"/>
    </xf>
    <xf numFmtId="164" fontId="10" fillId="3" borderId="0" xfId="0" applyFont="true" applyBorder="true" applyAlignment="true" applyProtection="false">
      <alignment horizontal="center" vertical="bottom" textRotation="0" wrapText="false" indent="0" shrinkToFit="false"/>
      <protection locked="true" hidden="false"/>
    </xf>
    <xf numFmtId="164" fontId="10" fillId="4" borderId="0"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true" applyAlignment="true" applyProtection="false">
      <alignment horizontal="center" vertical="bottom" textRotation="0" wrapText="false" indent="0" shrinkToFit="false"/>
      <protection locked="true" hidden="false"/>
    </xf>
    <xf numFmtId="164" fontId="10" fillId="6" borderId="0" xfId="0" applyFont="true" applyBorder="true" applyAlignment="true" applyProtection="false">
      <alignment horizontal="center" vertical="bottom" textRotation="0" wrapText="false" indent="0" shrinkToFit="false"/>
      <protection locked="true" hidden="false"/>
    </xf>
    <xf numFmtId="164" fontId="10" fillId="7" borderId="0" xfId="0" applyFont="true" applyBorder="true" applyAlignment="true" applyProtection="false">
      <alignment horizontal="center" vertical="bottom" textRotation="0" wrapText="false" indent="0" shrinkToFit="false"/>
      <protection locked="true" hidden="false"/>
    </xf>
    <xf numFmtId="164" fontId="10" fillId="8" borderId="0" xfId="0" applyFont="true" applyBorder="false" applyAlignment="true" applyProtection="false">
      <alignment horizontal="general" vertical="center" textRotation="0" wrapText="true" indent="0" shrinkToFit="false"/>
      <protection locked="true" hidden="false"/>
    </xf>
    <xf numFmtId="164" fontId="10" fillId="7"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7" fillId="2" borderId="1"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A68"/>
          <bgColor rgb="FF000000"/>
        </patternFill>
      </fill>
    </dxf>
    <dxf>
      <fill>
        <patternFill patternType="solid">
          <bgColor rgb="FF000000"/>
        </patternFill>
      </fill>
    </dxf>
    <dxf>
      <fill>
        <patternFill patternType="solid">
          <fgColor rgb="FF1B1F24"/>
          <bgColor rgb="FF000000"/>
        </patternFill>
      </fill>
    </dxf>
    <dxf>
      <fill>
        <patternFill patternType="solid">
          <fgColor rgb="FFFFFFFF"/>
          <bgColor rgb="FF000000"/>
        </patternFill>
      </fill>
    </dxf>
    <dxf>
      <fill>
        <patternFill patternType="solid">
          <fgColor rgb="FF8F6300"/>
          <bgColor rgb="FF000000"/>
        </patternFill>
      </fill>
    </dxf>
    <dxf>
      <fill>
        <patternFill patternType="solid">
          <fgColor rgb="FFFFF4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F6300"/>
      <rgbColor rgb="FF800080"/>
      <rgbColor rgb="FF0077B3"/>
      <rgbColor rgb="FFC0C0C0"/>
      <rgbColor rgb="FF808080"/>
      <rgbColor rgb="FF9999FF"/>
      <rgbColor rgb="FF993366"/>
      <rgbColor rgb="FFFFF4CC"/>
      <rgbColor rgb="FFCCFFFF"/>
      <rgbColor rgb="FF660066"/>
      <rgbColor rgb="FFFF8080"/>
      <rgbColor rgb="FF0563C1"/>
      <rgbColor rgb="FFD0D0D0"/>
      <rgbColor rgb="FF000080"/>
      <rgbColor rgb="FFFF00FF"/>
      <rgbColor rgb="FFFFFF00"/>
      <rgbColor rgb="FF00FFFF"/>
      <rgbColor rgb="FF800080"/>
      <rgbColor rgb="FF800000"/>
      <rgbColor rgb="FF1A7F45"/>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F6773"/>
      <rgbColor rgb="FF969696"/>
      <rgbColor rgb="FF1F3A68"/>
      <rgbColor rgb="FF339966"/>
      <rgbColor rgb="FF003300"/>
      <rgbColor rgb="FF333300"/>
      <rgbColor rgb="FFB35500"/>
      <rgbColor rgb="FF993366"/>
      <rgbColor rgb="FF333399"/>
      <rgbColor rgb="FF1B1F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hyperlink" Target="https://learnenglish.life/guides/english-for-customer-service/" TargetMode="External"/><Relationship Id="rId2" Type="http://schemas.openxmlformats.org/officeDocument/2006/relationships/hyperlink" Target="https://web1svr.unicron.com/Download_PDFS/mL4B05/602358/Telephoning%20In%20English%20Cambridge.pdf" TargetMode="External"/><Relationship Id="rId3" Type="http://schemas.openxmlformats.org/officeDocument/2006/relationships/hyperlink" Target="https://www.fluentu.com/blog/english/business-english-telephone-phrases/" TargetMode="External"/><Relationship Id="rId4" Type="http://schemas.openxmlformats.org/officeDocument/2006/relationships/hyperlink" Target="https://convin.ai/blog/customer-verification-call-center" TargetMode="External"/><Relationship Id="rId5" Type="http://schemas.openxmlformats.org/officeDocument/2006/relationships/hyperlink" Target="https://www.slideshare.net/slideshow/call-handling-guidelines-238682174/238682174" TargetMode="External"/><Relationship Id="rId6" Type="http://schemas.openxmlformats.org/officeDocument/2006/relationships/hyperlink" Target="https://poly.ai/blog/automating-identity-verification-in-the-contact-center-what-you-should-know" TargetMode="External"/><Relationship Id="rId7" Type="http://schemas.openxmlformats.org/officeDocument/2006/relationships/hyperlink" Target="https://www.anser.com/qa/hold" TargetMode="External"/><Relationship Id="rId8" Type="http://schemas.openxmlformats.org/officeDocument/2006/relationships/hyperlink" Target="https://melotel.com/what-are-the-right-and-wrong-ways-to-place-callers-on-hold/" TargetMode="External"/><Relationship Id="rId9" Type="http://schemas.openxmlformats.org/officeDocument/2006/relationships/hyperlink" Target="https://exotel.com/blog/bad-call-center-phrases-15-to-avoid/" TargetMode="External"/><Relationship Id="rId10" Type="http://schemas.openxmlformats.org/officeDocument/2006/relationships/hyperlink" Target="https://vida.io/blog/how-to-put-someone-on-hold" TargetMode="External"/><Relationship Id="rId11" Type="http://schemas.openxmlformats.org/officeDocument/2006/relationships/hyperlink" Target="https://www.verequest.com/courses/holds-dead-air-and-transfers" TargetMode="External"/><Relationship Id="rId12" Type="http://schemas.openxmlformats.org/officeDocument/2006/relationships/hyperlink" Target="https://docs.medallia.com/mindful/mindful-callback/faqs/best-practices/quote-wait-time-before-offering-callbacks" TargetMode="External"/><Relationship Id="rId13" Type="http://schemas.openxmlformats.org/officeDocument/2006/relationships/hyperlink" Target="https://www.calilio.com/blogs/warm-transfer-vs-cold-transfer" TargetMode="External"/><Relationship Id="rId14" Type="http://schemas.openxmlformats.org/officeDocument/2006/relationships/hyperlink" Target="https://krispcall.com/customer-experience/cold-transfer-vs-warm-transfer/" TargetMode="External"/><Relationship Id="rId15" Type="http://schemas.openxmlformats.org/officeDocument/2006/relationships/hyperlink" Target="https://desk.zoho.com/portal/cinchhomeservices/en/kb/articles/call-transfer-procedures" TargetMode="External"/><Relationship Id="rId16" Type="http://schemas.openxmlformats.org/officeDocument/2006/relationships/hyperlink" Target="https://www.entrepreneur.com/article/227458" TargetMode="External"/><Relationship Id="rId17" Type="http://schemas.openxmlformats.org/officeDocument/2006/relationships/hyperlink" Target="https://www.quo.com/blog/active-listening-in-customer-service/" TargetMode="External"/><Relationship Id="rId18" Type="http://schemas.openxmlformats.org/officeDocument/2006/relationships/hyperlink" Target="https://customerthink.com/?p=1049518" TargetMode="External"/><Relationship Id="rId19" Type="http://schemas.openxmlformats.org/officeDocument/2006/relationships/hyperlink" Target="https://www.cxtoday.com/contact-centre/valuable-active-listening-exercises-for-contact-center-agents" TargetMode="External"/><Relationship Id="rId20" Type="http://schemas.openxmlformats.org/officeDocument/2006/relationships/hyperlink" Target="https://www.capterra.com/resources/paraphrasing-customer-service-success-secret-weapon/" TargetMode="External"/><Relationship Id="rId21" Type="http://schemas.openxmlformats.org/officeDocument/2006/relationships/hyperlink" Target="https://fonolo.com/?p=53552" TargetMode="External"/><Relationship Id="rId22" Type="http://schemas.openxmlformats.org/officeDocument/2006/relationships/hyperlink" Target="https://pollackpeacebuilding.com/blog/heard-method/" TargetMode="External"/><Relationship Id="rId23" Type="http://schemas.openxmlformats.org/officeDocument/2006/relationships/hyperlink" Target="https://www.livechat.com/success/sorry-for-the-inconvenience" TargetMode="External"/><Relationship Id="rId24" Type="http://schemas.openxmlformats.org/officeDocument/2006/relationships/hyperlink" Target="https://www.bolddesk.com/blogs/sorry-for-the-inconvenience" TargetMode="External"/><Relationship Id="rId25" Type="http://schemas.openxmlformats.org/officeDocument/2006/relationships/hyperlink" Target="https://news.osu.edu/the-6-elements-of-an-effective-apology-according-to-science/" TargetMode="External"/><Relationship Id="rId26" Type="http://schemas.openxmlformats.org/officeDocument/2006/relationships/hyperlink" Target="https://www.psychologicalscience.org/news/minds-business/effective-apologies-include-six-elements.html" TargetMode="External"/><Relationship Id="rId27" Type="http://schemas.openxmlformats.org/officeDocument/2006/relationships/hyperlink" Target="https://entripy-82.helpscoutdocs.com/article/392-take-owership-maintain-control-of-the-call" TargetMode="External"/><Relationship Id="rId28" Type="http://schemas.openxmlformats.org/officeDocument/2006/relationships/hyperlink" Target="https://www.quo.com/blog/customer-service-expectations/" TargetMode="External"/><Relationship Id="rId29" Type="http://schemas.openxmlformats.org/officeDocument/2006/relationships/hyperlink" Target="https://toistersolutions.com/blog/2016/7/6/how-clear-language-can-help-you-avoid-service-failures" TargetMode="External"/><Relationship Id="rId30" Type="http://schemas.openxmlformats.org/officeDocument/2006/relationships/hyperlink" Target="https://www.renascence.io/journal/gartners-customer-effort-research-why-effort-beats-delight" TargetMode="External"/><Relationship Id="rId31" Type="http://schemas.openxmlformats.org/officeDocument/2006/relationships/hyperlink" Target="https://www.gartner.com/en/newsroom/press-releases/2020-08-19-gartner-reveals-two-actions-customer-service-leaders-" TargetMode="External"/><Relationship Id="rId32" Type="http://schemas.openxmlformats.org/officeDocument/2006/relationships/hyperlink" Target="https://sqmgroup.com/resources/library/blog/5-pros-and-cons-agents-asking-customers-if-they-resolved-issues" TargetMode="External"/><Relationship Id="rId33" Type="http://schemas.openxmlformats.org/officeDocument/2006/relationships/hyperlink" Target="https://www.shopify.com/blog/positive-scripting" TargetMode="External"/><Relationship Id="rId34" Type="http://schemas.openxmlformats.org/officeDocument/2006/relationships/hyperlink" Target="https://www.callcentrehelper.com/positive-scripting-examples-for-better-customer-conversations-253958.htm" TargetMode="External"/><Relationship Id="rId35" Type="http://schemas.openxmlformats.org/officeDocument/2006/relationships/hyperlink" Target="https://quidget.ai/?p=1975" TargetMode="External"/><Relationship Id="rId36" Type="http://schemas.openxmlformats.org/officeDocument/2006/relationships/hyperlink" Target="https://digitaldealer.com/news/5-things-employees-say-sabotage-customer-service-drive-customers-away/74915/" TargetMode="External"/><Relationship Id="rId37" Type="http://schemas.openxmlformats.org/officeDocument/2006/relationships/hyperlink" Target="https://customerthink.com/part-3-are-you-using-these-magic-customer-service-words/" TargetMode="External"/><Relationship Id="rId38" Type="http://schemas.openxmlformats.org/officeDocument/2006/relationships/hyperlink" Target="https://www.cxtoday.com/wfo/positive-language-usage-20-examples-that-will-make-every-interaction-a-little-bit-brighter" TargetMode="External"/><Relationship Id="rId39" Type="http://schemas.openxmlformats.org/officeDocument/2006/relationships/hyperlink" Target="https://zapier.com/blog/customer-support-language-and-tone" TargetMode="External"/><Relationship Id="rId40" Type="http://schemas.openxmlformats.org/officeDocument/2006/relationships/hyperlink" Target="https://hiverhq.com/?p=46426" TargetMode="External"/><Relationship Id="rId41" Type="http://schemas.openxmlformats.org/officeDocument/2006/relationships/hyperlink" Target="https://www.vocabulary.com/articles/wordroutes/is-there-a-problem-with-no-problem/" TargetMode="External"/><Relationship Id="rId42" Type="http://schemas.openxmlformats.org/officeDocument/2006/relationships/hyperlink" Target="https://www.hospitalitynet.org/opinion/4093603.html" TargetMode="External"/><Relationship Id="rId43" Type="http://schemas.openxmlformats.org/officeDocument/2006/relationships/hyperlink" Target="https://www.td.org/insights/when-you-say-no-problem-you-may-have-customer-service-problem" TargetMode="External"/><Relationship Id="rId44" Type="http://schemas.openxmlformats.org/officeDocument/2006/relationships/hyperlink" Target="https://waywordradio.org/no-problem-youre-welcome/" TargetMode="External"/><Relationship Id="rId45" Type="http://schemas.openxmlformats.org/officeDocument/2006/relationships/hyperlink" Target="https://www.customerthermometer.com/customer-service/excellent-customer-service-phrases/" TargetMode="External"/><Relationship Id="rId46" Type="http://schemas.openxmlformats.org/officeDocument/2006/relationships/hyperlink" Target="https://www.parcelperform.com/insights/customer-service-disney-tips" TargetMode="External"/><Relationship Id="rId47" Type="http://schemas.openxmlformats.org/officeDocument/2006/relationships/hyperlink" Target="https://www.xola.com/articles/how-to-use-the-last-method-for-customer-service/" TargetMode="External"/><Relationship Id="rId48" Type="http://schemas.openxmlformats.org/officeDocument/2006/relationships/hyperlink" Target="https://centeredgesoftware.com/blog/5-effective-ways-to-resolve-complaints-with-last/" TargetMode="External"/><Relationship Id="rId49" Type="http://schemas.openxmlformats.org/officeDocument/2006/relationships/hyperlink" Target="https://readytrainingonline.com/articles/customer-service/" TargetMode="External"/><Relationship Id="rId50" Type="http://schemas.openxmlformats.org/officeDocument/2006/relationships/hyperlink" Target="https://trainingcenter.acgov.org/2020/03/latte-for-customer-service" TargetMode="External"/><Relationship Id="rId51" Type="http://schemas.openxmlformats.org/officeDocument/2006/relationships/hyperlink" Target="https://www.pharmacytimes.com/view/how-to-handle-angry-pharmacy-customers" TargetMode="External"/><Relationship Id="rId52" Type="http://schemas.openxmlformats.org/officeDocument/2006/relationships/hyperlink" Target="https://rachel.core2learn.org/modules/en-learnsaylor/mod/page/view.php@id=18749.html" TargetMode="External"/><Relationship Id="rId53" Type="http://schemas.openxmlformats.org/officeDocument/2006/relationships/hyperlink" Target="https://www.servicetitan.com/blog/pantheon-recap-hearing-is-not-enough" TargetMode="External"/><Relationship Id="rId54" Type="http://schemas.openxmlformats.org/officeDocument/2006/relationships/hyperlink" Target="https://open-exam-prep.com/study-guides/ca-ab-abst/communication/leaps-communication-method" TargetMode="External"/><Relationship Id="rId55" Type="http://schemas.openxmlformats.org/officeDocument/2006/relationships/hyperlink" Target="https://caringforcare.co.uk/leaps-model/" TargetMode="External"/><Relationship Id="rId56" Type="http://schemas.openxmlformats.org/officeDocument/2006/relationships/hyperlink" Target="https://www.zendesk.com/blog/6-best-practices-chat-etiquette/" TargetMode="External"/><Relationship Id="rId57" Type="http://schemas.openxmlformats.org/officeDocument/2006/relationships/hyperlink" Target="https://www.zendesk.com/in/blog/messaging-and-chat/live-chat/live-chat-support-skills/" TargetMode="External"/><Relationship Id="rId58" Type="http://schemas.openxmlformats.org/officeDocument/2006/relationships/hyperlink" Target="https://www.chaindesk.ai/blog/chat-etiquette-for-customer-service-guide" TargetMode="External"/><Relationship Id="rId59" Type="http://schemas.openxmlformats.org/officeDocument/2006/relationships/hyperlink" Target="https://community.intercom.com/messenger-8/how-do-you-handle-customers-expecting-instant-replies-in-intercom-messenger-14016" TargetMode="External"/><Relationship Id="rId60" Type="http://schemas.openxmlformats.org/officeDocument/2006/relationships/hyperlink" Target="https://www.stayntouch.com/wp-content/uploads/intercom-guide.pdf" TargetMode="External"/><Relationship Id="rId61" Type="http://schemas.openxmlformats.org/officeDocument/2006/relationships/hyperlink" Target="https://www.intercom.com/help/en/articles/198-our-best-practice-guide-to-customer-support" TargetMode="External"/><Relationship Id="rId62" Type="http://schemas.openxmlformats.org/officeDocument/2006/relationships/hyperlink" Target="https://www.whoson.com/live-chat-best-practice/canned-responses-dos-donts" TargetMode="External"/><Relationship Id="rId63" Type="http://schemas.openxmlformats.org/officeDocument/2006/relationships/hyperlink" Target="https://www.marketing-interactive.com/study-brands-should-beware-using-emoticons-in-customer-communication/" TargetMode="External"/><Relationship Id="rId64" Type="http://schemas.openxmlformats.org/officeDocument/2006/relationships/hyperlink" Target="https://theses.lib.polyu.edu.hk/handle/200/12107" TargetMode="External"/><Relationship Id="rId65" Type="http://schemas.openxmlformats.org/officeDocument/2006/relationships/hyperlink" Target="https://archives.marketing-trends-congress.com/2025/pages/PDF/108.pdf" TargetMode="External"/><Relationship Id="rId66" Type="http://schemas.openxmlformats.org/officeDocument/2006/relationships/hyperlink" Target="https://www.businesswire.com/news/home/20200220005312/en" TargetMode="External"/><Relationship Id="rId67" Type="http://schemas.openxmlformats.org/officeDocument/2006/relationships/hyperlink" Target="https://livechat.knowledgebase.ai/canned-response-examples/" TargetMode="External"/><Relationship Id="rId68" Type="http://schemas.openxmlformats.org/officeDocument/2006/relationships/hyperlink" Target="https://www.toistersolutions.com/blog/2013/1/1/email-tip-what-do-they-want" TargetMode="External"/><Relationship Id="rId69" Type="http://schemas.openxmlformats.org/officeDocument/2006/relationships/hyperlink" Target="https://www.freshworks.com/explore-cx/tips-to-write-a-good-support-email-with-email-templates/" TargetMode="External"/><Relationship Id="rId70" Type="http://schemas.openxmlformats.org/officeDocument/2006/relationships/hyperlink" Target="https://www.keeping.com/content/email-etiquette-customer-service/" TargetMode="External"/><Relationship Id="rId71" Type="http://schemas.openxmlformats.org/officeDocument/2006/relationships/hyperlink" Target="https://salto.io/blog-posts/tips-and-tricks-to-improve-your-zendesk-emails-from-a-zendesk-expert" TargetMode="External"/><Relationship Id="rId72" Type="http://schemas.openxmlformats.org/officeDocument/2006/relationships/hyperlink" Target="https://www.zendesk.com/dk/blog/use-customer-service-email-templates-save-time/" TargetMode="External"/><Relationship Id="rId73" Type="http://schemas.openxmlformats.org/officeDocument/2006/relationships/hyperlink" Target="https://customerthink.com/?p=113471" TargetMode="External"/><Relationship Id="rId74" Type="http://schemas.openxmlformats.org/officeDocument/2006/relationships/hyperlink" Target="https://icmi.com/resources/2021/plain-language-in-customer-service" TargetMode="External"/><Relationship Id="rId75" Type="http://schemas.openxmlformats.org/officeDocument/2006/relationships/hyperlink" Target="https://helpscout.com/blog/how-to-tell-a-customer-no" TargetMode="External"/><Relationship Id="rId76" Type="http://schemas.openxmlformats.org/officeDocument/2006/relationships/hyperlink" Target="https://www.revistaiberica.org/index.php/iberica/article/view/273" TargetMode="External"/><Relationship Id="rId77" Type="http://schemas.openxmlformats.org/officeDocument/2006/relationships/hyperlink" Target="https://www.talkdrill.com/blog/spoken-english/common-mistakes/common-english-mistakes-indians/" TargetMode="External"/><Relationship Id="rId78" Type="http://schemas.openxmlformats.org/officeDocument/2006/relationships/hyperlink" Target="https://languagehat.com/do-the-needful/" TargetMode="External"/><Relationship Id="rId79" Type="http://schemas.openxmlformats.org/officeDocument/2006/relationships/hyperlink" Target="https://www.vocabulary.com/cm/wordroutes/2307/" TargetMode="External"/><Relationship Id="rId80" Type="http://schemas.openxmlformats.org/officeDocument/2006/relationships/hyperlink" Target="https://llexi.com/l1-errors/common-english-errors-hindi-speakers.html" TargetMode="External"/><Relationship Id="rId81" Type="http://schemas.openxmlformats.org/officeDocument/2006/relationships/hyperlink" Target="https://owl.purdue.edu/owl/multilingual/multilingual_students/writing_for_an_indian_business_audience/index.html" TargetMode="External"/><Relationship Id="rId82" Type="http://schemas.openxmlformats.org/officeDocument/2006/relationships/hyperlink" Target="https://www.talkdrill.com/blog/workplace-english/emails/email-etiquette-mistakes-indian-professionals/" TargetMode="External"/><Relationship Id="rId83" Type="http://schemas.openxmlformats.org/officeDocument/2006/relationships/hyperlink" Target="https://kops.uni-konstanz.de/entities/publication/04b6bd76-5d17-4e6a-a0b9-1e1d98d19930/full" TargetMode="External"/><Relationship Id="rId84" Type="http://schemas.openxmlformats.org/officeDocument/2006/relationships/hyperlink" Target="https://riuma.uma.es/xmlui/handle/10630/11233" TargetMode="External"/><Relationship Id="rId85" Type="http://schemas.openxmlformats.org/officeDocument/2006/relationships/hyperlink" Target="https://repository.nwu.ac.za/handle/10394/15268" TargetMode="External"/><Relationship Id="rId86" Type="http://schemas.openxmlformats.org/officeDocument/2006/relationships/hyperlink" Target="https://repository.stcloudstate.edu/engl_etds/148" TargetMode="External"/><Relationship Id="rId87" Type="http://schemas.openxmlformats.org/officeDocument/2006/relationships/hyperlink" Target="https://assta.org/proceedings/ICPhS2019/papers/ICPhS%5F1431.pdf" TargetMode="External"/><Relationship Id="rId88" Type="http://schemas.openxmlformats.org/officeDocument/2006/relationships/hyperlink" Target="https://www.talkdrill.com/blog/pronunciation/indian-english/indian-english-pronunciation/" TargetMode="External"/><Relationship Id="rId89" Type="http://schemas.openxmlformats.org/officeDocument/2006/relationships/hyperlink" Target="https://hal.archives-ouvertes.fr/hal-01498953" TargetMode="External"/><Relationship Id="rId90" Type="http://schemas.openxmlformats.org/officeDocument/2006/relationships/hyperlink" Target="https://www.degruyterbrill.com/document/doi/10.1075/veaw.g68.07fuc/html" TargetMode="External"/><Relationship Id="rId91" Type="http://schemas.openxmlformats.org/officeDocument/2006/relationships/hyperlink" Target="https://iaak.uni-bonn.de/bael/en/research/word-stress-perception-in-indian-english" TargetMode="External"/><Relationship Id="rId92" Type="http://schemas.openxmlformats.org/officeDocument/2006/relationships/hyperlink" Target="https://cris-portal.uni-muenster.de/portal/en/publication/20007334" TargetMode="External"/><Relationship Id="rId93" Type="http://schemas.openxmlformats.org/officeDocument/2006/relationships/hyperlink" Target="https://assta.org/proceedings/ICPhS2019Microsite/pdf/full-paper_606.pdf" TargetMode="External"/><Relationship Id="rId94" Type="http://schemas.openxmlformats.org/officeDocument/2006/relationships/hyperlink" Target="https://slam.lin.ufl.edu/wp-content/uploads/sites/106/2020/01/2005-Wiltshire-EWW.pdf" TargetMode="External"/><Relationship Id="rId95" Type="http://schemas.openxmlformats.org/officeDocument/2006/relationships/hyperlink" Target="https://www.cambridge.org/core/books/english-around-the-world/final-consonant-cluster-simplification-in-a-variety-of-indian-english/AB78E80B5EDE29BBD8B2A6A8D30EC9E4" TargetMode="External"/><Relationship Id="rId96" Type="http://schemas.openxmlformats.org/officeDocument/2006/relationships/hyperlink" Target="https://journals.uvic.ca/index.php/WPLC/article/view/5670/2196" TargetMode="External"/><Relationship Id="rId97" Type="http://schemas.openxmlformats.org/officeDocument/2006/relationships/hyperlink" Target="https://eprints.nottingham.ac.uk/31046/" TargetMode="External"/><Relationship Id="rId98" Type="http://schemas.openxmlformats.org/officeDocument/2006/relationships/hyperlink" Target="https://www.isca-archive.org/interspeech_2009/weber09_interspeech.html" TargetMode="External"/><Relationship Id="rId99" Type="http://schemas.openxmlformats.org/officeDocument/2006/relationships/hyperlink" Target="https://rm.coe.int/common-european-framework-of-reference-for-languages-learning-teaching/16809ea0d4" TargetMode="External"/><Relationship Id="rId100" Type="http://schemas.openxmlformats.org/officeDocument/2006/relationships/hyperlink" Target="https://www.eaquals.org/2018/06/20/the-cefr-companion-volume-launch-conference-may-2018-tim-goodier/" TargetMode="External"/><Relationship Id="rId101" Type="http://schemas.openxmlformats.org/officeDocument/2006/relationships/hyperlink" Target="https://edit.hueber.de/media/36/Language%20Hub_Elementary_SB_CEFR_Mapping.pdf" TargetMode="External"/><Relationship Id="rId102" Type="http://schemas.openxmlformats.org/officeDocument/2006/relationships/hyperlink" Target="https://api.macmillanenglish.com/fileadmin/user_upload/Blog_and_Resources/Blogs_and_articles/CEFR-all-scales-and-all-skills.pdf" TargetMode="External"/><Relationship Id="rId103" Type="http://schemas.openxmlformats.org/officeDocument/2006/relationships/hyperlink" Target="https://www.oebv.at/internal/f28d2222-b4fc-4803-aac5-79bd48ff8b8a" TargetMode="External"/><Relationship Id="rId104" Type="http://schemas.openxmlformats.org/officeDocument/2006/relationships/hyperlink" Target="https://www.coe.int/en/web/common-european-framework-reference-languages/cefr-descriptors-search" TargetMode="External"/><Relationship Id="rId105" Type="http://schemas.openxmlformats.org/officeDocument/2006/relationships/hyperlink" Target="https://eslbrains.com/esl-lesson-on-customer-service/" TargetMode="External"/><Relationship Id="rId106" Type="http://schemas.openxmlformats.org/officeDocument/2006/relationships/hyperlink" Target="https://www.sciencedaily.com/releases/2008/01/080111224745.htm" TargetMode="External"/><Relationship Id="rId107" Type="http://schemas.openxmlformats.org/officeDocument/2006/relationships/hyperlink" Target="https://www.npr.org/2008/01/19/18255131/hearing-a-smile-in-tone-of-voice" TargetMode="External"/><Relationship Id="rId108" Type="http://schemas.openxmlformats.org/officeDocument/2006/relationships/hyperlink" Target="https://magoosh.com/toefl/wp-json/wp/v2/posts/2124" TargetMode="External"/><Relationship Id="rId109" Type="http://schemas.openxmlformats.org/officeDocument/2006/relationships/hyperlink" Target="https://pronuncian.com/podcasts/episode213" TargetMode="External"/><Relationship Id="rId110" Type="http://schemas.openxmlformats.org/officeDocument/2006/relationships/hyperlink" Target="https://cla-acl.artsci.utoronto.ca/pdfs/actes-2010/CLA2010_Hedberg_et_al.pdf" TargetMode="External"/><Relationship Id="rId111" Type="http://schemas.openxmlformats.org/officeDocument/2006/relationships/hyperlink" Target="https://campusweb.howardcc.edu/ehicks/YE618/Mastering%20American%20Pronunciation/Intonation/Intonation_print.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5"/>
  </cols>
  <sheetData>
    <row r="1" customFormat="false" ht="18.55" hidden="false" customHeight="false" outlineLevel="0" collapsed="false">
      <c r="A1" s="1" t="s">
        <v>0</v>
      </c>
    </row>
    <row r="2" customFormat="false" ht="26.85" hidden="false" customHeight="false" outlineLevel="0" collapsed="false">
      <c r="A2" s="2" t="s">
        <v>1</v>
      </c>
    </row>
    <row r="3" customFormat="false" ht="26.85" hidden="false" customHeight="false" outlineLevel="0" collapsed="false">
      <c r="A3" s="2" t="s">
        <v>2</v>
      </c>
    </row>
    <row r="4" customFormat="false" ht="15" hidden="false" customHeight="false" outlineLevel="0" collapsed="false">
      <c r="A4" s="3" t="s">
        <v>3</v>
      </c>
    </row>
    <row r="5" customFormat="false" ht="52.2" hidden="false" customHeight="false" outlineLevel="0" collapsed="false">
      <c r="A5" s="2" t="s">
        <v>4</v>
      </c>
    </row>
    <row r="6" customFormat="false" ht="15" hidden="false" customHeight="false" outlineLevel="0" collapsed="false">
      <c r="A6" s="3" t="s">
        <v>5</v>
      </c>
    </row>
    <row r="7" customFormat="false" ht="52.2" hidden="false" customHeight="false" outlineLevel="0" collapsed="false">
      <c r="A7" s="2" t="s">
        <v>6</v>
      </c>
    </row>
    <row r="8" customFormat="false" ht="15" hidden="false" customHeight="false" outlineLevel="0" collapsed="false">
      <c r="A8" s="3" t="s">
        <v>7</v>
      </c>
    </row>
    <row r="9" customFormat="false" ht="15" hidden="false" customHeight="false" outlineLevel="0" collapsed="false">
      <c r="A9" s="2" t="s">
        <v>8</v>
      </c>
    </row>
    <row r="10" customFormat="false" ht="15" hidden="false" customHeight="false" outlineLevel="0" collapsed="false">
      <c r="A10" s="3" t="s">
        <v>9</v>
      </c>
    </row>
    <row r="11" customFormat="false" ht="39.55" hidden="false" customHeight="false" outlineLevel="0" collapsed="false">
      <c r="A11"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7.35" hidden="false" customHeight="false" outlineLevel="0" collapsed="false">
      <c r="A1" s="4" t="s">
        <v>11</v>
      </c>
    </row>
    <row r="3" customFormat="false" ht="15" hidden="false" customHeight="false" outlineLevel="0" collapsed="false">
      <c r="A3" s="5" t="s">
        <v>12</v>
      </c>
      <c r="B3" s="6" t="s">
        <v>13</v>
      </c>
    </row>
    <row r="5" customFormat="false" ht="15" hidden="false" customHeight="true" outlineLevel="0" collapsed="false">
      <c r="A5" s="7" t="s">
        <v>14</v>
      </c>
      <c r="B5" s="7"/>
    </row>
    <row r="6" customFormat="false" ht="15" hidden="false" customHeight="false" outlineLevel="0" collapsed="false">
      <c r="A6" s="8" t="s">
        <v>15</v>
      </c>
      <c r="B6" s="9" t="str">
        <f aca="false">IFERROR(INDEX(Voice!$A:$A,MATCH($B$3,Voice!$A:$A,0)),IFERROR(INDEX(Chat!$A:$A,MATCH($B$3,Chat!$A:$A,0)),IFERROR(INDEX(Email!$A:$A,MATCH($B$3,Email!$A:$A,0)),"")))</f>
        <v>CSV-B-001</v>
      </c>
    </row>
    <row r="7" customFormat="false" ht="15" hidden="false" customHeight="false" outlineLevel="0" collapsed="false">
      <c r="A7" s="8" t="s">
        <v>16</v>
      </c>
      <c r="B7" s="9" t="str">
        <f aca="false">IFERROR(INDEX(Voice!$B:$B,MATCH($B$3,Voice!$A:$A,0)),IFERROR(INDEX(Chat!$B:$B,MATCH($B$3,Chat!$A:$A,0)),IFERROR(INDEX(Email!$B:$B,MATCH($B$3,Email!$A:$A,0)),"")))</f>
        <v>Voice</v>
      </c>
    </row>
    <row r="8" customFormat="false" ht="15" hidden="false" customHeight="false" outlineLevel="0" collapsed="false">
      <c r="A8" s="8" t="s">
        <v>17</v>
      </c>
      <c r="B8" s="9" t="str">
        <f aca="false">IFERROR(INDEX(Voice!$C:$C,MATCH($B$3,Voice!$A:$A,0)),IFERROR(INDEX(Chat!$C:$C,MATCH($B$3,Chat!$A:$A,0)),IFERROR(INDEX(Email!$C:$C,MATCH($B$3,Email!$A:$A,0)),"")))</f>
        <v>Basic</v>
      </c>
    </row>
    <row r="9" customFormat="false" ht="15" hidden="false" customHeight="false" outlineLevel="0" collapsed="false">
      <c r="A9" s="8" t="s">
        <v>18</v>
      </c>
      <c r="B9" s="9" t="str">
        <f aca="false">IFERROR(INDEX(Voice!$D:$D,MATCH($B$3,Voice!$A:$A,0)),IFERROR(INDEX(Chat!$D:$D,MATCH($B$3,Chat!$A:$A,0)),IFERROR(INDEX(Email!$D:$D,MATCH($B$3,Email!$A:$A,0)),"")))</f>
        <v>A2</v>
      </c>
    </row>
    <row r="10" customFormat="false" ht="15" hidden="false" customHeight="false" outlineLevel="0" collapsed="false">
      <c r="A10" s="8" t="s">
        <v>19</v>
      </c>
      <c r="B10" s="9" t="str">
        <f aca="false">IFERROR(INDEX(Voice!$E:$E,MATCH($B$3,Voice!$A:$A,0)),IFERROR(INDEX(Chat!$E:$E,MATCH($B$3,Chat!$A:$A,0)),IFERROR(INDEX(Email!$E:$E,MATCH($B$3,Email!$A:$A,0)),"")))</f>
        <v>Say it</v>
      </c>
    </row>
    <row r="11" customFormat="false" ht="15" hidden="false" customHeight="false" outlineLevel="0" collapsed="false">
      <c r="A11" s="8" t="s">
        <v>20</v>
      </c>
      <c r="B11" s="9" t="str">
        <f aca="false">IFERROR(INDEX(Voice!$F:$F,MATCH($B$3,Voice!$A:$A,0)),IFERROR(INDEX(Chat!$F:$F,MATCH($B$3,Chat!$A:$A,0)),IFERROR(INDEX(Email!$F:$F,MATCH($B$3,Email!$A:$A,0)),"")))</f>
        <v>Opening</v>
      </c>
    </row>
    <row r="13" customFormat="false" ht="15" hidden="false" customHeight="true" outlineLevel="0" collapsed="false">
      <c r="A13" s="10" t="s">
        <v>21</v>
      </c>
      <c r="B13" s="10"/>
    </row>
    <row r="14" customFormat="false" ht="16.15" hidden="false" customHeight="false" outlineLevel="0" collapsed="false">
      <c r="A14" s="11" t="s">
        <v>22</v>
      </c>
      <c r="B14" s="12" t="str">
        <f aca="false">IFERROR(INDEX(Voice!$G:$G,MATCH($B$3,Voice!$A:$A,0)),IFERROR(INDEX(Chat!$G:$G,MATCH($B$3,Chat!$A:$A,0)),IFERROR(INDEX(Email!$G:$G,MATCH($B$3,Email!$A:$A,0)),"")))</f>
        <v>Thank you for calling [Company]. This is Priya. How can I help you today?</v>
      </c>
    </row>
    <row r="15" customFormat="false" ht="15" hidden="false" customHeight="false" outlineLevel="0" collapsed="false">
      <c r="A15" s="11" t="s">
        <v>23</v>
      </c>
      <c r="B15" s="9" t="str">
        <f aca="false">IFERROR(INDEX(Voice!$H:$H,MATCH($B$3,Voice!$A:$A,0)),IFERROR(INDEX(Chat!$H:$H,MATCH($B$3,Chat!$A:$A,0)),IFERROR(INDEX(Email!$H:$H,MATCH($B$3,Email!$A:$A,0)),"")))</f>
        <v>Agent</v>
      </c>
    </row>
    <row r="16" customFormat="false" ht="15" hidden="false" customHeight="false" outlineLevel="0" collapsed="false">
      <c r="A16" s="11" t="s">
        <v>24</v>
      </c>
      <c r="B16" s="9" t="str">
        <f aca="false">IFERROR(INDEX(Voice!$I:$I,MATCH($B$3,Voice!$A:$A,0)),IFERROR(INDEX(Chat!$I:$I,MATCH($B$3,Chat!$A:$A,0)),IFERROR(INDEX(Email!$I:$I,MATCH($B$3,Email!$A:$A,0)),"")))</f>
        <v>The phone rings and you pick up the first call of your shift; you know nothing yet about the caller.</v>
      </c>
    </row>
    <row r="17" customFormat="false" ht="15" hidden="false" customHeight="false" outlineLevel="0" collapsed="false">
      <c r="A17" s="11" t="s">
        <v>25</v>
      </c>
      <c r="B17" s="9" t="str">
        <f aca="false">IFERROR(INDEX(Voice!$J:$J,MATCH($B$3,Voice!$A:$A,0)),IFERROR(INDEX(Chat!$J:$J,MATCH($B$3,Chat!$A:$A,0)),IFERROR(INDEX(Email!$J:$J,MATCH($B$3,Email!$A:$A,0)),"")))</f>
        <v>A new call connects. Which three things do you say in your first breath, and in what order?</v>
      </c>
    </row>
    <row r="18" customFormat="false" ht="15" hidden="false" customHeight="false" outlineLevel="0" collapsed="false">
      <c r="A18" s="11" t="s">
        <v>26</v>
      </c>
      <c r="B18" s="9" t="str">
        <f aca="false">IFERROR(INDEX(Voice!$K:$K,MATCH($B$3,Voice!$A:$A,0)),IFERROR(INDEX(Chat!$K:$K,MATCH($B$3,Chat!$A:$A,0)),IFERROR(INDEX(Email!$K:$K,MATCH($B$3,Email!$A:$A,0)),"")))</f>
        <v>THANK-you-for-CALL-ing-[COM-pa-ny] · this-is-PRI-ya · how-can-i-HELP-you-to-DAY</v>
      </c>
    </row>
    <row r="19" customFormat="false" ht="15" hidden="false" customHeight="false" outlineLevel="0" collapsed="false">
      <c r="A19" s="11" t="s">
        <v>27</v>
      </c>
      <c r="B19" s="9" t="str">
        <f aca="false">IFERROR(INDEX(Voice!$L:$L,MATCH($B$3,Voice!$A:$A,0)),IFERROR(INDEX(Chat!$L:$L,MATCH($B$3,Chat!$A:$A,0)),IFERROR(INDEX(Email!$L:$L,MATCH($B$3,Email!$A:$A,0)),"")))</f>
        <v>thank_you → "thang-kyoo" · this_is → "thi-siz" · help_you → "hel-pyoo"</v>
      </c>
    </row>
    <row r="20" customFormat="false" ht="26.85" hidden="false" customHeight="false" outlineLevel="0" collapsed="false">
      <c r="A20" s="11" t="s">
        <v>28</v>
      </c>
      <c r="B20" s="9" t="str">
        <f aca="false">IFERROR(INDEX(Voice!$M:$M,MATCH($B$3,Voice!$A:$A,0)),IFERROR(INDEX(Chat!$M:$M,MATCH($B$3,Chat!$A:$A,0)),IFERROR(INDEX(Email!$M:$M,MATCH($B$3,Email!$A:$A,0)),"")))</f>
        <v>Warm and steady on the greeting, with a short pause after the company name and again after your name. "How can I help you today?" is a wh- question, so let it fall gently at the end; do not rush it.</v>
      </c>
    </row>
    <row r="21" customFormat="false" ht="26.85" hidden="false" customHeight="false" outlineLevel="0" collapsed="false">
      <c r="A21" s="11" t="s">
        <v>29</v>
      </c>
      <c r="B21" s="9" t="str">
        <f aca="false">IFERROR(INDEX(Voice!$N:$N,MATCH($B$3,Voice!$A:$A,0)),IFERROR(INDEX(Chat!$N:$N,MATCH($B$3,Chat!$A:$A,0)),IFERROR(INDEX(Email!$N:$N,MATCH($B$3,Email!$A:$A,0)),"")))</f>
        <v>"Thank" and "this" both start with "th". For "thank", put the tongue tip lightly between the teeth and blow (not "tank"); for "this", use the same tongue position with voice (not "dis"). Minimal pairs: thin / tin (for "thank"), then / den (for "this").</v>
      </c>
    </row>
    <row r="22" customFormat="false" ht="15" hidden="false" customHeight="false" outlineLevel="0" collapsed="false">
      <c r="A22" s="11" t="s">
        <v>30</v>
      </c>
      <c r="B22" s="9" t="str">
        <f aca="false">IFERROR(INDEX(Voice!$O:$O,MATCH($B$3,Voice!$A:$A,0)),IFERROR(INDEX(Chat!$O:$O,MATCH($B$3,Chat!$A:$A,0)),IFERROR(INDEX(Email!$O:$O,MATCH($B$3,Email!$A:$A,0)),"")))</f>
        <v>Neutral</v>
      </c>
    </row>
    <row r="23" customFormat="false" ht="15" hidden="false" customHeight="false" outlineLevel="0" collapsed="false">
      <c r="A23" s="11" t="s">
        <v>31</v>
      </c>
      <c r="B23" s="9" t="str">
        <f aca="false">IFERROR(INDEX(Voice!$P:$P,MATCH($B$3,Voice!$A:$A,0)),IFERROR(INDEX(Chat!$P:$P,MATCH($B$3,Chat!$A:$A,0)),IFERROR(INDEX(Email!$P:$P,MATCH($B$3,Email!$A:$A,0)),"")))</f>
        <v>Warm, welcoming, ready</v>
      </c>
    </row>
    <row r="24" customFormat="false" ht="15" hidden="false" customHeight="false" outlineLevel="0" collapsed="false">
      <c r="A24" s="11" t="s">
        <v>32</v>
      </c>
      <c r="B24" s="9" t="str">
        <f aca="false">IFERROR(INDEX(Voice!$Q:$Q,MATCH($B$3,Voice!$A:$A,0)),IFERROR(INDEX(Chat!$Q:$Q,MATCH($B$3,Chat!$A:$A,0)),IFERROR(INDEX(Email!$Q:$Q,MATCH($B$3,Email!$A:$A,0)),"")))</f>
        <v>5</v>
      </c>
    </row>
    <row r="25" customFormat="false" ht="15" hidden="false" customHeight="false" outlineLevel="0" collapsed="false">
      <c r="A25" s="11" t="s">
        <v>33</v>
      </c>
      <c r="B25" s="9" t="str">
        <f aca="false">IFERROR(INDEX(Voice!$R:$R,MATCH($B$3,Voice!$A:$A,0)),IFERROR(INDEX(Chat!$R:$R,MATCH($B$3,Chat!$A:$A,0)),IFERROR(INDEX(Email!$R:$R,MATCH($B$3,Email!$A:$A,0)),"")))</f>
        <v>Hopeful but unsure whether they have reached the right place.</v>
      </c>
    </row>
    <row r="26" customFormat="false" ht="15" hidden="false" customHeight="false" outlineLevel="0" collapsed="false">
      <c r="A26" s="11" t="s">
        <v>34</v>
      </c>
      <c r="B26" s="9" t="str">
        <f aca="false">IFERROR(INDEX(Voice!$S:$S,MATCH($B$3,Voice!$A:$A,0)),IFERROR(INDEX(Chat!$S:$S,MATCH($B$3,Chat!$A:$A,0)),IFERROR(INDEX(Email!$S:$S,MATCH($B$3,Email!$A:$A,0)),"")))</f>
        <v>Think of opening a shop door: you thank them for coming in, show your name badge, then ask how you can help.</v>
      </c>
    </row>
    <row r="28" customFormat="false" ht="15" hidden="false" customHeight="true" outlineLevel="0" collapsed="false">
      <c r="A28" s="13" t="s">
        <v>35</v>
      </c>
      <c r="B28" s="13"/>
    </row>
    <row r="29" customFormat="false" ht="15" hidden="false" customHeight="false" outlineLevel="0" collapsed="false">
      <c r="A29" s="14" t="s">
        <v>36</v>
      </c>
      <c r="B29" s="9" t="str">
        <f aca="false">IFERROR(INDEX(Voice!$T:$T,MATCH($B$3,Voice!$A:$A,0)),IFERROR(INDEX(Chat!$T:$T,MATCH($B$3,Chat!$A:$A,0)),IFERROR(INDEX(Email!$T:$T,MATCH($B$3,Email!$A:$A,0)),"")))</f>
        <v>[Company] को कॉल करने के लिए धन्यवाद। मेरा नाम प्रिया है। आज मैं आपकी क्या मदद कर सकता/सकती हूँ?</v>
      </c>
    </row>
    <row r="30" customFormat="false" ht="15" hidden="false" customHeight="false" outlineLevel="0" collapsed="false">
      <c r="A30" s="14" t="s">
        <v>37</v>
      </c>
      <c r="B30" s="9" t="str">
        <f aca="false">IFERROR(INDEX(Voice!$U:$U,MATCH($B$3,Voice!$A:$A,0)),IFERROR(INDEX(Chat!$U:$U,MATCH($B$3,Chat!$A:$A,0)),IFERROR(INDEX(Email!$U:$U,MATCH($B$3,Email!$A:$A,0)),"")))</f>
        <v>[Company] ko call karne ke liye dhanyavaad. Mera naam Priya hai. Aaj main aapki kya madad kar sakta/sakti hoon?</v>
      </c>
    </row>
    <row r="31" customFormat="false" ht="15" hidden="false" customHeight="false" outlineLevel="0" collapsed="false">
      <c r="A31" s="14" t="s">
        <v>38</v>
      </c>
      <c r="B31" s="9" t="str">
        <f aca="false">IFERROR(INDEX(Voice!$V:$V,MATCH($B$3,Voice!$A:$A,0)),IFERROR(INDEX(Chat!$V:$V,MATCH($B$3,Chat!$A:$A,0)),IFERROR(INDEX(Email!$V:$V,MATCH($B$3,Email!$A:$A,0)),"")))</f>
        <v>Thanks for phoning this company. My name is Priya. What would you like help with?</v>
      </c>
    </row>
    <row r="32" customFormat="false" ht="26.85" hidden="false" customHeight="false" outlineLevel="0" collapsed="false">
      <c r="A32" s="14" t="s">
        <v>39</v>
      </c>
      <c r="B32" s="9" t="str">
        <f aca="false">IFERROR(INDEX(Voice!$W:$W,MATCH($B$3,Voice!$A:$A,0)),IFERROR(INDEX(Chat!$W:$W,MATCH($B$3,Chat!$A:$A,0)),IFERROR(INDEX(Email!$W:$W,MATCH($B$3,Email!$A:$A,0)),"")))</f>
        <v>In one breath the caller learns they reached the right company, hears a real person's name, and is invited to explain. "How can I help" assumes you will help, which sounds far more willing than "What is your problem?"</v>
      </c>
    </row>
    <row r="33" customFormat="false" ht="15" hidden="false" customHeight="false" outlineLevel="0" collapsed="false">
      <c r="A33" s="14" t="s">
        <v>40</v>
      </c>
      <c r="B33" s="9" t="str">
        <f aca="false">IFERROR(INDEX(Voice!$X:$X,MATCH($B$3,Voice!$A:$A,0)),IFERROR(INDEX(Chat!$X:$X,MATCH($B$3,Chat!$A:$A,0)),IFERROR(INDEX(Email!$X:$X,MATCH($B$3,Email!$A:$A,0)),"")))</f>
        <v>How can I help you ___?</v>
      </c>
    </row>
    <row r="34" customFormat="false" ht="15" hidden="false" customHeight="false" outlineLevel="0" collapsed="false">
      <c r="A34" s="14" t="s">
        <v>41</v>
      </c>
      <c r="B34" s="9" t="str">
        <f aca="false">IFERROR(INDEX(Voice!$Y:$Y,MATCH($B$3,Voice!$A:$A,0)),IFERROR(INDEX(Chat!$Y:$Y,MATCH($B$3,Chat!$A:$A,0)),IFERROR(INDEX(Email!$Y:$Y,MATCH($B$3,Email!$A:$A,0)),"")))</f>
        <v>Thank you for + verb-ing · This is + name · How can I + base verb …?</v>
      </c>
    </row>
    <row r="35" customFormat="false" ht="15" hidden="false" customHeight="false" outlineLevel="0" collapsed="false">
      <c r="A35" s="14" t="s">
        <v>42</v>
      </c>
      <c r="B35" s="9" t="str">
        <f aca="false">IFERROR(INDEX(Voice!$Z:$Z,MATCH($B$3,Voice!$A:$A,0)),IFERROR(INDEX(Chat!$Z:$Z,MATCH($B$3,Chat!$A:$A,0)),IFERROR(INDEX(Email!$Z:$Z,MATCH($B$3,Email!$A:$A,0)),"")))</f>
        <v>After "Thank you for", use the -ing form: "for calling", not "for call".</v>
      </c>
    </row>
    <row r="36" customFormat="false" ht="26.85" hidden="false" customHeight="false" outlineLevel="0" collapsed="false">
      <c r="A36" s="14" t="s">
        <v>43</v>
      </c>
      <c r="B36" s="9" t="str">
        <f aca="false">IFERROR(INDEX(Voice!$AA:$AA,MATCH($B$3,Voice!$A:$A,0)),IFERROR(INDEX(Chat!$AA:$AA,MATCH($B$3,Chat!$A:$A,0)),IFERROR(INDEX(Email!$AA:$AA,MATCH($B$3,Email!$A:$A,0)),"")))</f>
        <v>Saying your name makes you a person, not a machine. A flat, fast "Hello, tell me" sounds like you want the call to end quickly.</v>
      </c>
    </row>
    <row r="37" customFormat="false" ht="26.85" hidden="false" customHeight="false" outlineLevel="0" collapsed="false">
      <c r="A37" s="14" t="s">
        <v>44</v>
      </c>
      <c r="B37" s="9" t="str">
        <f aca="false">IFERROR(INDEX(Voice!$AB:$AB,MATCH($B$3,Voice!$A:$A,0)),IFERROR(INDEX(Chat!$AB:$AB,MATCH($B$3,Chat!$A:$A,0)),IFERROR(INDEX(Email!$AB:$AB,MATCH($B$3,Email!$A:$A,0)),"")))</f>
        <v>✗ Thank you for calling to [Company]. I am Priya. How I can help you? → ✓ Thank you for calling [Company]. This is Priya. How can I help you today?</v>
      </c>
    </row>
    <row r="38" customFormat="false" ht="15" hidden="false" customHeight="false" outlineLevel="0" collapsed="false">
      <c r="A38" s="14" t="s">
        <v>45</v>
      </c>
      <c r="B38" s="9" t="str">
        <f aca="false">IFERROR(INDEX(Voice!$AC:$AC,MATCH($B$3,Voice!$A:$A,0)),IFERROR(INDEX(Chat!$AC:$AC,MATCH($B$3,Chat!$A:$A,0)),IFERROR(INDEX(Email!$AC:$AC,MATCH($B$3,Email!$A:$A,0)),"")))</f>
        <v>"Hello, tell me." — it skips the company name and your name, and sounds like an order.</v>
      </c>
    </row>
    <row r="39" customFormat="false" ht="15" hidden="false" customHeight="false" outlineLevel="0" collapsed="false">
      <c r="A39" s="14" t="s">
        <v>46</v>
      </c>
      <c r="B39" s="9" t="str">
        <f aca="false">IFERROR(INDEX(Voice!$AD:$AD,MATCH($B$3,Voice!$A:$A,0)),IFERROR(INDEX(Chat!$AD:$AD,MATCH($B$3,Chat!$A:$A,0)),IFERROR(INDEX(Email!$AD:$AD,MATCH($B$3,Email!$A:$A,0)),"")))</f>
        <v>Instead of "Yes, tell me your problem", say "How can I help you today?"</v>
      </c>
    </row>
    <row r="40" customFormat="false" ht="15" hidden="false" customHeight="false" outlineLevel="0" collapsed="false">
      <c r="A40" s="14" t="s">
        <v>47</v>
      </c>
      <c r="B40" s="9" t="str">
        <f aca="false">IFERROR(INDEX(Voice!$AE:$AE,MATCH($B$3,Voice!$A:$A,0)),IFERROR(INDEX(Chat!$AE:$AE,MATCH($B$3,Chat!$A:$A,0)),IFERROR(INDEX(Email!$AE:$AE,MATCH($B$3,Email!$A:$A,0)),"")))</f>
        <v>Good morning, you're through to [Company]. My name is Priya. How can I help?</v>
      </c>
    </row>
    <row r="41" customFormat="false" ht="15" hidden="false" customHeight="false" outlineLevel="0" collapsed="false">
      <c r="A41" s="14" t="s">
        <v>48</v>
      </c>
      <c r="B41" s="9" t="str">
        <f aca="false">IFERROR(INDEX(Voice!$AF:$AF,MATCH($B$3,Voice!$A:$A,0)),IFERROR(INDEX(Chat!$AF:$AF,MATCH($B$3,Chat!$A:$A,0)),IFERROR(INDEX(Email!$AF:$AF,MATCH($B$3,Email!$A:$A,0)),"")))</f>
        <v>Hi, thanks for calling [Company]. Priya speaking. What can I do for you today?</v>
      </c>
    </row>
    <row r="42" customFormat="false" ht="15" hidden="false" customHeight="false" outlineLevel="0" collapsed="false">
      <c r="A42" s="14" t="s">
        <v>49</v>
      </c>
      <c r="B42" s="9" t="str">
        <f aca="false">IFERROR(INDEX(Voice!$AG:$AG,MATCH($B$3,Voice!$A:$A,0)),IFERROR(INDEX(Chat!$AG:$AG,MATCH($B$3,Chat!$A:$A,0)),IFERROR(INDEX(Email!$AG:$AG,MATCH($B$3,Email!$A:$A,0)),"")))</f>
        <v>Good afternoon, and thank you for calling [Company]. My name is Priya. How may I assist you today?</v>
      </c>
    </row>
    <row r="43" customFormat="false" ht="15" hidden="false" customHeight="false" outlineLevel="0" collapsed="false">
      <c r="A43" s="14" t="s">
        <v>50</v>
      </c>
      <c r="B43" s="9" t="str">
        <f aca="false">IFERROR(INDEX(Voice!$AH:$AH,MATCH($B$3,Voice!$A:$A,0)),IFERROR(INDEX(Chat!$AH:$AH,MATCH($B$3,Chat!$A:$A,0)),IFERROR(INDEX(Email!$AH:$AH,MATCH($B$3,Email!$A:$A,0)),"")))</f>
        <v>Sure, I can look into that. Could I start with your name, please?</v>
      </c>
    </row>
    <row r="44" customFormat="false" ht="15" hidden="false" customHeight="false" outlineLevel="0" collapsed="false">
      <c r="A44" s="14" t="s">
        <v>51</v>
      </c>
      <c r="B44" s="9" t="str">
        <f aca="false">IFERROR(INDEX(Voice!$AI:$AI,MATCH($B$3,Voice!$A:$A,0)),IFERROR(INDEX(Chat!$AI:$AI,MATCH($B$3,Chat!$A:$A,0)),IFERROR(INDEX(Email!$AI:$AI,MATCH($B$3,Email!$A:$A,0)),"")))</f>
        <v>Hi, I'm calling about my order. · Is this the billing team? · My internet has stopped working.</v>
      </c>
    </row>
    <row r="45" customFormat="false" ht="26.85" hidden="false" customHeight="false" outlineLevel="0" collapsed="false">
      <c r="A45" s="14" t="s">
        <v>52</v>
      </c>
      <c r="B45" s="9" t="str">
        <f aca="false">IFERROR(INDEX(Voice!$AJ:$AJ,MATCH($B$3,Voice!$A:$A,0)),IFERROR(INDEX(Chat!$AJ:$AJ,MATCH($B$3,Chat!$A:$A,0)),IFERROR(INDEX(Email!$AJ:$AJ,MATCH($B$3,Email!$A:$A,0)),"")))</f>
        <v>Customer: "Is this a real person? I've been waiting ages." → Agent: "Yes, I'm Priya, a real person, and I'm sorry about the wait. How can I help you today?"</v>
      </c>
    </row>
    <row r="46" customFormat="false" ht="26.85" hidden="false" customHeight="false" outlineLevel="0" collapsed="false">
      <c r="A46" s="14" t="s">
        <v>53</v>
      </c>
      <c r="B46" s="9" t="str">
        <f aca="false">IFERROR(INDEX(Voice!$AK:$AK,MATCH($B$3,Voice!$A:$A,0)),IFERROR(INDEX(Chat!$AK:$AK,MATCH($B$3,Chat!$A:$A,0)),IFERROR(INDEX(Email!$AK:$AK,MATCH($B$3,Email!$A:$A,0)),"")))</f>
        <v>Many Indian agents say "Myself Priya" or open with "Yes, tell me". International callers may not expect these; they expect "This is Priya" or "My name is Priya", with the company name first.</v>
      </c>
    </row>
    <row r="47" customFormat="false" ht="26.85" hidden="false" customHeight="false" outlineLevel="0" collapsed="false">
      <c r="A47" s="14" t="s">
        <v>54</v>
      </c>
      <c r="B47" s="9" t="str">
        <f aca="false">IFERROR(INDEX(Voice!$AL:$AL,MATCH($B$3,Voice!$A:$A,0)),IFERROR(INDEX(Chat!$AL:$AL,MATCH($B$3,Chat!$A:$A,0)),IFERROR(INDEX(Email!$AL:$AL,MATCH($B$3,Email!$A:$A,0)),"")))</f>
        <v>Chat: "Hi, I'm Priya from [Company]. How can I help today?" Email: greet the customer by name and get to the point; no phone-style opening.</v>
      </c>
    </row>
    <row r="48" customFormat="false" ht="26.85" hidden="false" customHeight="false" outlineLevel="0" collapsed="false">
      <c r="A48" s="14" t="s">
        <v>55</v>
      </c>
      <c r="B48" s="9" t="str">
        <f aca="false">IFERROR(INDEX(Voice!$AM:$AM,MATCH($B$3,Voice!$A:$A,0)),IFERROR(INDEX(Chat!$AM:$AM,MATCH($B$3,Chat!$A:$A,0)),IFERROR(INDEX(Email!$AM:$AM,MATCH($B$3,Email!$A:$A,0)),"")))</f>
        <v>When you call the customer back, do not say "Thank you for calling"; say "Hi, this is Priya from [Company], returning your call."</v>
      </c>
    </row>
    <row r="49" customFormat="false" ht="26.85" hidden="false" customHeight="false" outlineLevel="0" collapsed="false">
      <c r="A49" s="14" t="s">
        <v>56</v>
      </c>
      <c r="B49" s="9" t="str">
        <f aca="false">IFERROR(INDEX(Voice!$AN:$AN,MATCH($B$3,Voice!$A:$A,0)),IFERROR(INDEX(Chat!$AN:$AN,MATCH($B$3,Chat!$A:$A,0)),IFERROR(INDEX(Email!$AN:$AN,MATCH($B$3,Email!$A:$A,0)),"")))</f>
        <v>Customer: Hello? | Agent: Thank you for calling [Company]. This is Priya. How can I help you today? | Customer: Hi, my parcel hasn't arrived. | Agent: I'm sorry to hear that. Could I have your order number, please?</v>
      </c>
    </row>
    <row r="50" customFormat="false" ht="15" hidden="false" customHeight="false" outlineLevel="0" collapsed="false">
      <c r="A50" s="14" t="s">
        <v>57</v>
      </c>
      <c r="B50" s="9" t="str">
        <f aca="false">IFERROR(INDEX(Voice!$AO:$AO,MATCH($B$3,Voice!$A:$A,0)),IFERROR(INDEX(Chat!$AO:$AO,MATCH($B$3,Chat!$A:$A,0)),IFERROR(INDEX(Email!$AO:$AO,MATCH($B$3,Email!$A:$A,0)),"")))</f>
        <v>Open with thanks, the company name and an offer of help, and give your own name.</v>
      </c>
    </row>
    <row r="52" customFormat="false" ht="15" hidden="false" customHeight="true" outlineLevel="0" collapsed="false">
      <c r="A52" s="15" t="s">
        <v>58</v>
      </c>
      <c r="B52" s="15"/>
    </row>
    <row r="53" customFormat="false" ht="15" hidden="false" customHeight="false" outlineLevel="0" collapsed="false">
      <c r="A53" s="16" t="s">
        <v>59</v>
      </c>
      <c r="B53" s="9" t="str">
        <f aca="false">IFERROR(INDEX(Voice!$AP:$AP,MATCH($B$3,Voice!$A:$A,0)),IFERROR(INDEX(Chat!$AP:$AP,MATCH($B$3,Chat!$A:$A,0)),IFERROR(INDEX(Email!$AP:$AP,MATCH($B$3,Email!$A:$A,0)),"")))</f>
        <v>Thank you ____ calling [Company]. This is Priya. How can I help you today?</v>
      </c>
    </row>
    <row r="54" customFormat="false" ht="15" hidden="false" customHeight="false" outlineLevel="0" collapsed="false">
      <c r="A54" s="16" t="s">
        <v>60</v>
      </c>
      <c r="B54" s="9" t="str">
        <f aca="false">IFERROR(INDEX(Voice!$AQ:$AQ,MATCH($B$3,Voice!$A:$A,0)),IFERROR(INDEX(Chat!$AQ:$AQ,MATCH($B$3,Chat!$A:$A,0)),IFERROR(INDEX(Email!$AQ:$AQ,MATCH($B$3,Email!$A:$A,0)),"")))</f>
        <v>for</v>
      </c>
    </row>
    <row r="55" customFormat="false" ht="15" hidden="false" customHeight="false" outlineLevel="0" collapsed="false">
      <c r="A55" s="16" t="s">
        <v>61</v>
      </c>
      <c r="B55" s="9" t="str">
        <f aca="false">IFERROR(INDEX(Voice!$AR:$AR,MATCH($B$3,Voice!$A:$A,0)),IFERROR(INDEX(Chat!$AR:$AR,MATCH($B$3,Chat!$A:$A,0)),IFERROR(INDEX(Email!$AR:$AR,MATCH($B$3,Email!$A:$A,0)),"")))</f>
        <v>A call has just connected. Which opening is the most welcoming and complete?</v>
      </c>
    </row>
    <row r="56" customFormat="false" ht="39.55" hidden="false" customHeight="false" outlineLevel="0" collapsed="false">
      <c r="A56" s="16" t="s">
        <v>62</v>
      </c>
      <c r="B56" s="9" t="str">
        <f aca="false">IFERROR(INDEX(Voice!$AS:$AS,MATCH($B$3,Voice!$A:$A,0)),IFERROR(INDEX(Chat!$AS:$AS,MATCH($B$3,Chat!$A:$A,0)),IFERROR(INDEX(Email!$AS:$AS,MATCH($B$3,Email!$A:$A,0)),"")))</f>
        <v>A) Good morning, [Company] customer service. Yes, please tell me your problem. | B) Hello, [Company] customer service, Priya here. What is the problem today? | C) Thank you for calling [Company]. This is Priya. How can I help you today? | D) Hello, this is [Company]. Please give me your name and order number.</v>
      </c>
    </row>
    <row r="57" customFormat="false" ht="15" hidden="false" customHeight="false" outlineLevel="0" collapsed="false">
      <c r="A57" s="16" t="s">
        <v>63</v>
      </c>
      <c r="B57" s="9" t="str">
        <f aca="false">IFERROR(INDEX(Voice!$AT:$AT,MATCH($B$3,Voice!$A:$A,0)),IFERROR(INDEX(Chat!$AT:$AT,MATCH($B$3,Chat!$A:$A,0)),IFERROR(INDEX(Email!$AT:$AT,MATCH($B$3,Email!$A:$A,0)),"")))</f>
        <v>C</v>
      </c>
    </row>
    <row r="58" customFormat="false" ht="26.85" hidden="false" customHeight="false" outlineLevel="0" collapsed="false">
      <c r="A58" s="16" t="s">
        <v>64</v>
      </c>
      <c r="B58" s="9" t="str">
        <f aca="false">IFERROR(INDEX(Voice!$AU:$AU,MATCH($B$3,Voice!$A:$A,0)),IFERROR(INDEX(Chat!$AU:$AU,MATCH($B$3,Chat!$A:$A,0)),IFERROR(INDEX(Email!$AU:$AU,MATCH($B$3,Email!$A:$A,0)),"")))</f>
        <v>C thanks the caller and gives the company, your name and an offer of help. A and B ask for "the problem" bluntly, and D starts with a demand for details and skips your name.</v>
      </c>
    </row>
    <row r="59" customFormat="false" ht="15" hidden="false" customHeight="false" outlineLevel="0" collapsed="false">
      <c r="A59" s="16" t="s">
        <v>65</v>
      </c>
      <c r="B59" s="9" t="str">
        <f aca="false">IFERROR(INDEX(Voice!$AV:$AV,MATCH($B$3,Voice!$A:$A,0)),IFERROR(INDEX(Chat!$AV:$AV,MATCH($B$3,Chat!$A:$A,0)),IFERROR(INDEX(Email!$AV:$AV,MATCH($B$3,Email!$A:$A,0)),"")))</f>
        <v>help / today / I / can / How / you</v>
      </c>
    </row>
    <row r="60" customFormat="false" ht="15" hidden="false" customHeight="false" outlineLevel="0" collapsed="false">
      <c r="A60" s="16" t="s">
        <v>66</v>
      </c>
      <c r="B60" s="9" t="str">
        <f aca="false">IFERROR(INDEX(Voice!$AW:$AW,MATCH($B$3,Voice!$A:$A,0)),IFERROR(INDEX(Chat!$AW:$AW,MATCH($B$3,Chat!$A:$A,0)),IFERROR(INDEX(Email!$AW:$AW,MATCH($B$3,Email!$A:$A,0)),"")))</f>
        <v>How can I help you today</v>
      </c>
    </row>
    <row r="61" customFormat="false" ht="15" hidden="false" customHeight="false" outlineLevel="0" collapsed="false">
      <c r="A61" s="16" t="s">
        <v>67</v>
      </c>
      <c r="B61" s="9" t="str">
        <f aca="false">IFERROR(INDEX(Voice!$AX:$AX,MATCH($B$3,Voice!$A:$A,0)),IFERROR(INDEX(Chat!$AX:$AX,MATCH($B$3,Chat!$A:$A,0)),IFERROR(INDEX(Email!$AX:$AX,MATCH($B$3,Email!$A:$A,0)),"")))</f>
        <v>[Company] ko call karne ke liye shukriya, mera naam Rahul hai. Main aaj aapki kya madad kar sakta hoon?</v>
      </c>
    </row>
    <row r="62" customFormat="false" ht="15" hidden="false" customHeight="false" outlineLevel="0" collapsed="false">
      <c r="A62" s="16" t="s">
        <v>68</v>
      </c>
      <c r="B62" s="9" t="str">
        <f aca="false">IFERROR(INDEX(Voice!$AY:$AY,MATCH($B$3,Voice!$A:$A,0)),IFERROR(INDEX(Chat!$AY:$AY,MATCH($B$3,Chat!$A:$A,0)),IFERROR(INDEX(Email!$AY:$AY,MATCH($B$3,Email!$A:$A,0)),"")))</f>
        <v>Thank you for calling [Company]. This is Rahul. How can I help you today?</v>
      </c>
    </row>
    <row r="63" customFormat="false" ht="15" hidden="false" customHeight="false" outlineLevel="0" collapsed="false">
      <c r="A63" s="16" t="s">
        <v>69</v>
      </c>
      <c r="B63" s="9" t="str">
        <f aca="false">IFERROR(INDEX(Voice!$AZ:$AZ,MATCH($B$3,Voice!$A:$A,0)),IFERROR(INDEX(Chat!$AZ:$AZ,MATCH($B$3,Chat!$A:$A,0)),IFERROR(INDEX(Email!$AZ:$AZ,MATCH($B$3,Email!$A:$A,0)),"")))</f>
        <v>Hi, I'm calling because I was charged twice.</v>
      </c>
    </row>
    <row r="64" customFormat="false" ht="15" hidden="false" customHeight="false" outlineLevel="0" collapsed="false">
      <c r="A64" s="16" t="s">
        <v>70</v>
      </c>
      <c r="B64" s="9" t="str">
        <f aca="false">IFERROR(INDEX(Voice!$BA:$BA,MATCH($B$3,Voice!$A:$A,0)),IFERROR(INDEX(Chat!$BA:$BA,MATCH($B$3,Chat!$A:$A,0)),IFERROR(INDEX(Email!$BA:$BA,MATCH($B$3,Email!$A:$A,0)),"")))</f>
        <v>I'm sorry you've been charged twice. I'll look into it for you. Could I have your name, please?</v>
      </c>
    </row>
    <row r="65" customFormat="false" ht="26.85" hidden="false" customHeight="false" outlineLevel="0" collapsed="false">
      <c r="A65" s="16" t="s">
        <v>71</v>
      </c>
      <c r="B65" s="9" t="str">
        <f aca="false">IFERROR(INDEX(Voice!$BB:$BB,MATCH($B$3,Voice!$A:$A,0)),IFERROR(INDEX(Chat!$BB:$BB,MATCH($B$3,Chat!$A:$A,0)),IFERROR(INDEX(Email!$BB:$BB,MATCH($B$3,Email!$A:$A,0)),"")))</f>
        <v>Partner A phones [Company] about a late delivery. Partner B answers with thanks, the company name, their own name and an offer of help, then asks for A's name.</v>
      </c>
    </row>
    <row r="66" customFormat="false" ht="26.85" hidden="false" customHeight="false" outlineLevel="0" collapsed="false">
      <c r="A66" s="16" t="s">
        <v>72</v>
      </c>
      <c r="B66" s="9" t="str">
        <f aca="false">IFERROR(INDEX(Voice!$BC:$BC,MATCH($B$3,Voice!$A:$A,0)),IFERROR(INDEX(Chat!$BC:$BC,MATCH($B$3,Chat!$A:$A,0)),IFERROR(INDEX(Email!$BC:$BC,MATCH($B$3,Email!$A:$A,0)),"")))</f>
        <v>Record your full opening three times: once normally, once smiling, once slowly. Submit the one that sounds the warmest.</v>
      </c>
    </row>
    <row r="67" customFormat="false" ht="26.85" hidden="false" customHeight="false" outlineLevel="0" collapsed="false">
      <c r="A67" s="16" t="s">
        <v>73</v>
      </c>
      <c r="B67" s="9" t="str">
        <f aca="false">IFERROR(INDEX(Voice!$BD:$BD,MATCH($B$3,Voice!$A:$A,0)),IFERROR(INDEX(Chat!$BD:$BD,MATCH($B$3,Chat!$A:$A,0)),IFERROR(INDEX(Email!$BD:$BD,MATCH($B$3,Email!$A:$A,0)),"")))</f>
        <v>Did you say the company name and your own name? · Did "today" fall at the end? · Did "thank" start with a soft "th", not "t"?</v>
      </c>
    </row>
    <row r="69" customFormat="false" ht="15" hidden="false" customHeight="true" outlineLevel="0" collapsed="false">
      <c r="A69" s="17" t="s">
        <v>74</v>
      </c>
      <c r="B69" s="17"/>
    </row>
    <row r="70" customFormat="false" ht="15" hidden="false" customHeight="false" outlineLevel="0" collapsed="false">
      <c r="A70" s="18" t="s">
        <v>75</v>
      </c>
      <c r="B70" s="19" t="str">
        <f aca="false">IFERROR(IF(INDEX(Voice!$BE:$BE,MATCH($B$3,Voice!$A:$A,0))="","",INDEX(Voice!$BE:$BE,MATCH($B$3,Voice!$A:$A,0))),IFERROR(IF(INDEX(Chat!$BE:$BE,MATCH($B$3,Chat!$A:$A,0))="","",INDEX(Chat!$BE:$BE,MATCH($B$3,Chat!$A:$A,0))),IFERROR(IF(INDEX(Email!$BE:$BE,MATCH($B$3,Email!$A:$A,0))="","",INDEX(Email!$BE:$BE,MATCH($B$3,Email!$A:$A,0))),"")))</f>
        <v/>
      </c>
    </row>
    <row r="71" customFormat="false" ht="15" hidden="false" customHeight="false" outlineLevel="0" collapsed="false">
      <c r="A71" s="18" t="s">
        <v>76</v>
      </c>
      <c r="B71" s="20" t="str">
        <f aca="false">IFERROR(IF(INDEX(Voice!$BF:$BF,MATCH($B$3,Voice!$A:$A,0))="","",INDEX(Voice!$BF:$BF,MATCH($B$3,Voice!$A:$A,0))),IFERROR(IF(INDEX(Chat!$BF:$BF,MATCH($B$3,Chat!$A:$A,0))="","",INDEX(Chat!$BF:$BF,MATCH($B$3,Chat!$A:$A,0))),IFERROR(IF(INDEX(Email!$BF:$BF,MATCH($B$3,Email!$A:$A,0))="","",INDEX(Email!$BF:$BF,MATCH($B$3,Email!$A:$A,0))),"")))</f>
        <v/>
      </c>
    </row>
    <row r="72" customFormat="false" ht="15" hidden="false" customHeight="false" outlineLevel="0" collapsed="false">
      <c r="A72" s="18" t="s">
        <v>77</v>
      </c>
      <c r="B72" s="20" t="str">
        <f aca="false">IFERROR(IF(INDEX(Voice!$BG:$BG,MATCH($B$3,Voice!$A:$A,0))="","",INDEX(Voice!$BG:$BG,MATCH($B$3,Voice!$A:$A,0))),IFERROR(IF(INDEX(Chat!$BG:$BG,MATCH($B$3,Chat!$A:$A,0))="","",INDEX(Chat!$BG:$BG,MATCH($B$3,Chat!$A:$A,0))),IFERROR(IF(INDEX(Email!$BG:$BG,MATCH($B$3,Email!$A:$A,0))="","",INDEX(Email!$BG:$BG,MATCH($B$3,Email!$A:$A,0))),"")))</f>
        <v/>
      </c>
    </row>
    <row r="73" customFormat="false" ht="15" hidden="false" customHeight="false" outlineLevel="0" collapsed="false">
      <c r="A73" s="18" t="s">
        <v>78</v>
      </c>
      <c r="B73" s="20" t="str">
        <f aca="false">IFERROR(IF(INDEX(Voice!$BH:$BH,MATCH($B$3,Voice!$A:$A,0))="","",INDEX(Voice!$BH:$BH,MATCH($B$3,Voice!$A:$A,0))),IFERROR(IF(INDEX(Chat!$BH:$BH,MATCH($B$3,Chat!$A:$A,0))="","",INDEX(Chat!$BH:$BH,MATCH($B$3,Chat!$A:$A,0))),IFERROR(IF(INDEX(Email!$BH:$BH,MATCH($B$3,Email!$A:$A,0))="","",INDEX(Email!$BH:$BH,MATCH($B$3,Email!$A:$A,0))),"")))</f>
        <v/>
      </c>
    </row>
    <row r="74" customFormat="false" ht="15" hidden="false" customHeight="false" outlineLevel="0" collapsed="false">
      <c r="A74" s="18" t="s">
        <v>79</v>
      </c>
      <c r="B74" s="20" t="str">
        <f aca="false">IFERROR(IF(INDEX(Voice!$BI:$BI,MATCH($B$3,Voice!$A:$A,0))="","",INDEX(Voice!$BI:$BI,MATCH($B$3,Voice!$A:$A,0))),IFERROR(IF(INDEX(Chat!$BI:$BI,MATCH($B$3,Chat!$A:$A,0))="","",INDEX(Chat!$BI:$BI,MATCH($B$3,Chat!$A:$A,0))),IFERROR(IF(INDEX(Email!$BI:$BI,MATCH($B$3,Email!$A:$A,0))="","",INDEX(Email!$BI:$BI,MATCH($B$3,Email!$A:$A,0))),"")))</f>
        <v/>
      </c>
    </row>
    <row r="75" customFormat="false" ht="15" hidden="false" customHeight="false" outlineLevel="0" collapsed="false">
      <c r="A75" s="18" t="s">
        <v>80</v>
      </c>
      <c r="B75" s="20" t="str">
        <f aca="false">IFERROR(IF(INDEX(Voice!$BJ:$BJ,MATCH($B$3,Voice!$A:$A,0))="","",INDEX(Voice!$BJ:$BJ,MATCH($B$3,Voice!$A:$A,0))),IFERROR(IF(INDEX(Chat!$BJ:$BJ,MATCH($B$3,Chat!$A:$A,0))="","",INDEX(Chat!$BJ:$BJ,MATCH($B$3,Chat!$A:$A,0))),IFERROR(IF(INDEX(Email!$BJ:$BJ,MATCH($B$3,Email!$A:$A,0))="","",INDEX(Email!$BJ:$BJ,MATCH($B$3,Email!$A:$A,0))),"")))</f>
        <v/>
      </c>
    </row>
    <row r="76" customFormat="false" ht="15" hidden="false" customHeight="false" outlineLevel="0" collapsed="false">
      <c r="A76" s="18" t="s">
        <v>81</v>
      </c>
      <c r="B76" s="20" t="str">
        <f aca="false">IFERROR(IF(INDEX(Voice!$BK:$BK,MATCH($B$3,Voice!$A:$A,0))="","",INDEX(Voice!$BK:$BK,MATCH($B$3,Voice!$A:$A,0))),IFERROR(IF(INDEX(Chat!$BK:$BK,MATCH($B$3,Chat!$A:$A,0))="","",INDEX(Chat!$BK:$BK,MATCH($B$3,Chat!$A:$A,0))),IFERROR(IF(INDEX(Email!$BK:$BK,MATCH($B$3,Email!$A:$A,0))="","",INDEX(Email!$BK:$BK,MATCH($B$3,Email!$A:$A,0))),"")))</f>
        <v/>
      </c>
    </row>
    <row r="77" customFormat="false" ht="15" hidden="false" customHeight="false" outlineLevel="0" collapsed="false">
      <c r="A77" s="18" t="s">
        <v>82</v>
      </c>
      <c r="B77" s="19" t="str">
        <f aca="false">IFERROR(IF(INDEX(Voice!$BL:$BL,MATCH($B$3,Voice!$A:$A,0))="","",INDEX(Voice!$BL:$BL,MATCH($B$3,Voice!$A:$A,0))),IFERROR(IF(INDEX(Chat!$BL:$BL,MATCH($B$3,Chat!$A:$A,0))="","",INDEX(Chat!$BL:$BL,MATCH($B$3,Chat!$A:$A,0))),IFERROR(IF(INDEX(Email!$BL:$BL,MATCH($B$3,Email!$A:$A,0))="","",INDEX(Email!$BL:$BL,MATCH($B$3,Email!$A:$A,0))),"")))</f>
        <v/>
      </c>
    </row>
  </sheetData>
  <mergeCells count="5">
    <mergeCell ref="A5:B5"/>
    <mergeCell ref="A13:B13"/>
    <mergeCell ref="A28:B28"/>
    <mergeCell ref="A52:B52"/>
    <mergeCell ref="A69:B69"/>
  </mergeCells>
  <dataValidations count="1">
    <dataValidation allowBlank="false" error="Pick an ID from the list, e.g. CSV-B-006." errorStyle="stop" errorTitle="Unknown card ID" operator="between" showDropDown="false" showErrorMessage="false" showInputMessage="false" sqref="B3" type="list">
      <formula1>Lists!$A$2:$A$181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2" topLeftCell="H3" activePane="bottomRight" state="frozen"/>
      <selection pane="topLeft" activeCell="A1" activeCellId="0" sqref="A1"/>
      <selection pane="topRight" activeCell="H1" activeCellId="0" sqref="H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6" min="1" style="0" width="13"/>
    <col collapsed="false" customWidth="true" hidden="false" outlineLevel="0" max="7" min="7" style="0" width="34"/>
    <col collapsed="false" customWidth="true" hidden="false" outlineLevel="0" max="8" min="8" style="0" width="13"/>
    <col collapsed="false" customWidth="true" hidden="false" outlineLevel="0" max="14" min="9" style="0" width="34"/>
    <col collapsed="false" customWidth="true" hidden="false" outlineLevel="0" max="15" min="15" style="0" width="13"/>
    <col collapsed="false" customWidth="true" hidden="false" outlineLevel="0" max="16" min="16" style="0" width="34"/>
    <col collapsed="false" customWidth="true" hidden="false" outlineLevel="0" max="17" min="17" style="0" width="13"/>
    <col collapsed="false" customWidth="true" hidden="false" outlineLevel="0" max="42" min="18" style="0" width="34"/>
    <col collapsed="false" customWidth="true" hidden="false" outlineLevel="0" max="43" min="43" style="0" width="13"/>
    <col collapsed="false" customWidth="true" hidden="false" outlineLevel="0" max="45" min="44" style="0" width="34"/>
    <col collapsed="false" customWidth="true" hidden="false" outlineLevel="0" max="46" min="46" style="0" width="13"/>
    <col collapsed="false" customWidth="true" hidden="false" outlineLevel="0" max="56" min="47" style="0" width="34"/>
    <col collapsed="false" customWidth="true" hidden="false" outlineLevel="0" max="63" min="57" style="0" width="13"/>
    <col collapsed="false" customWidth="true" hidden="false" outlineLevel="0" max="64" min="64" style="0" width="30"/>
  </cols>
  <sheetData>
    <row r="1" customFormat="false" ht="15" hidden="false" customHeight="false" outlineLevel="0" collapsed="false">
      <c r="A1" s="21" t="s">
        <v>14</v>
      </c>
      <c r="B1" s="21"/>
      <c r="C1" s="21"/>
      <c r="D1" s="21"/>
      <c r="E1" s="21"/>
      <c r="F1" s="21"/>
      <c r="G1" s="22" t="s">
        <v>21</v>
      </c>
      <c r="H1" s="22"/>
      <c r="I1" s="22"/>
      <c r="J1" s="22"/>
      <c r="K1" s="22"/>
      <c r="L1" s="22"/>
      <c r="M1" s="22"/>
      <c r="N1" s="22"/>
      <c r="O1" s="22"/>
      <c r="P1" s="22"/>
      <c r="Q1" s="22"/>
      <c r="R1" s="22"/>
      <c r="S1" s="22"/>
      <c r="T1" s="23" t="s">
        <v>35</v>
      </c>
      <c r="U1" s="23"/>
      <c r="V1" s="23"/>
      <c r="W1" s="23"/>
      <c r="X1" s="23"/>
      <c r="Y1" s="23"/>
      <c r="Z1" s="23"/>
      <c r="AA1" s="23"/>
      <c r="AB1" s="23"/>
      <c r="AC1" s="23"/>
      <c r="AD1" s="23"/>
      <c r="AE1" s="23"/>
      <c r="AF1" s="23"/>
      <c r="AG1" s="23"/>
      <c r="AH1" s="23"/>
      <c r="AI1" s="23"/>
      <c r="AJ1" s="23"/>
      <c r="AK1" s="23"/>
      <c r="AL1" s="23"/>
      <c r="AM1" s="23"/>
      <c r="AN1" s="23"/>
      <c r="AO1" s="23"/>
      <c r="AP1" s="24" t="s">
        <v>58</v>
      </c>
      <c r="AQ1" s="24"/>
      <c r="AR1" s="24"/>
      <c r="AS1" s="24"/>
      <c r="AT1" s="24"/>
      <c r="AU1" s="24"/>
      <c r="AV1" s="24"/>
      <c r="AW1" s="24"/>
      <c r="AX1" s="24"/>
      <c r="AY1" s="24"/>
      <c r="AZ1" s="24"/>
      <c r="BA1" s="24"/>
      <c r="BB1" s="24"/>
      <c r="BC1" s="24"/>
      <c r="BD1" s="24"/>
      <c r="BE1" s="25" t="s">
        <v>83</v>
      </c>
      <c r="BF1" s="25"/>
      <c r="BG1" s="25"/>
      <c r="BH1" s="25"/>
      <c r="BI1" s="25"/>
      <c r="BJ1" s="25"/>
      <c r="BK1" s="25"/>
      <c r="BL1" s="25"/>
    </row>
    <row r="2" customFormat="false" ht="33.75" hidden="false" customHeight="true" outlineLevel="0" collapsed="false">
      <c r="A2" s="26" t="s">
        <v>15</v>
      </c>
      <c r="B2" s="26" t="s">
        <v>16</v>
      </c>
      <c r="C2" s="26" t="s">
        <v>17</v>
      </c>
      <c r="D2" s="26" t="s">
        <v>18</v>
      </c>
      <c r="E2" s="26" t="s">
        <v>19</v>
      </c>
      <c r="F2" s="26" t="s">
        <v>20</v>
      </c>
      <c r="G2" s="26" t="s">
        <v>22</v>
      </c>
      <c r="H2" s="26" t="s">
        <v>23</v>
      </c>
      <c r="I2" s="26" t="s">
        <v>24</v>
      </c>
      <c r="J2" s="26" t="s">
        <v>25</v>
      </c>
      <c r="K2" s="26" t="s">
        <v>26</v>
      </c>
      <c r="L2" s="26" t="s">
        <v>27</v>
      </c>
      <c r="M2" s="26" t="s">
        <v>28</v>
      </c>
      <c r="N2" s="26" t="s">
        <v>29</v>
      </c>
      <c r="O2" s="26" t="s">
        <v>30</v>
      </c>
      <c r="P2" s="26" t="s">
        <v>31</v>
      </c>
      <c r="Q2" s="26" t="s">
        <v>32</v>
      </c>
      <c r="R2" s="26" t="s">
        <v>33</v>
      </c>
      <c r="S2" s="26" t="s">
        <v>34</v>
      </c>
      <c r="T2" s="26" t="s">
        <v>36</v>
      </c>
      <c r="U2" s="26" t="s">
        <v>37</v>
      </c>
      <c r="V2" s="26" t="s">
        <v>38</v>
      </c>
      <c r="W2" s="26" t="s">
        <v>39</v>
      </c>
      <c r="X2" s="26" t="s">
        <v>40</v>
      </c>
      <c r="Y2" s="26" t="s">
        <v>41</v>
      </c>
      <c r="Z2" s="26" t="s">
        <v>42</v>
      </c>
      <c r="AA2" s="26" t="s">
        <v>43</v>
      </c>
      <c r="AB2" s="26" t="s">
        <v>44</v>
      </c>
      <c r="AC2" s="26" t="s">
        <v>45</v>
      </c>
      <c r="AD2" s="26" t="s">
        <v>46</v>
      </c>
      <c r="AE2" s="26" t="s">
        <v>47</v>
      </c>
      <c r="AF2" s="26" t="s">
        <v>48</v>
      </c>
      <c r="AG2" s="26" t="s">
        <v>49</v>
      </c>
      <c r="AH2" s="26" t="s">
        <v>50</v>
      </c>
      <c r="AI2" s="26" t="s">
        <v>51</v>
      </c>
      <c r="AJ2" s="26" t="s">
        <v>52</v>
      </c>
      <c r="AK2" s="26" t="s">
        <v>53</v>
      </c>
      <c r="AL2" s="26" t="s">
        <v>54</v>
      </c>
      <c r="AM2" s="26" t="s">
        <v>55</v>
      </c>
      <c r="AN2" s="26" t="s">
        <v>56</v>
      </c>
      <c r="AO2" s="26" t="s">
        <v>57</v>
      </c>
      <c r="AP2" s="26" t="s">
        <v>59</v>
      </c>
      <c r="AQ2" s="26" t="s">
        <v>60</v>
      </c>
      <c r="AR2" s="26" t="s">
        <v>61</v>
      </c>
      <c r="AS2" s="26" t="s">
        <v>62</v>
      </c>
      <c r="AT2" s="26" t="s">
        <v>63</v>
      </c>
      <c r="AU2" s="26" t="s">
        <v>64</v>
      </c>
      <c r="AV2" s="26" t="s">
        <v>65</v>
      </c>
      <c r="AW2" s="26" t="s">
        <v>66</v>
      </c>
      <c r="AX2" s="26" t="s">
        <v>67</v>
      </c>
      <c r="AY2" s="26" t="s">
        <v>68</v>
      </c>
      <c r="AZ2" s="26" t="s">
        <v>69</v>
      </c>
      <c r="BA2" s="26" t="s">
        <v>70</v>
      </c>
      <c r="BB2" s="26" t="s">
        <v>71</v>
      </c>
      <c r="BC2" s="26" t="s">
        <v>72</v>
      </c>
      <c r="BD2" s="26" t="s">
        <v>73</v>
      </c>
      <c r="BE2" s="27" t="s">
        <v>75</v>
      </c>
      <c r="BF2" s="27" t="s">
        <v>76</v>
      </c>
      <c r="BG2" s="27" t="s">
        <v>77</v>
      </c>
      <c r="BH2" s="27" t="s">
        <v>78</v>
      </c>
      <c r="BI2" s="27" t="s">
        <v>79</v>
      </c>
      <c r="BJ2" s="27" t="s">
        <v>80</v>
      </c>
      <c r="BK2" s="27" t="s">
        <v>81</v>
      </c>
      <c r="BL2" s="27" t="s">
        <v>82</v>
      </c>
    </row>
    <row r="3" customFormat="false" ht="128.35" hidden="false" customHeight="false" outlineLevel="0" collapsed="false">
      <c r="A3" s="9" t="s">
        <v>13</v>
      </c>
      <c r="B3" s="9" t="s">
        <v>84</v>
      </c>
      <c r="C3" s="9" t="s">
        <v>85</v>
      </c>
      <c r="D3" s="9" t="s">
        <v>86</v>
      </c>
      <c r="E3" s="9" t="s">
        <v>87</v>
      </c>
      <c r="F3" s="9" t="s">
        <v>88</v>
      </c>
      <c r="G3" s="28" t="s">
        <v>89</v>
      </c>
      <c r="H3" s="9" t="s">
        <v>90</v>
      </c>
      <c r="I3" s="9" t="s">
        <v>91</v>
      </c>
      <c r="J3" s="9" t="s">
        <v>92</v>
      </c>
      <c r="K3" s="9" t="s">
        <v>93</v>
      </c>
      <c r="L3" s="9" t="s">
        <v>94</v>
      </c>
      <c r="M3" s="9" t="s">
        <v>95</v>
      </c>
      <c r="N3" s="9" t="s">
        <v>96</v>
      </c>
      <c r="O3" s="9" t="s">
        <v>97</v>
      </c>
      <c r="P3" s="9" t="s">
        <v>98</v>
      </c>
      <c r="Q3" s="9" t="s">
        <v>99</v>
      </c>
      <c r="R3" s="9" t="s">
        <v>100</v>
      </c>
      <c r="S3" s="9" t="s">
        <v>101</v>
      </c>
      <c r="T3" s="9" t="s">
        <v>102</v>
      </c>
      <c r="U3" s="9" t="s">
        <v>103</v>
      </c>
      <c r="V3" s="9" t="s">
        <v>104</v>
      </c>
      <c r="W3" s="9" t="s">
        <v>105</v>
      </c>
      <c r="X3" s="9" t="s">
        <v>106</v>
      </c>
      <c r="Y3" s="9" t="s">
        <v>107</v>
      </c>
      <c r="Z3" s="9" t="s">
        <v>108</v>
      </c>
      <c r="AA3" s="9" t="s">
        <v>109</v>
      </c>
      <c r="AB3" s="9" t="s">
        <v>110</v>
      </c>
      <c r="AC3" s="9" t="s">
        <v>111</v>
      </c>
      <c r="AD3" s="9" t="s">
        <v>112</v>
      </c>
      <c r="AE3" s="9" t="s">
        <v>113</v>
      </c>
      <c r="AF3" s="9" t="s">
        <v>114</v>
      </c>
      <c r="AG3" s="9" t="s">
        <v>115</v>
      </c>
      <c r="AH3" s="9" t="s">
        <v>116</v>
      </c>
      <c r="AI3" s="9" t="s">
        <v>117</v>
      </c>
      <c r="AJ3" s="9" t="s">
        <v>118</v>
      </c>
      <c r="AK3" s="9" t="s">
        <v>119</v>
      </c>
      <c r="AL3" s="9" t="s">
        <v>120</v>
      </c>
      <c r="AM3" s="9" t="s">
        <v>121</v>
      </c>
      <c r="AN3" s="9" t="s">
        <v>122</v>
      </c>
      <c r="AO3" s="9" t="s">
        <v>123</v>
      </c>
      <c r="AP3" s="9" t="s">
        <v>124</v>
      </c>
      <c r="AQ3" s="9" t="s">
        <v>125</v>
      </c>
      <c r="AR3" s="9" t="s">
        <v>126</v>
      </c>
      <c r="AS3" s="9" t="s">
        <v>127</v>
      </c>
      <c r="AT3" s="9" t="s">
        <v>128</v>
      </c>
      <c r="AU3" s="9" t="s">
        <v>129</v>
      </c>
      <c r="AV3" s="9" t="s">
        <v>130</v>
      </c>
      <c r="AW3" s="9" t="s">
        <v>131</v>
      </c>
      <c r="AX3" s="9" t="s">
        <v>132</v>
      </c>
      <c r="AY3" s="9" t="s">
        <v>133</v>
      </c>
      <c r="AZ3" s="9" t="s">
        <v>134</v>
      </c>
      <c r="BA3" s="9" t="s">
        <v>135</v>
      </c>
      <c r="BB3" s="9" t="s">
        <v>136</v>
      </c>
      <c r="BC3" s="9" t="s">
        <v>137</v>
      </c>
      <c r="BD3" s="9" t="s">
        <v>138</v>
      </c>
      <c r="BE3" s="29"/>
      <c r="BF3" s="29"/>
      <c r="BG3" s="29"/>
      <c r="BH3" s="29"/>
      <c r="BI3" s="29"/>
      <c r="BJ3" s="29"/>
      <c r="BK3" s="29"/>
      <c r="BL3" s="29"/>
    </row>
    <row r="4" customFormat="false" ht="77.6" hidden="false" customHeight="false" outlineLevel="0" collapsed="false">
      <c r="A4" s="9" t="s">
        <v>139</v>
      </c>
      <c r="B4" s="9" t="s">
        <v>84</v>
      </c>
      <c r="C4" s="9" t="s">
        <v>85</v>
      </c>
      <c r="D4" s="9" t="s">
        <v>86</v>
      </c>
      <c r="E4" s="9" t="s">
        <v>87</v>
      </c>
      <c r="F4" s="9" t="s">
        <v>140</v>
      </c>
      <c r="G4" s="28" t="s">
        <v>141</v>
      </c>
      <c r="H4" s="9" t="s">
        <v>90</v>
      </c>
      <c r="I4" s="9" t="s">
        <v>142</v>
      </c>
      <c r="J4" s="9" t="s">
        <v>143</v>
      </c>
      <c r="K4" s="9" t="s">
        <v>144</v>
      </c>
      <c r="L4" s="9" t="s">
        <v>145</v>
      </c>
      <c r="M4" s="9" t="s">
        <v>146</v>
      </c>
      <c r="N4" s="9" t="s">
        <v>147</v>
      </c>
      <c r="O4" s="9" t="s">
        <v>97</v>
      </c>
      <c r="P4" s="9" t="s">
        <v>148</v>
      </c>
      <c r="Q4" s="9" t="s">
        <v>99</v>
      </c>
      <c r="R4" s="9" t="s">
        <v>149</v>
      </c>
      <c r="S4" s="9" t="s">
        <v>150</v>
      </c>
      <c r="T4" s="9" t="s">
        <v>151</v>
      </c>
      <c r="U4" s="9" t="s">
        <v>152</v>
      </c>
      <c r="V4" s="9" t="s">
        <v>153</v>
      </c>
      <c r="W4" s="9" t="s">
        <v>154</v>
      </c>
      <c r="X4" s="9" t="s">
        <v>155</v>
      </c>
      <c r="Y4" s="9" t="s">
        <v>156</v>
      </c>
      <c r="Z4" s="9" t="s">
        <v>157</v>
      </c>
      <c r="AA4" s="9" t="s">
        <v>158</v>
      </c>
      <c r="AB4" s="9" t="s">
        <v>159</v>
      </c>
      <c r="AC4" s="9" t="s">
        <v>160</v>
      </c>
      <c r="AD4" s="9" t="s">
        <v>161</v>
      </c>
      <c r="AE4" s="9" t="s">
        <v>162</v>
      </c>
      <c r="AF4" s="9" t="s">
        <v>163</v>
      </c>
      <c r="AG4" s="9" t="s">
        <v>164</v>
      </c>
      <c r="AH4" s="9" t="s">
        <v>165</v>
      </c>
      <c r="AI4" s="9" t="s">
        <v>166</v>
      </c>
      <c r="AJ4" s="9" t="s">
        <v>167</v>
      </c>
      <c r="AK4" s="9" t="s">
        <v>168</v>
      </c>
      <c r="AL4" s="9" t="s">
        <v>169</v>
      </c>
      <c r="AM4" s="9" t="s">
        <v>170</v>
      </c>
      <c r="AN4" s="9" t="s">
        <v>171</v>
      </c>
      <c r="AO4" s="9" t="s">
        <v>172</v>
      </c>
      <c r="AP4" s="9" t="s">
        <v>173</v>
      </c>
      <c r="AQ4" s="9" t="s">
        <v>174</v>
      </c>
      <c r="AR4" s="9" t="s">
        <v>175</v>
      </c>
      <c r="AS4" s="9" t="s">
        <v>176</v>
      </c>
      <c r="AT4" s="9" t="s">
        <v>177</v>
      </c>
      <c r="AU4" s="9" t="s">
        <v>178</v>
      </c>
      <c r="AV4" s="9" t="s">
        <v>179</v>
      </c>
      <c r="AW4" s="9" t="s">
        <v>180</v>
      </c>
      <c r="AX4" s="9" t="s">
        <v>181</v>
      </c>
      <c r="AY4" s="9" t="s">
        <v>141</v>
      </c>
      <c r="AZ4" s="9" t="s">
        <v>182</v>
      </c>
      <c r="BA4" s="9" t="s">
        <v>183</v>
      </c>
      <c r="BB4" s="9" t="s">
        <v>184</v>
      </c>
      <c r="BC4" s="9" t="s">
        <v>185</v>
      </c>
      <c r="BD4" s="9" t="s">
        <v>186</v>
      </c>
      <c r="BE4" s="29"/>
      <c r="BF4" s="29"/>
      <c r="BG4" s="29"/>
      <c r="BH4" s="29"/>
      <c r="BI4" s="29"/>
      <c r="BJ4" s="29"/>
      <c r="BK4" s="29"/>
      <c r="BL4" s="29"/>
    </row>
    <row r="5" customFormat="false" ht="141" hidden="false" customHeight="false" outlineLevel="0" collapsed="false">
      <c r="A5" s="9" t="s">
        <v>187</v>
      </c>
      <c r="B5" s="9" t="s">
        <v>84</v>
      </c>
      <c r="C5" s="9" t="s">
        <v>85</v>
      </c>
      <c r="D5" s="9" t="s">
        <v>188</v>
      </c>
      <c r="E5" s="9" t="s">
        <v>87</v>
      </c>
      <c r="F5" s="9" t="s">
        <v>140</v>
      </c>
      <c r="G5" s="28" t="s">
        <v>189</v>
      </c>
      <c r="H5" s="9" t="s">
        <v>90</v>
      </c>
      <c r="I5" s="9" t="s">
        <v>190</v>
      </c>
      <c r="J5" s="9" t="s">
        <v>191</v>
      </c>
      <c r="K5" s="9" t="s">
        <v>192</v>
      </c>
      <c r="L5" s="9" t="s">
        <v>193</v>
      </c>
      <c r="M5" s="9" t="s">
        <v>194</v>
      </c>
      <c r="N5" s="9" t="s">
        <v>195</v>
      </c>
      <c r="O5" s="9" t="s">
        <v>97</v>
      </c>
      <c r="P5" s="9" t="s">
        <v>196</v>
      </c>
      <c r="Q5" s="9" t="s">
        <v>99</v>
      </c>
      <c r="R5" s="9" t="s">
        <v>197</v>
      </c>
      <c r="S5" s="9" t="s">
        <v>198</v>
      </c>
      <c r="T5" s="9" t="s">
        <v>199</v>
      </c>
      <c r="U5" s="9" t="s">
        <v>200</v>
      </c>
      <c r="V5" s="9" t="s">
        <v>201</v>
      </c>
      <c r="W5" s="9" t="s">
        <v>202</v>
      </c>
      <c r="X5" s="9" t="s">
        <v>203</v>
      </c>
      <c r="Y5" s="9" t="s">
        <v>204</v>
      </c>
      <c r="Z5" s="9" t="s">
        <v>205</v>
      </c>
      <c r="AA5" s="9" t="s">
        <v>206</v>
      </c>
      <c r="AB5" s="9" t="s">
        <v>207</v>
      </c>
      <c r="AC5" s="9" t="s">
        <v>208</v>
      </c>
      <c r="AD5" s="9" t="s">
        <v>209</v>
      </c>
      <c r="AE5" s="9" t="s">
        <v>210</v>
      </c>
      <c r="AF5" s="9" t="s">
        <v>211</v>
      </c>
      <c r="AG5" s="9" t="s">
        <v>212</v>
      </c>
      <c r="AH5" s="9" t="s">
        <v>213</v>
      </c>
      <c r="AI5" s="9" t="s">
        <v>214</v>
      </c>
      <c r="AJ5" s="9" t="s">
        <v>215</v>
      </c>
      <c r="AK5" s="9" t="s">
        <v>216</v>
      </c>
      <c r="AL5" s="9" t="s">
        <v>217</v>
      </c>
      <c r="AM5" s="9" t="s">
        <v>218</v>
      </c>
      <c r="AN5" s="9" t="s">
        <v>219</v>
      </c>
      <c r="AO5" s="9" t="s">
        <v>220</v>
      </c>
      <c r="AP5" s="9" t="s">
        <v>221</v>
      </c>
      <c r="AQ5" s="9" t="s">
        <v>222</v>
      </c>
      <c r="AR5" s="9" t="s">
        <v>223</v>
      </c>
      <c r="AS5" s="9" t="s">
        <v>224</v>
      </c>
      <c r="AT5" s="9" t="s">
        <v>177</v>
      </c>
      <c r="AU5" s="9" t="s">
        <v>225</v>
      </c>
      <c r="AV5" s="9" t="s">
        <v>226</v>
      </c>
      <c r="AW5" s="9" t="s">
        <v>227</v>
      </c>
      <c r="AX5" s="9" t="s">
        <v>228</v>
      </c>
      <c r="AY5" s="9" t="s">
        <v>229</v>
      </c>
      <c r="AZ5" s="9" t="s">
        <v>230</v>
      </c>
      <c r="BA5" s="9" t="s">
        <v>231</v>
      </c>
      <c r="BB5" s="9" t="s">
        <v>232</v>
      </c>
      <c r="BC5" s="9" t="s">
        <v>233</v>
      </c>
      <c r="BD5" s="9" t="s">
        <v>234</v>
      </c>
      <c r="BE5" s="29"/>
      <c r="BF5" s="29"/>
      <c r="BG5" s="29"/>
      <c r="BH5" s="29"/>
      <c r="BI5" s="29"/>
      <c r="BJ5" s="29"/>
      <c r="BK5" s="29"/>
      <c r="BL5" s="29"/>
    </row>
    <row r="6" customFormat="false" ht="102.95" hidden="false" customHeight="false" outlineLevel="0" collapsed="false">
      <c r="A6" s="9" t="s">
        <v>235</v>
      </c>
      <c r="B6" s="9" t="s">
        <v>84</v>
      </c>
      <c r="C6" s="9" t="s">
        <v>85</v>
      </c>
      <c r="D6" s="9" t="s">
        <v>86</v>
      </c>
      <c r="E6" s="9" t="s">
        <v>87</v>
      </c>
      <c r="F6" s="9" t="s">
        <v>236</v>
      </c>
      <c r="G6" s="28" t="s">
        <v>237</v>
      </c>
      <c r="H6" s="9" t="s">
        <v>90</v>
      </c>
      <c r="I6" s="9" t="s">
        <v>238</v>
      </c>
      <c r="J6" s="9" t="s">
        <v>239</v>
      </c>
      <c r="K6" s="9" t="s">
        <v>240</v>
      </c>
      <c r="L6" s="9" t="s">
        <v>241</v>
      </c>
      <c r="M6" s="9" t="s">
        <v>242</v>
      </c>
      <c r="N6" s="9" t="s">
        <v>243</v>
      </c>
      <c r="O6" s="9" t="s">
        <v>97</v>
      </c>
      <c r="P6" s="9" t="s">
        <v>244</v>
      </c>
      <c r="Q6" s="9" t="s">
        <v>99</v>
      </c>
      <c r="R6" s="9" t="s">
        <v>245</v>
      </c>
      <c r="S6" s="9" t="s">
        <v>246</v>
      </c>
      <c r="T6" s="9" t="s">
        <v>247</v>
      </c>
      <c r="U6" s="9" t="s">
        <v>248</v>
      </c>
      <c r="V6" s="9" t="s">
        <v>249</v>
      </c>
      <c r="W6" s="9" t="s">
        <v>250</v>
      </c>
      <c r="X6" s="9" t="s">
        <v>251</v>
      </c>
      <c r="Y6" s="9" t="s">
        <v>252</v>
      </c>
      <c r="Z6" s="9" t="s">
        <v>253</v>
      </c>
      <c r="AA6" s="9" t="s">
        <v>254</v>
      </c>
      <c r="AB6" s="9" t="s">
        <v>255</v>
      </c>
      <c r="AC6" s="9" t="s">
        <v>256</v>
      </c>
      <c r="AD6" s="9" t="s">
        <v>257</v>
      </c>
      <c r="AE6" s="9" t="s">
        <v>258</v>
      </c>
      <c r="AF6" s="9" t="s">
        <v>259</v>
      </c>
      <c r="AG6" s="9" t="s">
        <v>260</v>
      </c>
      <c r="AH6" s="9" t="s">
        <v>261</v>
      </c>
      <c r="AI6" s="9" t="s">
        <v>262</v>
      </c>
      <c r="AJ6" s="9" t="s">
        <v>263</v>
      </c>
      <c r="AK6" s="9" t="s">
        <v>264</v>
      </c>
      <c r="AL6" s="9" t="s">
        <v>265</v>
      </c>
      <c r="AM6" s="9" t="s">
        <v>266</v>
      </c>
      <c r="AN6" s="9" t="s">
        <v>267</v>
      </c>
      <c r="AO6" s="9" t="s">
        <v>268</v>
      </c>
      <c r="AP6" s="9" t="s">
        <v>269</v>
      </c>
      <c r="AQ6" s="9" t="s">
        <v>270</v>
      </c>
      <c r="AR6" s="9" t="s">
        <v>271</v>
      </c>
      <c r="AS6" s="9" t="s">
        <v>272</v>
      </c>
      <c r="AT6" s="9" t="s">
        <v>177</v>
      </c>
      <c r="AU6" s="9" t="s">
        <v>273</v>
      </c>
      <c r="AV6" s="9" t="s">
        <v>274</v>
      </c>
      <c r="AW6" s="9" t="s">
        <v>275</v>
      </c>
      <c r="AX6" s="9" t="s">
        <v>276</v>
      </c>
      <c r="AY6" s="9" t="s">
        <v>237</v>
      </c>
      <c r="AZ6" s="9" t="s">
        <v>277</v>
      </c>
      <c r="BA6" s="9" t="s">
        <v>278</v>
      </c>
      <c r="BB6" s="9" t="s">
        <v>279</v>
      </c>
      <c r="BC6" s="9" t="s">
        <v>280</v>
      </c>
      <c r="BD6" s="9" t="s">
        <v>281</v>
      </c>
      <c r="BE6" s="29"/>
      <c r="BF6" s="29"/>
      <c r="BG6" s="29"/>
      <c r="BH6" s="29"/>
      <c r="BI6" s="29"/>
      <c r="BJ6" s="29"/>
      <c r="BK6" s="29"/>
      <c r="BL6" s="29"/>
    </row>
    <row r="7" customFormat="false" ht="90.25" hidden="false" customHeight="false" outlineLevel="0" collapsed="false">
      <c r="A7" s="9" t="s">
        <v>282</v>
      </c>
      <c r="B7" s="9" t="s">
        <v>84</v>
      </c>
      <c r="C7" s="9" t="s">
        <v>85</v>
      </c>
      <c r="D7" s="9" t="s">
        <v>86</v>
      </c>
      <c r="E7" s="9" t="s">
        <v>87</v>
      </c>
      <c r="F7" s="9" t="s">
        <v>236</v>
      </c>
      <c r="G7" s="28" t="s">
        <v>283</v>
      </c>
      <c r="H7" s="9" t="s">
        <v>90</v>
      </c>
      <c r="I7" s="9" t="s">
        <v>284</v>
      </c>
      <c r="J7" s="9" t="s">
        <v>285</v>
      </c>
      <c r="K7" s="9" t="s">
        <v>286</v>
      </c>
      <c r="L7" s="9" t="s">
        <v>287</v>
      </c>
      <c r="M7" s="9" t="s">
        <v>288</v>
      </c>
      <c r="N7" s="9" t="s">
        <v>289</v>
      </c>
      <c r="O7" s="9" t="s">
        <v>97</v>
      </c>
      <c r="P7" s="9" t="s">
        <v>290</v>
      </c>
      <c r="Q7" s="9" t="s">
        <v>291</v>
      </c>
      <c r="R7" s="9" t="s">
        <v>292</v>
      </c>
      <c r="S7" s="9" t="s">
        <v>293</v>
      </c>
      <c r="T7" s="9" t="s">
        <v>294</v>
      </c>
      <c r="U7" s="9" t="s">
        <v>295</v>
      </c>
      <c r="V7" s="9" t="s">
        <v>296</v>
      </c>
      <c r="W7" s="9" t="s">
        <v>297</v>
      </c>
      <c r="X7" s="9" t="s">
        <v>298</v>
      </c>
      <c r="Y7" s="9" t="s">
        <v>299</v>
      </c>
      <c r="Z7" s="9" t="s">
        <v>300</v>
      </c>
      <c r="AA7" s="9" t="s">
        <v>301</v>
      </c>
      <c r="AB7" s="9" t="s">
        <v>302</v>
      </c>
      <c r="AC7" s="9" t="s">
        <v>303</v>
      </c>
      <c r="AD7" s="9" t="s">
        <v>304</v>
      </c>
      <c r="AE7" s="9" t="s">
        <v>305</v>
      </c>
      <c r="AF7" s="9" t="s">
        <v>306</v>
      </c>
      <c r="AG7" s="9" t="s">
        <v>307</v>
      </c>
      <c r="AH7" s="9" t="s">
        <v>308</v>
      </c>
      <c r="AI7" s="9" t="s">
        <v>309</v>
      </c>
      <c r="AJ7" s="9" t="s">
        <v>310</v>
      </c>
      <c r="AK7" s="9" t="s">
        <v>311</v>
      </c>
      <c r="AL7" s="9" t="s">
        <v>312</v>
      </c>
      <c r="AM7" s="9" t="s">
        <v>313</v>
      </c>
      <c r="AN7" s="9" t="s">
        <v>314</v>
      </c>
      <c r="AO7" s="9" t="s">
        <v>315</v>
      </c>
      <c r="AP7" s="9" t="s">
        <v>316</v>
      </c>
      <c r="AQ7" s="9" t="s">
        <v>317</v>
      </c>
      <c r="AR7" s="9" t="s">
        <v>318</v>
      </c>
      <c r="AS7" s="9" t="s">
        <v>319</v>
      </c>
      <c r="AT7" s="9" t="s">
        <v>177</v>
      </c>
      <c r="AU7" s="9" t="s">
        <v>320</v>
      </c>
      <c r="AV7" s="9" t="s">
        <v>321</v>
      </c>
      <c r="AW7" s="9" t="s">
        <v>322</v>
      </c>
      <c r="AX7" s="9" t="s">
        <v>323</v>
      </c>
      <c r="AY7" s="9" t="s">
        <v>324</v>
      </c>
      <c r="AZ7" s="9" t="s">
        <v>325</v>
      </c>
      <c r="BA7" s="9" t="s">
        <v>326</v>
      </c>
      <c r="BB7" s="9" t="s">
        <v>327</v>
      </c>
      <c r="BC7" s="9" t="s">
        <v>328</v>
      </c>
      <c r="BD7" s="9" t="s">
        <v>329</v>
      </c>
      <c r="BE7" s="29"/>
      <c r="BF7" s="29"/>
      <c r="BG7" s="29"/>
      <c r="BH7" s="29"/>
      <c r="BI7" s="29"/>
      <c r="BJ7" s="29"/>
      <c r="BK7" s="29"/>
      <c r="BL7" s="29"/>
    </row>
    <row r="8" customFormat="false" ht="115.65" hidden="false" customHeight="false" outlineLevel="0" collapsed="false">
      <c r="A8" s="9" t="s">
        <v>330</v>
      </c>
      <c r="B8" s="9" t="s">
        <v>84</v>
      </c>
      <c r="C8" s="9" t="s">
        <v>85</v>
      </c>
      <c r="D8" s="9" t="s">
        <v>86</v>
      </c>
      <c r="E8" s="9" t="s">
        <v>87</v>
      </c>
      <c r="F8" s="9" t="s">
        <v>331</v>
      </c>
      <c r="G8" s="28" t="s">
        <v>332</v>
      </c>
      <c r="H8" s="9" t="s">
        <v>90</v>
      </c>
      <c r="I8" s="9" t="s">
        <v>333</v>
      </c>
      <c r="J8" s="9" t="s">
        <v>334</v>
      </c>
      <c r="K8" s="9" t="s">
        <v>335</v>
      </c>
      <c r="L8" s="9" t="s">
        <v>336</v>
      </c>
      <c r="M8" s="9" t="s">
        <v>337</v>
      </c>
      <c r="N8" s="9" t="s">
        <v>338</v>
      </c>
      <c r="O8" s="9" t="s">
        <v>97</v>
      </c>
      <c r="P8" s="9" t="s">
        <v>339</v>
      </c>
      <c r="Q8" s="9" t="s">
        <v>99</v>
      </c>
      <c r="R8" s="9" t="s">
        <v>340</v>
      </c>
      <c r="S8" s="9" t="s">
        <v>341</v>
      </c>
      <c r="T8" s="9" t="s">
        <v>342</v>
      </c>
      <c r="U8" s="9" t="s">
        <v>343</v>
      </c>
      <c r="V8" s="9" t="s">
        <v>344</v>
      </c>
      <c r="W8" s="9" t="s">
        <v>345</v>
      </c>
      <c r="X8" s="9" t="s">
        <v>346</v>
      </c>
      <c r="Y8" s="9" t="s">
        <v>347</v>
      </c>
      <c r="Z8" s="9" t="s">
        <v>348</v>
      </c>
      <c r="AA8" s="9" t="s">
        <v>349</v>
      </c>
      <c r="AB8" s="9" t="s">
        <v>350</v>
      </c>
      <c r="AC8" s="9" t="s">
        <v>351</v>
      </c>
      <c r="AD8" s="9" t="s">
        <v>352</v>
      </c>
      <c r="AE8" s="9" t="s">
        <v>353</v>
      </c>
      <c r="AF8" s="9" t="s">
        <v>354</v>
      </c>
      <c r="AG8" s="9" t="s">
        <v>355</v>
      </c>
      <c r="AH8" s="9" t="s">
        <v>356</v>
      </c>
      <c r="AI8" s="9" t="s">
        <v>357</v>
      </c>
      <c r="AJ8" s="9" t="s">
        <v>358</v>
      </c>
      <c r="AK8" s="9" t="s">
        <v>359</v>
      </c>
      <c r="AL8" s="9" t="s">
        <v>360</v>
      </c>
      <c r="AM8" s="9" t="s">
        <v>361</v>
      </c>
      <c r="AN8" s="9" t="s">
        <v>362</v>
      </c>
      <c r="AO8" s="9" t="s">
        <v>363</v>
      </c>
      <c r="AP8" s="9" t="s">
        <v>364</v>
      </c>
      <c r="AQ8" s="9" t="s">
        <v>125</v>
      </c>
      <c r="AR8" s="9" t="s">
        <v>365</v>
      </c>
      <c r="AS8" s="9" t="s">
        <v>366</v>
      </c>
      <c r="AT8" s="9" t="s">
        <v>177</v>
      </c>
      <c r="AU8" s="9" t="s">
        <v>367</v>
      </c>
      <c r="AV8" s="9" t="s">
        <v>368</v>
      </c>
      <c r="AW8" s="9" t="s">
        <v>369</v>
      </c>
      <c r="AX8" s="9" t="s">
        <v>370</v>
      </c>
      <c r="AY8" s="9" t="s">
        <v>371</v>
      </c>
      <c r="AZ8" s="9" t="s">
        <v>372</v>
      </c>
      <c r="BA8" s="9" t="s">
        <v>373</v>
      </c>
      <c r="BB8" s="9" t="s">
        <v>374</v>
      </c>
      <c r="BC8" s="9" t="s">
        <v>375</v>
      </c>
      <c r="BD8" s="9" t="s">
        <v>376</v>
      </c>
      <c r="BE8" s="29"/>
      <c r="BF8" s="29"/>
      <c r="BG8" s="29"/>
      <c r="BH8" s="29"/>
      <c r="BI8" s="29"/>
      <c r="BJ8" s="29"/>
      <c r="BK8" s="29"/>
      <c r="BL8" s="29"/>
    </row>
    <row r="9" customFormat="false" ht="102.95" hidden="false" customHeight="false" outlineLevel="0" collapsed="false">
      <c r="A9" s="9" t="s">
        <v>377</v>
      </c>
      <c r="B9" s="9" t="s">
        <v>84</v>
      </c>
      <c r="C9" s="9" t="s">
        <v>85</v>
      </c>
      <c r="D9" s="9" t="s">
        <v>86</v>
      </c>
      <c r="E9" s="9" t="s">
        <v>87</v>
      </c>
      <c r="F9" s="9" t="s">
        <v>331</v>
      </c>
      <c r="G9" s="28" t="s">
        <v>378</v>
      </c>
      <c r="H9" s="9" t="s">
        <v>90</v>
      </c>
      <c r="I9" s="9" t="s">
        <v>379</v>
      </c>
      <c r="J9" s="9" t="s">
        <v>380</v>
      </c>
      <c r="K9" s="9" t="s">
        <v>381</v>
      </c>
      <c r="L9" s="9" t="s">
        <v>382</v>
      </c>
      <c r="M9" s="9" t="s">
        <v>383</v>
      </c>
      <c r="N9" s="9" t="s">
        <v>384</v>
      </c>
      <c r="O9" s="9" t="s">
        <v>97</v>
      </c>
      <c r="P9" s="9" t="s">
        <v>385</v>
      </c>
      <c r="Q9" s="9" t="s">
        <v>99</v>
      </c>
      <c r="R9" s="9" t="s">
        <v>386</v>
      </c>
      <c r="S9" s="9" t="s">
        <v>387</v>
      </c>
      <c r="T9" s="9" t="s">
        <v>388</v>
      </c>
      <c r="U9" s="9" t="s">
        <v>389</v>
      </c>
      <c r="V9" s="9" t="s">
        <v>390</v>
      </c>
      <c r="W9" s="9" t="s">
        <v>391</v>
      </c>
      <c r="X9" s="9" t="s">
        <v>392</v>
      </c>
      <c r="Y9" s="9" t="s">
        <v>393</v>
      </c>
      <c r="Z9" s="9" t="s">
        <v>394</v>
      </c>
      <c r="AA9" s="9" t="s">
        <v>395</v>
      </c>
      <c r="AB9" s="9" t="s">
        <v>396</v>
      </c>
      <c r="AC9" s="9" t="s">
        <v>397</v>
      </c>
      <c r="AD9" s="9" t="s">
        <v>398</v>
      </c>
      <c r="AE9" s="9" t="s">
        <v>399</v>
      </c>
      <c r="AF9" s="9" t="s">
        <v>400</v>
      </c>
      <c r="AG9" s="9" t="s">
        <v>401</v>
      </c>
      <c r="AH9" s="9" t="s">
        <v>402</v>
      </c>
      <c r="AI9" s="9" t="s">
        <v>403</v>
      </c>
      <c r="AJ9" s="9" t="s">
        <v>404</v>
      </c>
      <c r="AK9" s="9" t="s">
        <v>405</v>
      </c>
      <c r="AL9" s="9" t="s">
        <v>406</v>
      </c>
      <c r="AM9" s="9" t="s">
        <v>407</v>
      </c>
      <c r="AN9" s="9" t="s">
        <v>408</v>
      </c>
      <c r="AO9" s="9" t="s">
        <v>409</v>
      </c>
      <c r="AP9" s="9" t="s">
        <v>410</v>
      </c>
      <c r="AQ9" s="9" t="s">
        <v>411</v>
      </c>
      <c r="AR9" s="9" t="s">
        <v>412</v>
      </c>
      <c r="AS9" s="9" t="s">
        <v>413</v>
      </c>
      <c r="AT9" s="9" t="s">
        <v>414</v>
      </c>
      <c r="AU9" s="9" t="s">
        <v>415</v>
      </c>
      <c r="AV9" s="9" t="s">
        <v>416</v>
      </c>
      <c r="AW9" s="9" t="s">
        <v>417</v>
      </c>
      <c r="AX9" s="9" t="s">
        <v>418</v>
      </c>
      <c r="AY9" s="9" t="s">
        <v>419</v>
      </c>
      <c r="AZ9" s="9" t="s">
        <v>420</v>
      </c>
      <c r="BA9" s="9" t="s">
        <v>421</v>
      </c>
      <c r="BB9" s="9" t="s">
        <v>422</v>
      </c>
      <c r="BC9" s="9" t="s">
        <v>423</v>
      </c>
      <c r="BD9" s="9" t="s">
        <v>424</v>
      </c>
      <c r="BE9" s="29"/>
      <c r="BF9" s="29"/>
      <c r="BG9" s="29"/>
      <c r="BH9" s="29"/>
      <c r="BI9" s="29"/>
      <c r="BJ9" s="29"/>
      <c r="BK9" s="29"/>
      <c r="BL9" s="29"/>
    </row>
    <row r="10" customFormat="false" ht="128.35" hidden="false" customHeight="false" outlineLevel="0" collapsed="false">
      <c r="A10" s="9" t="s">
        <v>425</v>
      </c>
      <c r="B10" s="9" t="s">
        <v>84</v>
      </c>
      <c r="C10" s="9" t="s">
        <v>85</v>
      </c>
      <c r="D10" s="9" t="s">
        <v>86</v>
      </c>
      <c r="E10" s="9" t="s">
        <v>87</v>
      </c>
      <c r="F10" s="9" t="s">
        <v>426</v>
      </c>
      <c r="G10" s="28" t="s">
        <v>427</v>
      </c>
      <c r="H10" s="9" t="s">
        <v>90</v>
      </c>
      <c r="I10" s="9" t="s">
        <v>428</v>
      </c>
      <c r="J10" s="9" t="s">
        <v>429</v>
      </c>
      <c r="K10" s="9" t="s">
        <v>430</v>
      </c>
      <c r="L10" s="9" t="s">
        <v>431</v>
      </c>
      <c r="M10" s="9" t="s">
        <v>432</v>
      </c>
      <c r="N10" s="9" t="s">
        <v>433</v>
      </c>
      <c r="O10" s="9" t="s">
        <v>97</v>
      </c>
      <c r="P10" s="9" t="s">
        <v>434</v>
      </c>
      <c r="Q10" s="9" t="s">
        <v>99</v>
      </c>
      <c r="R10" s="9" t="s">
        <v>435</v>
      </c>
      <c r="S10" s="9" t="s">
        <v>436</v>
      </c>
      <c r="T10" s="9" t="s">
        <v>437</v>
      </c>
      <c r="U10" s="9" t="s">
        <v>438</v>
      </c>
      <c r="V10" s="9" t="s">
        <v>439</v>
      </c>
      <c r="W10" s="9" t="s">
        <v>440</v>
      </c>
      <c r="X10" s="9" t="s">
        <v>441</v>
      </c>
      <c r="Y10" s="9" t="s">
        <v>442</v>
      </c>
      <c r="Z10" s="9" t="s">
        <v>443</v>
      </c>
      <c r="AA10" s="9" t="s">
        <v>444</v>
      </c>
      <c r="AB10" s="9" t="s">
        <v>445</v>
      </c>
      <c r="AC10" s="9" t="s">
        <v>446</v>
      </c>
      <c r="AD10" s="9" t="s">
        <v>447</v>
      </c>
      <c r="AE10" s="9" t="s">
        <v>448</v>
      </c>
      <c r="AF10" s="9" t="s">
        <v>449</v>
      </c>
      <c r="AG10" s="9" t="s">
        <v>450</v>
      </c>
      <c r="AH10" s="9" t="s">
        <v>451</v>
      </c>
      <c r="AI10" s="9" t="s">
        <v>452</v>
      </c>
      <c r="AJ10" s="9" t="s">
        <v>453</v>
      </c>
      <c r="AK10" s="9" t="s">
        <v>454</v>
      </c>
      <c r="AL10" s="9" t="s">
        <v>455</v>
      </c>
      <c r="AM10" s="9" t="s">
        <v>456</v>
      </c>
      <c r="AN10" s="9" t="s">
        <v>457</v>
      </c>
      <c r="AO10" s="9" t="s">
        <v>458</v>
      </c>
      <c r="AP10" s="9" t="s">
        <v>459</v>
      </c>
      <c r="AQ10" s="9" t="s">
        <v>460</v>
      </c>
      <c r="AR10" s="9" t="s">
        <v>461</v>
      </c>
      <c r="AS10" s="9" t="s">
        <v>462</v>
      </c>
      <c r="AT10" s="9" t="s">
        <v>414</v>
      </c>
      <c r="AU10" s="9" t="s">
        <v>463</v>
      </c>
      <c r="AV10" s="9" t="s">
        <v>464</v>
      </c>
      <c r="AW10" s="9" t="s">
        <v>465</v>
      </c>
      <c r="AX10" s="9" t="s">
        <v>466</v>
      </c>
      <c r="AY10" s="9" t="s">
        <v>467</v>
      </c>
      <c r="AZ10" s="9" t="s">
        <v>468</v>
      </c>
      <c r="BA10" s="9" t="s">
        <v>469</v>
      </c>
      <c r="BB10" s="9" t="s">
        <v>470</v>
      </c>
      <c r="BC10" s="9" t="s">
        <v>471</v>
      </c>
      <c r="BD10" s="9" t="s">
        <v>472</v>
      </c>
      <c r="BE10" s="29"/>
      <c r="BF10" s="29"/>
      <c r="BG10" s="29"/>
      <c r="BH10" s="29"/>
      <c r="BI10" s="29"/>
      <c r="BJ10" s="29"/>
      <c r="BK10" s="29"/>
      <c r="BL10" s="29"/>
    </row>
    <row r="11" customFormat="false" ht="102.95" hidden="false" customHeight="false" outlineLevel="0" collapsed="false">
      <c r="A11" s="9" t="s">
        <v>473</v>
      </c>
      <c r="B11" s="9" t="s">
        <v>84</v>
      </c>
      <c r="C11" s="9" t="s">
        <v>85</v>
      </c>
      <c r="D11" s="9" t="s">
        <v>188</v>
      </c>
      <c r="E11" s="9" t="s">
        <v>87</v>
      </c>
      <c r="F11" s="9" t="s">
        <v>236</v>
      </c>
      <c r="G11" s="28" t="s">
        <v>474</v>
      </c>
      <c r="H11" s="9" t="s">
        <v>90</v>
      </c>
      <c r="I11" s="9" t="s">
        <v>475</v>
      </c>
      <c r="J11" s="9" t="s">
        <v>476</v>
      </c>
      <c r="K11" s="9" t="s">
        <v>477</v>
      </c>
      <c r="L11" s="9" t="s">
        <v>478</v>
      </c>
      <c r="M11" s="9" t="s">
        <v>479</v>
      </c>
      <c r="N11" s="9" t="s">
        <v>480</v>
      </c>
      <c r="O11" s="9" t="s">
        <v>97</v>
      </c>
      <c r="P11" s="9" t="s">
        <v>481</v>
      </c>
      <c r="Q11" s="9" t="s">
        <v>99</v>
      </c>
      <c r="R11" s="9" t="s">
        <v>482</v>
      </c>
      <c r="S11" s="9" t="s">
        <v>483</v>
      </c>
      <c r="T11" s="9" t="s">
        <v>484</v>
      </c>
      <c r="U11" s="9" t="s">
        <v>485</v>
      </c>
      <c r="V11" s="9" t="s">
        <v>486</v>
      </c>
      <c r="W11" s="9" t="s">
        <v>487</v>
      </c>
      <c r="X11" s="9" t="s">
        <v>488</v>
      </c>
      <c r="Y11" s="9" t="s">
        <v>489</v>
      </c>
      <c r="Z11" s="9" t="s">
        <v>490</v>
      </c>
      <c r="AA11" s="9" t="s">
        <v>491</v>
      </c>
      <c r="AB11" s="9" t="s">
        <v>492</v>
      </c>
      <c r="AC11" s="9" t="s">
        <v>493</v>
      </c>
      <c r="AD11" s="9" t="s">
        <v>494</v>
      </c>
      <c r="AE11" s="9" t="s">
        <v>495</v>
      </c>
      <c r="AF11" s="9" t="s">
        <v>496</v>
      </c>
      <c r="AG11" s="9" t="s">
        <v>497</v>
      </c>
      <c r="AH11" s="9" t="s">
        <v>498</v>
      </c>
      <c r="AI11" s="9" t="s">
        <v>499</v>
      </c>
      <c r="AJ11" s="9" t="s">
        <v>500</v>
      </c>
      <c r="AK11" s="9" t="s">
        <v>501</v>
      </c>
      <c r="AL11" s="9" t="s">
        <v>502</v>
      </c>
      <c r="AM11" s="9" t="s">
        <v>503</v>
      </c>
      <c r="AN11" s="9" t="s">
        <v>504</v>
      </c>
      <c r="AO11" s="9" t="s">
        <v>505</v>
      </c>
      <c r="AP11" s="9" t="s">
        <v>506</v>
      </c>
      <c r="AQ11" s="9" t="s">
        <v>507</v>
      </c>
      <c r="AR11" s="9" t="s">
        <v>508</v>
      </c>
      <c r="AS11" s="9" t="s">
        <v>509</v>
      </c>
      <c r="AT11" s="9" t="s">
        <v>128</v>
      </c>
      <c r="AU11" s="9" t="s">
        <v>510</v>
      </c>
      <c r="AV11" s="9" t="s">
        <v>511</v>
      </c>
      <c r="AW11" s="9" t="s">
        <v>512</v>
      </c>
      <c r="AX11" s="9" t="s">
        <v>513</v>
      </c>
      <c r="AY11" s="9" t="s">
        <v>514</v>
      </c>
      <c r="AZ11" s="9" t="s">
        <v>515</v>
      </c>
      <c r="BA11" s="9" t="s">
        <v>516</v>
      </c>
      <c r="BB11" s="9" t="s">
        <v>517</v>
      </c>
      <c r="BC11" s="9" t="s">
        <v>518</v>
      </c>
      <c r="BD11" s="9" t="s">
        <v>519</v>
      </c>
      <c r="BE11" s="29"/>
      <c r="BF11" s="29"/>
      <c r="BG11" s="29"/>
      <c r="BH11" s="29"/>
      <c r="BI11" s="29"/>
      <c r="BJ11" s="29"/>
      <c r="BK11" s="29"/>
      <c r="BL11" s="29"/>
    </row>
    <row r="12" customFormat="false" ht="128.35" hidden="false" customHeight="false" outlineLevel="0" collapsed="false">
      <c r="A12" s="9" t="s">
        <v>520</v>
      </c>
      <c r="B12" s="9" t="s">
        <v>84</v>
      </c>
      <c r="C12" s="9" t="s">
        <v>85</v>
      </c>
      <c r="D12" s="9" t="s">
        <v>86</v>
      </c>
      <c r="E12" s="9" t="s">
        <v>87</v>
      </c>
      <c r="F12" s="9" t="s">
        <v>140</v>
      </c>
      <c r="G12" s="28" t="s">
        <v>521</v>
      </c>
      <c r="H12" s="9" t="s">
        <v>90</v>
      </c>
      <c r="I12" s="9" t="s">
        <v>522</v>
      </c>
      <c r="J12" s="9" t="s">
        <v>523</v>
      </c>
      <c r="K12" s="9" t="s">
        <v>524</v>
      </c>
      <c r="L12" s="9" t="s">
        <v>525</v>
      </c>
      <c r="M12" s="9" t="s">
        <v>526</v>
      </c>
      <c r="N12" s="9" t="s">
        <v>527</v>
      </c>
      <c r="O12" s="9" t="s">
        <v>97</v>
      </c>
      <c r="P12" s="9" t="s">
        <v>528</v>
      </c>
      <c r="Q12" s="9" t="s">
        <v>99</v>
      </c>
      <c r="R12" s="9" t="s">
        <v>529</v>
      </c>
      <c r="S12" s="9" t="s">
        <v>530</v>
      </c>
      <c r="T12" s="9" t="s">
        <v>531</v>
      </c>
      <c r="U12" s="9" t="s">
        <v>532</v>
      </c>
      <c r="V12" s="9" t="s">
        <v>533</v>
      </c>
      <c r="W12" s="9" t="s">
        <v>534</v>
      </c>
      <c r="X12" s="9" t="s">
        <v>535</v>
      </c>
      <c r="Y12" s="9" t="s">
        <v>536</v>
      </c>
      <c r="Z12" s="9" t="s">
        <v>537</v>
      </c>
      <c r="AA12" s="9" t="s">
        <v>538</v>
      </c>
      <c r="AB12" s="9" t="s">
        <v>539</v>
      </c>
      <c r="AC12" s="9" t="s">
        <v>540</v>
      </c>
      <c r="AD12" s="9" t="s">
        <v>541</v>
      </c>
      <c r="AE12" s="9" t="s">
        <v>542</v>
      </c>
      <c r="AF12" s="9" t="s">
        <v>543</v>
      </c>
      <c r="AG12" s="9" t="s">
        <v>544</v>
      </c>
      <c r="AH12" s="9" t="s">
        <v>545</v>
      </c>
      <c r="AI12" s="9" t="s">
        <v>546</v>
      </c>
      <c r="AJ12" s="9" t="s">
        <v>547</v>
      </c>
      <c r="AK12" s="9" t="s">
        <v>548</v>
      </c>
      <c r="AL12" s="9" t="s">
        <v>549</v>
      </c>
      <c r="AM12" s="9" t="s">
        <v>550</v>
      </c>
      <c r="AN12" s="9" t="s">
        <v>551</v>
      </c>
      <c r="AO12" s="9" t="s">
        <v>552</v>
      </c>
      <c r="AP12" s="9" t="s">
        <v>553</v>
      </c>
      <c r="AQ12" s="9" t="s">
        <v>554</v>
      </c>
      <c r="AR12" s="9" t="s">
        <v>555</v>
      </c>
      <c r="AS12" s="9" t="s">
        <v>556</v>
      </c>
      <c r="AT12" s="9" t="s">
        <v>128</v>
      </c>
      <c r="AU12" s="9" t="s">
        <v>557</v>
      </c>
      <c r="AV12" s="9" t="s">
        <v>558</v>
      </c>
      <c r="AW12" s="9" t="s">
        <v>559</v>
      </c>
      <c r="AX12" s="9" t="s">
        <v>560</v>
      </c>
      <c r="AY12" s="9" t="s">
        <v>561</v>
      </c>
      <c r="AZ12" s="9" t="s">
        <v>562</v>
      </c>
      <c r="BA12" s="9" t="s">
        <v>563</v>
      </c>
      <c r="BB12" s="9" t="s">
        <v>564</v>
      </c>
      <c r="BC12" s="9" t="s">
        <v>565</v>
      </c>
      <c r="BD12" s="9" t="s">
        <v>566</v>
      </c>
      <c r="BE12" s="29"/>
      <c r="BF12" s="29"/>
      <c r="BG12" s="29"/>
      <c r="BH12" s="29"/>
      <c r="BI12" s="29"/>
      <c r="BJ12" s="29"/>
      <c r="BK12" s="29"/>
      <c r="BL12" s="29"/>
    </row>
    <row r="13" customFormat="false" ht="102.95" hidden="false" customHeight="false" outlineLevel="0" collapsed="false">
      <c r="A13" s="9" t="s">
        <v>567</v>
      </c>
      <c r="B13" s="9" t="s">
        <v>84</v>
      </c>
      <c r="C13" s="9" t="s">
        <v>85</v>
      </c>
      <c r="D13" s="9" t="s">
        <v>86</v>
      </c>
      <c r="E13" s="9" t="s">
        <v>87</v>
      </c>
      <c r="F13" s="9" t="s">
        <v>88</v>
      </c>
      <c r="G13" s="28" t="s">
        <v>568</v>
      </c>
      <c r="H13" s="9" t="s">
        <v>90</v>
      </c>
      <c r="I13" s="9" t="s">
        <v>569</v>
      </c>
      <c r="J13" s="9" t="s">
        <v>570</v>
      </c>
      <c r="K13" s="9" t="s">
        <v>571</v>
      </c>
      <c r="L13" s="9" t="s">
        <v>572</v>
      </c>
      <c r="M13" s="9" t="s">
        <v>573</v>
      </c>
      <c r="N13" s="9" t="s">
        <v>574</v>
      </c>
      <c r="O13" s="9" t="s">
        <v>575</v>
      </c>
      <c r="P13" s="9" t="s">
        <v>576</v>
      </c>
      <c r="Q13" s="9" t="s">
        <v>99</v>
      </c>
      <c r="R13" s="9" t="s">
        <v>577</v>
      </c>
      <c r="S13" s="9" t="s">
        <v>578</v>
      </c>
      <c r="T13" s="9" t="s">
        <v>579</v>
      </c>
      <c r="U13" s="9" t="s">
        <v>580</v>
      </c>
      <c r="V13" s="9" t="s">
        <v>581</v>
      </c>
      <c r="W13" s="9" t="s">
        <v>582</v>
      </c>
      <c r="X13" s="9" t="s">
        <v>583</v>
      </c>
      <c r="Y13" s="9" t="s">
        <v>584</v>
      </c>
      <c r="Z13" s="9" t="s">
        <v>585</v>
      </c>
      <c r="AA13" s="9" t="s">
        <v>586</v>
      </c>
      <c r="AB13" s="9" t="s">
        <v>587</v>
      </c>
      <c r="AC13" s="9" t="s">
        <v>588</v>
      </c>
      <c r="AD13" s="9" t="s">
        <v>589</v>
      </c>
      <c r="AE13" s="9" t="s">
        <v>590</v>
      </c>
      <c r="AF13" s="9" t="s">
        <v>591</v>
      </c>
      <c r="AG13" s="9" t="s">
        <v>592</v>
      </c>
      <c r="AH13" s="9" t="s">
        <v>593</v>
      </c>
      <c r="AI13" s="9" t="s">
        <v>594</v>
      </c>
      <c r="AJ13" s="9" t="s">
        <v>595</v>
      </c>
      <c r="AK13" s="9" t="s">
        <v>596</v>
      </c>
      <c r="AL13" s="9" t="s">
        <v>597</v>
      </c>
      <c r="AM13" s="9" t="s">
        <v>598</v>
      </c>
      <c r="AN13" s="9" t="s">
        <v>599</v>
      </c>
      <c r="AO13" s="9" t="s">
        <v>600</v>
      </c>
      <c r="AP13" s="9" t="s">
        <v>601</v>
      </c>
      <c r="AQ13" s="9" t="s">
        <v>602</v>
      </c>
      <c r="AR13" s="9" t="s">
        <v>603</v>
      </c>
      <c r="AS13" s="9" t="s">
        <v>604</v>
      </c>
      <c r="AT13" s="9" t="s">
        <v>414</v>
      </c>
      <c r="AU13" s="9" t="s">
        <v>605</v>
      </c>
      <c r="AV13" s="9" t="s">
        <v>606</v>
      </c>
      <c r="AW13" s="9" t="s">
        <v>607</v>
      </c>
      <c r="AX13" s="9" t="s">
        <v>608</v>
      </c>
      <c r="AY13" s="9" t="s">
        <v>568</v>
      </c>
      <c r="AZ13" s="9" t="s">
        <v>609</v>
      </c>
      <c r="BA13" s="9" t="s">
        <v>610</v>
      </c>
      <c r="BB13" s="9" t="s">
        <v>611</v>
      </c>
      <c r="BC13" s="9" t="s">
        <v>612</v>
      </c>
      <c r="BD13" s="9" t="s">
        <v>613</v>
      </c>
      <c r="BE13" s="29"/>
      <c r="BF13" s="29"/>
      <c r="BG13" s="29"/>
      <c r="BH13" s="29"/>
      <c r="BI13" s="29"/>
      <c r="BJ13" s="29"/>
      <c r="BK13" s="29"/>
      <c r="BL13" s="29"/>
    </row>
    <row r="14" customFormat="false" ht="102.95" hidden="false" customHeight="false" outlineLevel="0" collapsed="false">
      <c r="A14" s="9" t="s">
        <v>614</v>
      </c>
      <c r="B14" s="9" t="s">
        <v>84</v>
      </c>
      <c r="C14" s="9" t="s">
        <v>85</v>
      </c>
      <c r="D14" s="9" t="s">
        <v>86</v>
      </c>
      <c r="E14" s="9" t="s">
        <v>87</v>
      </c>
      <c r="F14" s="9" t="s">
        <v>236</v>
      </c>
      <c r="G14" s="28" t="s">
        <v>615</v>
      </c>
      <c r="H14" s="9" t="s">
        <v>90</v>
      </c>
      <c r="I14" s="9" t="s">
        <v>616</v>
      </c>
      <c r="J14" s="9" t="s">
        <v>617</v>
      </c>
      <c r="K14" s="9" t="s">
        <v>618</v>
      </c>
      <c r="L14" s="9" t="s">
        <v>619</v>
      </c>
      <c r="M14" s="9" t="s">
        <v>620</v>
      </c>
      <c r="N14" s="9" t="s">
        <v>621</v>
      </c>
      <c r="O14" s="9" t="s">
        <v>97</v>
      </c>
      <c r="P14" s="9" t="s">
        <v>622</v>
      </c>
      <c r="Q14" s="9" t="s">
        <v>291</v>
      </c>
      <c r="R14" s="9" t="s">
        <v>623</v>
      </c>
      <c r="S14" s="9" t="s">
        <v>624</v>
      </c>
      <c r="T14" s="9" t="s">
        <v>625</v>
      </c>
      <c r="U14" s="9" t="s">
        <v>626</v>
      </c>
      <c r="V14" s="9" t="s">
        <v>627</v>
      </c>
      <c r="W14" s="9" t="s">
        <v>628</v>
      </c>
      <c r="X14" s="9" t="s">
        <v>629</v>
      </c>
      <c r="Y14" s="9" t="s">
        <v>630</v>
      </c>
      <c r="Z14" s="9" t="s">
        <v>631</v>
      </c>
      <c r="AA14" s="9" t="s">
        <v>632</v>
      </c>
      <c r="AB14" s="9" t="s">
        <v>633</v>
      </c>
      <c r="AC14" s="9" t="s">
        <v>634</v>
      </c>
      <c r="AD14" s="9" t="s">
        <v>635</v>
      </c>
      <c r="AE14" s="9" t="s">
        <v>636</v>
      </c>
      <c r="AF14" s="9" t="s">
        <v>637</v>
      </c>
      <c r="AG14" s="9" t="s">
        <v>638</v>
      </c>
      <c r="AH14" s="9" t="s">
        <v>639</v>
      </c>
      <c r="AI14" s="9" t="s">
        <v>640</v>
      </c>
      <c r="AJ14" s="9" t="s">
        <v>641</v>
      </c>
      <c r="AK14" s="9" t="s">
        <v>642</v>
      </c>
      <c r="AL14" s="9" t="s">
        <v>643</v>
      </c>
      <c r="AM14" s="9" t="s">
        <v>644</v>
      </c>
      <c r="AN14" s="9" t="s">
        <v>645</v>
      </c>
      <c r="AO14" s="9" t="s">
        <v>646</v>
      </c>
      <c r="AP14" s="9" t="s">
        <v>647</v>
      </c>
      <c r="AQ14" s="9" t="s">
        <v>648</v>
      </c>
      <c r="AR14" s="9" t="s">
        <v>649</v>
      </c>
      <c r="AS14" s="9" t="s">
        <v>650</v>
      </c>
      <c r="AT14" s="9" t="s">
        <v>414</v>
      </c>
      <c r="AU14" s="9" t="s">
        <v>651</v>
      </c>
      <c r="AV14" s="9" t="s">
        <v>652</v>
      </c>
      <c r="AW14" s="9" t="s">
        <v>653</v>
      </c>
      <c r="AX14" s="9" t="s">
        <v>654</v>
      </c>
      <c r="AY14" s="9" t="s">
        <v>655</v>
      </c>
      <c r="AZ14" s="9" t="s">
        <v>656</v>
      </c>
      <c r="BA14" s="9" t="s">
        <v>657</v>
      </c>
      <c r="BB14" s="9" t="s">
        <v>658</v>
      </c>
      <c r="BC14" s="9" t="s">
        <v>659</v>
      </c>
      <c r="BD14" s="9" t="s">
        <v>660</v>
      </c>
      <c r="BE14" s="29"/>
      <c r="BF14" s="29"/>
      <c r="BG14" s="29"/>
      <c r="BH14" s="29"/>
      <c r="BI14" s="29"/>
      <c r="BJ14" s="29"/>
      <c r="BK14" s="29"/>
      <c r="BL14" s="29"/>
    </row>
    <row r="15" customFormat="false" ht="102.95" hidden="false" customHeight="false" outlineLevel="0" collapsed="false">
      <c r="A15" s="9" t="s">
        <v>661</v>
      </c>
      <c r="B15" s="9" t="s">
        <v>84</v>
      </c>
      <c r="C15" s="9" t="s">
        <v>85</v>
      </c>
      <c r="D15" s="9" t="s">
        <v>86</v>
      </c>
      <c r="E15" s="9" t="s">
        <v>87</v>
      </c>
      <c r="F15" s="9" t="s">
        <v>662</v>
      </c>
      <c r="G15" s="28" t="s">
        <v>663</v>
      </c>
      <c r="H15" s="9" t="s">
        <v>90</v>
      </c>
      <c r="I15" s="9" t="s">
        <v>664</v>
      </c>
      <c r="J15" s="9" t="s">
        <v>665</v>
      </c>
      <c r="K15" s="9" t="s">
        <v>666</v>
      </c>
      <c r="L15" s="9" t="s">
        <v>667</v>
      </c>
      <c r="M15" s="9" t="s">
        <v>668</v>
      </c>
      <c r="N15" s="9" t="s">
        <v>669</v>
      </c>
      <c r="O15" s="9" t="s">
        <v>97</v>
      </c>
      <c r="P15" s="9" t="s">
        <v>670</v>
      </c>
      <c r="Q15" s="9" t="s">
        <v>99</v>
      </c>
      <c r="R15" s="9" t="s">
        <v>671</v>
      </c>
      <c r="S15" s="9" t="s">
        <v>672</v>
      </c>
      <c r="T15" s="9" t="s">
        <v>673</v>
      </c>
      <c r="U15" s="9" t="s">
        <v>674</v>
      </c>
      <c r="V15" s="9" t="s">
        <v>675</v>
      </c>
      <c r="W15" s="9" t="s">
        <v>676</v>
      </c>
      <c r="X15" s="9" t="s">
        <v>677</v>
      </c>
      <c r="Y15" s="9" t="s">
        <v>678</v>
      </c>
      <c r="Z15" s="9" t="s">
        <v>679</v>
      </c>
      <c r="AA15" s="9" t="s">
        <v>680</v>
      </c>
      <c r="AB15" s="9" t="s">
        <v>681</v>
      </c>
      <c r="AC15" s="9" t="s">
        <v>682</v>
      </c>
      <c r="AD15" s="9" t="s">
        <v>683</v>
      </c>
      <c r="AE15" s="9" t="s">
        <v>684</v>
      </c>
      <c r="AF15" s="9" t="s">
        <v>685</v>
      </c>
      <c r="AG15" s="9" t="s">
        <v>686</v>
      </c>
      <c r="AH15" s="9" t="s">
        <v>687</v>
      </c>
      <c r="AI15" s="9" t="s">
        <v>688</v>
      </c>
      <c r="AJ15" s="9" t="s">
        <v>689</v>
      </c>
      <c r="AK15" s="9" t="s">
        <v>690</v>
      </c>
      <c r="AL15" s="9" t="s">
        <v>691</v>
      </c>
      <c r="AM15" s="9" t="s">
        <v>692</v>
      </c>
      <c r="AN15" s="9" t="s">
        <v>693</v>
      </c>
      <c r="AO15" s="9" t="s">
        <v>694</v>
      </c>
      <c r="AP15" s="9" t="s">
        <v>695</v>
      </c>
      <c r="AQ15" s="9" t="s">
        <v>696</v>
      </c>
      <c r="AR15" s="9" t="s">
        <v>697</v>
      </c>
      <c r="AS15" s="9" t="s">
        <v>698</v>
      </c>
      <c r="AT15" s="9" t="s">
        <v>699</v>
      </c>
      <c r="AU15" s="9" t="s">
        <v>700</v>
      </c>
      <c r="AV15" s="9" t="s">
        <v>701</v>
      </c>
      <c r="AW15" s="9" t="s">
        <v>702</v>
      </c>
      <c r="AX15" s="9" t="s">
        <v>703</v>
      </c>
      <c r="AY15" s="9" t="s">
        <v>704</v>
      </c>
      <c r="AZ15" s="9" t="s">
        <v>705</v>
      </c>
      <c r="BA15" s="9" t="s">
        <v>706</v>
      </c>
      <c r="BB15" s="9" t="s">
        <v>707</v>
      </c>
      <c r="BC15" s="9" t="s">
        <v>708</v>
      </c>
      <c r="BD15" s="9" t="s">
        <v>709</v>
      </c>
      <c r="BE15" s="29"/>
      <c r="BF15" s="29"/>
      <c r="BG15" s="29"/>
      <c r="BH15" s="29"/>
      <c r="BI15" s="29"/>
      <c r="BJ15" s="29"/>
      <c r="BK15" s="29"/>
      <c r="BL15" s="29"/>
    </row>
    <row r="16" customFormat="false" ht="102.95" hidden="false" customHeight="false" outlineLevel="0" collapsed="false">
      <c r="A16" s="9" t="s">
        <v>710</v>
      </c>
      <c r="B16" s="9" t="s">
        <v>84</v>
      </c>
      <c r="C16" s="9" t="s">
        <v>85</v>
      </c>
      <c r="D16" s="9" t="s">
        <v>86</v>
      </c>
      <c r="E16" s="9" t="s">
        <v>87</v>
      </c>
      <c r="F16" s="9" t="s">
        <v>662</v>
      </c>
      <c r="G16" s="28" t="s">
        <v>711</v>
      </c>
      <c r="H16" s="9" t="s">
        <v>90</v>
      </c>
      <c r="I16" s="9" t="s">
        <v>712</v>
      </c>
      <c r="J16" s="9" t="s">
        <v>713</v>
      </c>
      <c r="K16" s="9" t="s">
        <v>714</v>
      </c>
      <c r="L16" s="9" t="s">
        <v>715</v>
      </c>
      <c r="M16" s="9" t="s">
        <v>716</v>
      </c>
      <c r="N16" s="9" t="s">
        <v>717</v>
      </c>
      <c r="O16" s="9" t="s">
        <v>575</v>
      </c>
      <c r="P16" s="9" t="s">
        <v>718</v>
      </c>
      <c r="Q16" s="9" t="s">
        <v>291</v>
      </c>
      <c r="R16" s="9" t="s">
        <v>719</v>
      </c>
      <c r="S16" s="9" t="s">
        <v>720</v>
      </c>
      <c r="T16" s="9" t="s">
        <v>721</v>
      </c>
      <c r="U16" s="9" t="s">
        <v>722</v>
      </c>
      <c r="V16" s="9" t="s">
        <v>723</v>
      </c>
      <c r="W16" s="9" t="s">
        <v>724</v>
      </c>
      <c r="X16" s="9" t="s">
        <v>725</v>
      </c>
      <c r="Y16" s="9" t="s">
        <v>726</v>
      </c>
      <c r="Z16" s="9" t="s">
        <v>727</v>
      </c>
      <c r="AA16" s="9" t="s">
        <v>728</v>
      </c>
      <c r="AB16" s="9" t="s">
        <v>729</v>
      </c>
      <c r="AC16" s="9" t="s">
        <v>730</v>
      </c>
      <c r="AD16" s="9" t="s">
        <v>731</v>
      </c>
      <c r="AE16" s="9" t="s">
        <v>732</v>
      </c>
      <c r="AF16" s="9" t="s">
        <v>733</v>
      </c>
      <c r="AG16" s="9" t="s">
        <v>734</v>
      </c>
      <c r="AH16" s="9" t="s">
        <v>735</v>
      </c>
      <c r="AI16" s="9" t="s">
        <v>736</v>
      </c>
      <c r="AJ16" s="9" t="s">
        <v>737</v>
      </c>
      <c r="AK16" s="9" t="s">
        <v>738</v>
      </c>
      <c r="AL16" s="9" t="s">
        <v>739</v>
      </c>
      <c r="AM16" s="9" t="s">
        <v>740</v>
      </c>
      <c r="AN16" s="9" t="s">
        <v>741</v>
      </c>
      <c r="AO16" s="9" t="s">
        <v>742</v>
      </c>
      <c r="AP16" s="9" t="s">
        <v>743</v>
      </c>
      <c r="AQ16" s="9" t="s">
        <v>744</v>
      </c>
      <c r="AR16" s="9" t="s">
        <v>745</v>
      </c>
      <c r="AS16" s="9" t="s">
        <v>746</v>
      </c>
      <c r="AT16" s="9" t="s">
        <v>414</v>
      </c>
      <c r="AU16" s="9" t="s">
        <v>747</v>
      </c>
      <c r="AV16" s="9" t="s">
        <v>748</v>
      </c>
      <c r="AW16" s="9" t="s">
        <v>749</v>
      </c>
      <c r="AX16" s="9" t="s">
        <v>750</v>
      </c>
      <c r="AY16" s="9" t="s">
        <v>751</v>
      </c>
      <c r="AZ16" s="9" t="s">
        <v>752</v>
      </c>
      <c r="BA16" s="9" t="s">
        <v>753</v>
      </c>
      <c r="BB16" s="9" t="s">
        <v>754</v>
      </c>
      <c r="BC16" s="9" t="s">
        <v>755</v>
      </c>
      <c r="BD16" s="9" t="s">
        <v>756</v>
      </c>
      <c r="BE16" s="29"/>
      <c r="BF16" s="29"/>
      <c r="BG16" s="29"/>
      <c r="BH16" s="29"/>
      <c r="BI16" s="29"/>
      <c r="BJ16" s="29"/>
      <c r="BK16" s="29"/>
      <c r="BL16" s="29"/>
    </row>
    <row r="17" customFormat="false" ht="115.65" hidden="false" customHeight="false" outlineLevel="0" collapsed="false">
      <c r="A17" s="9" t="s">
        <v>757</v>
      </c>
      <c r="B17" s="9" t="s">
        <v>84</v>
      </c>
      <c r="C17" s="9" t="s">
        <v>85</v>
      </c>
      <c r="D17" s="9" t="s">
        <v>86</v>
      </c>
      <c r="E17" s="9" t="s">
        <v>758</v>
      </c>
      <c r="F17" s="9" t="s">
        <v>88</v>
      </c>
      <c r="G17" s="28" t="s">
        <v>759</v>
      </c>
      <c r="H17" s="9" t="s">
        <v>760</v>
      </c>
      <c r="I17" s="9" t="s">
        <v>761</v>
      </c>
      <c r="J17" s="9" t="s">
        <v>762</v>
      </c>
      <c r="K17" s="9" t="s">
        <v>763</v>
      </c>
      <c r="L17" s="9" t="s">
        <v>764</v>
      </c>
      <c r="M17" s="9" t="s">
        <v>765</v>
      </c>
      <c r="N17" s="9" t="s">
        <v>766</v>
      </c>
      <c r="O17" s="9" t="s">
        <v>97</v>
      </c>
      <c r="P17" s="9" t="s">
        <v>767</v>
      </c>
      <c r="Q17" s="9" t="s">
        <v>291</v>
      </c>
      <c r="R17" s="9" t="s">
        <v>768</v>
      </c>
      <c r="S17" s="9" t="s">
        <v>769</v>
      </c>
      <c r="T17" s="9" t="s">
        <v>770</v>
      </c>
      <c r="U17" s="9" t="s">
        <v>771</v>
      </c>
      <c r="V17" s="9" t="s">
        <v>772</v>
      </c>
      <c r="W17" s="9" t="s">
        <v>773</v>
      </c>
      <c r="X17" s="9" t="s">
        <v>774</v>
      </c>
      <c r="Y17" s="9" t="s">
        <v>775</v>
      </c>
      <c r="Z17" s="9" t="s">
        <v>776</v>
      </c>
      <c r="AA17" s="9" t="s">
        <v>777</v>
      </c>
      <c r="AB17" s="9" t="s">
        <v>778</v>
      </c>
      <c r="AC17" s="9" t="s">
        <v>779</v>
      </c>
      <c r="AD17" s="9" t="s">
        <v>780</v>
      </c>
      <c r="AE17" s="9" t="s">
        <v>781</v>
      </c>
      <c r="AF17" s="9" t="s">
        <v>782</v>
      </c>
      <c r="AG17" s="9" t="s">
        <v>783</v>
      </c>
      <c r="AH17" s="9" t="s">
        <v>784</v>
      </c>
      <c r="AI17" s="9" t="s">
        <v>785</v>
      </c>
      <c r="AJ17" s="9" t="s">
        <v>786</v>
      </c>
      <c r="AK17" s="9" t="s">
        <v>787</v>
      </c>
      <c r="AL17" s="9" t="s">
        <v>788</v>
      </c>
      <c r="AM17" s="9" t="s">
        <v>789</v>
      </c>
      <c r="AN17" s="9" t="s">
        <v>790</v>
      </c>
      <c r="AO17" s="9" t="s">
        <v>791</v>
      </c>
      <c r="AP17" s="9" t="s">
        <v>792</v>
      </c>
      <c r="AQ17" s="9" t="s">
        <v>793</v>
      </c>
      <c r="AR17" s="9" t="s">
        <v>794</v>
      </c>
      <c r="AS17" s="9" t="s">
        <v>795</v>
      </c>
      <c r="AT17" s="9" t="s">
        <v>128</v>
      </c>
      <c r="AU17" s="9" t="s">
        <v>796</v>
      </c>
      <c r="AV17" s="9" t="s">
        <v>797</v>
      </c>
      <c r="AW17" s="9" t="s">
        <v>798</v>
      </c>
      <c r="AX17" s="9" t="s">
        <v>799</v>
      </c>
      <c r="AY17" s="9" t="s">
        <v>800</v>
      </c>
      <c r="AZ17" s="9" t="s">
        <v>801</v>
      </c>
      <c r="BA17" s="9" t="s">
        <v>802</v>
      </c>
      <c r="BB17" s="9" t="s">
        <v>803</v>
      </c>
      <c r="BC17" s="9" t="s">
        <v>804</v>
      </c>
      <c r="BD17" s="9" t="s">
        <v>805</v>
      </c>
      <c r="BE17" s="29"/>
      <c r="BF17" s="29"/>
      <c r="BG17" s="29"/>
      <c r="BH17" s="29"/>
      <c r="BI17" s="29"/>
      <c r="BJ17" s="29"/>
      <c r="BK17" s="29"/>
      <c r="BL17" s="29"/>
    </row>
    <row r="18" customFormat="false" ht="102.95" hidden="false" customHeight="false" outlineLevel="0" collapsed="false">
      <c r="A18" s="9" t="s">
        <v>806</v>
      </c>
      <c r="B18" s="9" t="s">
        <v>84</v>
      </c>
      <c r="C18" s="9" t="s">
        <v>85</v>
      </c>
      <c r="D18" s="9" t="s">
        <v>86</v>
      </c>
      <c r="E18" s="9" t="s">
        <v>758</v>
      </c>
      <c r="F18" s="9" t="s">
        <v>88</v>
      </c>
      <c r="G18" s="28" t="s">
        <v>807</v>
      </c>
      <c r="H18" s="9" t="s">
        <v>760</v>
      </c>
      <c r="I18" s="9" t="s">
        <v>808</v>
      </c>
      <c r="J18" s="9" t="s">
        <v>809</v>
      </c>
      <c r="K18" s="9" t="s">
        <v>810</v>
      </c>
      <c r="L18" s="9" t="s">
        <v>811</v>
      </c>
      <c r="M18" s="9" t="s">
        <v>812</v>
      </c>
      <c r="N18" s="9" t="s">
        <v>813</v>
      </c>
      <c r="O18" s="9" t="s">
        <v>97</v>
      </c>
      <c r="P18" s="9" t="s">
        <v>814</v>
      </c>
      <c r="Q18" s="9" t="s">
        <v>291</v>
      </c>
      <c r="R18" s="9" t="s">
        <v>815</v>
      </c>
      <c r="S18" s="9" t="s">
        <v>816</v>
      </c>
      <c r="T18" s="9" t="s">
        <v>817</v>
      </c>
      <c r="U18" s="9" t="s">
        <v>818</v>
      </c>
      <c r="V18" s="9" t="s">
        <v>819</v>
      </c>
      <c r="W18" s="9" t="s">
        <v>820</v>
      </c>
      <c r="X18" s="9" t="s">
        <v>821</v>
      </c>
      <c r="Y18" s="9" t="s">
        <v>822</v>
      </c>
      <c r="Z18" s="9" t="s">
        <v>823</v>
      </c>
      <c r="AA18" s="9" t="s">
        <v>824</v>
      </c>
      <c r="AB18" s="9" t="s">
        <v>825</v>
      </c>
      <c r="AC18" s="9" t="s">
        <v>826</v>
      </c>
      <c r="AD18" s="9" t="s">
        <v>827</v>
      </c>
      <c r="AE18" s="9" t="s">
        <v>828</v>
      </c>
      <c r="AF18" s="9" t="s">
        <v>829</v>
      </c>
      <c r="AG18" s="9" t="s">
        <v>830</v>
      </c>
      <c r="AH18" s="9" t="s">
        <v>831</v>
      </c>
      <c r="AI18" s="9" t="s">
        <v>832</v>
      </c>
      <c r="AJ18" s="9" t="s">
        <v>833</v>
      </c>
      <c r="AK18" s="9" t="s">
        <v>834</v>
      </c>
      <c r="AL18" s="9" t="s">
        <v>835</v>
      </c>
      <c r="AM18" s="9" t="s">
        <v>836</v>
      </c>
      <c r="AN18" s="9" t="s">
        <v>837</v>
      </c>
      <c r="AO18" s="9" t="s">
        <v>838</v>
      </c>
      <c r="AP18" s="9" t="s">
        <v>839</v>
      </c>
      <c r="AQ18" s="9" t="s">
        <v>840</v>
      </c>
      <c r="AR18" s="9" t="s">
        <v>841</v>
      </c>
      <c r="AS18" s="9" t="s">
        <v>842</v>
      </c>
      <c r="AT18" s="9" t="s">
        <v>699</v>
      </c>
      <c r="AU18" s="9" t="s">
        <v>843</v>
      </c>
      <c r="AV18" s="9" t="s">
        <v>844</v>
      </c>
      <c r="AW18" s="9" t="s">
        <v>845</v>
      </c>
      <c r="AX18" s="9" t="s">
        <v>846</v>
      </c>
      <c r="AY18" s="9" t="s">
        <v>847</v>
      </c>
      <c r="AZ18" s="9" t="s">
        <v>848</v>
      </c>
      <c r="BA18" s="9" t="s">
        <v>849</v>
      </c>
      <c r="BB18" s="9" t="s">
        <v>850</v>
      </c>
      <c r="BC18" s="9" t="s">
        <v>851</v>
      </c>
      <c r="BD18" s="9" t="s">
        <v>852</v>
      </c>
      <c r="BE18" s="29"/>
      <c r="BF18" s="29"/>
      <c r="BG18" s="29"/>
      <c r="BH18" s="29"/>
      <c r="BI18" s="29"/>
      <c r="BJ18" s="29"/>
      <c r="BK18" s="29"/>
      <c r="BL18" s="29"/>
    </row>
    <row r="19" customFormat="false" ht="128.35" hidden="false" customHeight="false" outlineLevel="0" collapsed="false">
      <c r="A19" s="9" t="s">
        <v>853</v>
      </c>
      <c r="B19" s="9" t="s">
        <v>84</v>
      </c>
      <c r="C19" s="9" t="s">
        <v>85</v>
      </c>
      <c r="D19" s="9" t="s">
        <v>188</v>
      </c>
      <c r="E19" s="9" t="s">
        <v>758</v>
      </c>
      <c r="F19" s="9" t="s">
        <v>854</v>
      </c>
      <c r="G19" s="28" t="s">
        <v>855</v>
      </c>
      <c r="H19" s="9" t="s">
        <v>760</v>
      </c>
      <c r="I19" s="9" t="s">
        <v>856</v>
      </c>
      <c r="J19" s="9" t="s">
        <v>857</v>
      </c>
      <c r="K19" s="9" t="s">
        <v>858</v>
      </c>
      <c r="L19" s="9" t="s">
        <v>859</v>
      </c>
      <c r="M19" s="9" t="s">
        <v>860</v>
      </c>
      <c r="N19" s="9" t="s">
        <v>861</v>
      </c>
      <c r="O19" s="9" t="s">
        <v>97</v>
      </c>
      <c r="P19" s="9" t="s">
        <v>862</v>
      </c>
      <c r="Q19" s="9" t="s">
        <v>99</v>
      </c>
      <c r="R19" s="9" t="s">
        <v>863</v>
      </c>
      <c r="S19" s="9" t="s">
        <v>864</v>
      </c>
      <c r="T19" s="9" t="s">
        <v>865</v>
      </c>
      <c r="U19" s="9" t="s">
        <v>866</v>
      </c>
      <c r="V19" s="9" t="s">
        <v>867</v>
      </c>
      <c r="W19" s="9" t="s">
        <v>868</v>
      </c>
      <c r="X19" s="9" t="s">
        <v>869</v>
      </c>
      <c r="Y19" s="9" t="s">
        <v>870</v>
      </c>
      <c r="Z19" s="9" t="s">
        <v>871</v>
      </c>
      <c r="AA19" s="9" t="s">
        <v>872</v>
      </c>
      <c r="AB19" s="9" t="s">
        <v>873</v>
      </c>
      <c r="AC19" s="9" t="s">
        <v>874</v>
      </c>
      <c r="AD19" s="9" t="s">
        <v>875</v>
      </c>
      <c r="AE19" s="9" t="s">
        <v>876</v>
      </c>
      <c r="AF19" s="9" t="s">
        <v>877</v>
      </c>
      <c r="AG19" s="9" t="s">
        <v>878</v>
      </c>
      <c r="AH19" s="9" t="s">
        <v>879</v>
      </c>
      <c r="AI19" s="9" t="s">
        <v>880</v>
      </c>
      <c r="AJ19" s="9" t="s">
        <v>881</v>
      </c>
      <c r="AK19" s="9" t="s">
        <v>882</v>
      </c>
      <c r="AL19" s="9" t="s">
        <v>883</v>
      </c>
      <c r="AM19" s="9" t="s">
        <v>884</v>
      </c>
      <c r="AN19" s="9" t="s">
        <v>885</v>
      </c>
      <c r="AO19" s="9" t="s">
        <v>886</v>
      </c>
      <c r="AP19" s="9" t="s">
        <v>887</v>
      </c>
      <c r="AQ19" s="9" t="s">
        <v>888</v>
      </c>
      <c r="AR19" s="9" t="s">
        <v>889</v>
      </c>
      <c r="AS19" s="9" t="s">
        <v>890</v>
      </c>
      <c r="AT19" s="9" t="s">
        <v>128</v>
      </c>
      <c r="AU19" s="9" t="s">
        <v>891</v>
      </c>
      <c r="AV19" s="9" t="s">
        <v>892</v>
      </c>
      <c r="AW19" s="9" t="s">
        <v>893</v>
      </c>
      <c r="AX19" s="9" t="s">
        <v>894</v>
      </c>
      <c r="AY19" s="9" t="s">
        <v>895</v>
      </c>
      <c r="AZ19" s="9" t="s">
        <v>896</v>
      </c>
      <c r="BA19" s="9" t="s">
        <v>897</v>
      </c>
      <c r="BB19" s="9" t="s">
        <v>898</v>
      </c>
      <c r="BC19" s="9" t="s">
        <v>899</v>
      </c>
      <c r="BD19" s="9" t="s">
        <v>900</v>
      </c>
      <c r="BE19" s="29"/>
      <c r="BF19" s="29"/>
      <c r="BG19" s="29"/>
      <c r="BH19" s="29"/>
      <c r="BI19" s="29"/>
      <c r="BJ19" s="29"/>
      <c r="BK19" s="29"/>
      <c r="BL19" s="29"/>
    </row>
    <row r="20" customFormat="false" ht="128.35" hidden="false" customHeight="false" outlineLevel="0" collapsed="false">
      <c r="A20" s="9" t="s">
        <v>901</v>
      </c>
      <c r="B20" s="9" t="s">
        <v>84</v>
      </c>
      <c r="C20" s="9" t="s">
        <v>85</v>
      </c>
      <c r="D20" s="9" t="s">
        <v>86</v>
      </c>
      <c r="E20" s="9" t="s">
        <v>758</v>
      </c>
      <c r="F20" s="9" t="s">
        <v>236</v>
      </c>
      <c r="G20" s="28" t="s">
        <v>902</v>
      </c>
      <c r="H20" s="9" t="s">
        <v>760</v>
      </c>
      <c r="I20" s="9" t="s">
        <v>903</v>
      </c>
      <c r="J20" s="9" t="s">
        <v>904</v>
      </c>
      <c r="K20" s="9" t="s">
        <v>905</v>
      </c>
      <c r="L20" s="9" t="s">
        <v>906</v>
      </c>
      <c r="M20" s="9" t="s">
        <v>907</v>
      </c>
      <c r="N20" s="9" t="s">
        <v>908</v>
      </c>
      <c r="O20" s="9" t="s">
        <v>97</v>
      </c>
      <c r="P20" s="9" t="s">
        <v>909</v>
      </c>
      <c r="Q20" s="9" t="s">
        <v>99</v>
      </c>
      <c r="R20" s="9" t="s">
        <v>910</v>
      </c>
      <c r="S20" s="9" t="s">
        <v>911</v>
      </c>
      <c r="T20" s="9" t="s">
        <v>912</v>
      </c>
      <c r="U20" s="9" t="s">
        <v>913</v>
      </c>
      <c r="V20" s="9" t="s">
        <v>914</v>
      </c>
      <c r="W20" s="9" t="s">
        <v>915</v>
      </c>
      <c r="X20" s="9" t="s">
        <v>916</v>
      </c>
      <c r="Y20" s="9" t="s">
        <v>917</v>
      </c>
      <c r="Z20" s="9" t="s">
        <v>918</v>
      </c>
      <c r="AA20" s="9" t="s">
        <v>919</v>
      </c>
      <c r="AB20" s="9" t="s">
        <v>920</v>
      </c>
      <c r="AC20" s="9" t="s">
        <v>921</v>
      </c>
      <c r="AD20" s="9" t="s">
        <v>922</v>
      </c>
      <c r="AE20" s="9" t="s">
        <v>923</v>
      </c>
      <c r="AF20" s="9" t="s">
        <v>924</v>
      </c>
      <c r="AG20" s="9" t="s">
        <v>925</v>
      </c>
      <c r="AH20" s="9" t="s">
        <v>926</v>
      </c>
      <c r="AI20" s="9" t="s">
        <v>927</v>
      </c>
      <c r="AJ20" s="9" t="s">
        <v>928</v>
      </c>
      <c r="AK20" s="9" t="s">
        <v>929</v>
      </c>
      <c r="AL20" s="9" t="s">
        <v>930</v>
      </c>
      <c r="AM20" s="9" t="s">
        <v>931</v>
      </c>
      <c r="AN20" s="9" t="s">
        <v>932</v>
      </c>
      <c r="AO20" s="9" t="s">
        <v>933</v>
      </c>
      <c r="AP20" s="9" t="s">
        <v>934</v>
      </c>
      <c r="AQ20" s="9" t="s">
        <v>935</v>
      </c>
      <c r="AR20" s="9" t="s">
        <v>936</v>
      </c>
      <c r="AS20" s="9" t="s">
        <v>937</v>
      </c>
      <c r="AT20" s="9" t="s">
        <v>699</v>
      </c>
      <c r="AU20" s="9" t="s">
        <v>938</v>
      </c>
      <c r="AV20" s="9" t="s">
        <v>939</v>
      </c>
      <c r="AW20" s="9" t="s">
        <v>940</v>
      </c>
      <c r="AX20" s="9" t="s">
        <v>941</v>
      </c>
      <c r="AY20" s="9" t="s">
        <v>942</v>
      </c>
      <c r="AZ20" s="9" t="s">
        <v>943</v>
      </c>
      <c r="BA20" s="9" t="s">
        <v>944</v>
      </c>
      <c r="BB20" s="9" t="s">
        <v>945</v>
      </c>
      <c r="BC20" s="9" t="s">
        <v>946</v>
      </c>
      <c r="BD20" s="9" t="s">
        <v>947</v>
      </c>
      <c r="BE20" s="29"/>
      <c r="BF20" s="29"/>
      <c r="BG20" s="29"/>
      <c r="BH20" s="29"/>
      <c r="BI20" s="29"/>
      <c r="BJ20" s="29"/>
      <c r="BK20" s="29"/>
      <c r="BL20" s="29"/>
    </row>
    <row r="21" customFormat="false" ht="90.25" hidden="false" customHeight="false" outlineLevel="0" collapsed="false">
      <c r="A21" s="9" t="s">
        <v>948</v>
      </c>
      <c r="B21" s="9" t="s">
        <v>84</v>
      </c>
      <c r="C21" s="9" t="s">
        <v>85</v>
      </c>
      <c r="D21" s="9" t="s">
        <v>86</v>
      </c>
      <c r="E21" s="9" t="s">
        <v>758</v>
      </c>
      <c r="F21" s="9" t="s">
        <v>331</v>
      </c>
      <c r="G21" s="28" t="s">
        <v>949</v>
      </c>
      <c r="H21" s="9" t="s">
        <v>760</v>
      </c>
      <c r="I21" s="9" t="s">
        <v>950</v>
      </c>
      <c r="J21" s="9" t="s">
        <v>951</v>
      </c>
      <c r="K21" s="9" t="s">
        <v>952</v>
      </c>
      <c r="L21" s="9" t="s">
        <v>953</v>
      </c>
      <c r="M21" s="9" t="s">
        <v>954</v>
      </c>
      <c r="N21" s="9" t="s">
        <v>955</v>
      </c>
      <c r="O21" s="9" t="s">
        <v>575</v>
      </c>
      <c r="P21" s="9" t="s">
        <v>956</v>
      </c>
      <c r="Q21" s="9" t="s">
        <v>957</v>
      </c>
      <c r="R21" s="9" t="s">
        <v>958</v>
      </c>
      <c r="S21" s="9" t="s">
        <v>959</v>
      </c>
      <c r="T21" s="9" t="s">
        <v>960</v>
      </c>
      <c r="U21" s="9" t="s">
        <v>961</v>
      </c>
      <c r="V21" s="9" t="s">
        <v>962</v>
      </c>
      <c r="W21" s="9" t="s">
        <v>963</v>
      </c>
      <c r="X21" s="9" t="s">
        <v>964</v>
      </c>
      <c r="Y21" s="9" t="s">
        <v>965</v>
      </c>
      <c r="Z21" s="9" t="s">
        <v>966</v>
      </c>
      <c r="AA21" s="9" t="s">
        <v>967</v>
      </c>
      <c r="AB21" s="9" t="s">
        <v>968</v>
      </c>
      <c r="AC21" s="9" t="s">
        <v>969</v>
      </c>
      <c r="AD21" s="9" t="s">
        <v>970</v>
      </c>
      <c r="AE21" s="9" t="s">
        <v>971</v>
      </c>
      <c r="AF21" s="9" t="s">
        <v>972</v>
      </c>
      <c r="AG21" s="9" t="s">
        <v>973</v>
      </c>
      <c r="AH21" s="9" t="s">
        <v>974</v>
      </c>
      <c r="AI21" s="9" t="s">
        <v>975</v>
      </c>
      <c r="AJ21" s="9" t="s">
        <v>976</v>
      </c>
      <c r="AK21" s="9" t="s">
        <v>977</v>
      </c>
      <c r="AL21" s="9" t="s">
        <v>978</v>
      </c>
      <c r="AM21" s="9" t="s">
        <v>979</v>
      </c>
      <c r="AN21" s="9" t="s">
        <v>980</v>
      </c>
      <c r="AO21" s="9" t="s">
        <v>981</v>
      </c>
      <c r="AP21" s="9" t="s">
        <v>982</v>
      </c>
      <c r="AQ21" s="9" t="s">
        <v>983</v>
      </c>
      <c r="AR21" s="9" t="s">
        <v>984</v>
      </c>
      <c r="AS21" s="9" t="s">
        <v>985</v>
      </c>
      <c r="AT21" s="9" t="s">
        <v>699</v>
      </c>
      <c r="AU21" s="9" t="s">
        <v>986</v>
      </c>
      <c r="AV21" s="9" t="s">
        <v>987</v>
      </c>
      <c r="AW21" s="9" t="s">
        <v>988</v>
      </c>
      <c r="AX21" s="9" t="s">
        <v>989</v>
      </c>
      <c r="AY21" s="9" t="s">
        <v>990</v>
      </c>
      <c r="AZ21" s="9" t="s">
        <v>991</v>
      </c>
      <c r="BA21" s="9" t="s">
        <v>992</v>
      </c>
      <c r="BB21" s="9" t="s">
        <v>993</v>
      </c>
      <c r="BC21" s="9" t="s">
        <v>994</v>
      </c>
      <c r="BD21" s="9" t="s">
        <v>995</v>
      </c>
      <c r="BE21" s="29"/>
      <c r="BF21" s="29"/>
      <c r="BG21" s="29"/>
      <c r="BH21" s="29"/>
      <c r="BI21" s="29"/>
      <c r="BJ21" s="29"/>
      <c r="BK21" s="29"/>
      <c r="BL21" s="29"/>
    </row>
    <row r="22" customFormat="false" ht="141" hidden="false" customHeight="false" outlineLevel="0" collapsed="false">
      <c r="A22" s="9" t="s">
        <v>996</v>
      </c>
      <c r="B22" s="9" t="s">
        <v>84</v>
      </c>
      <c r="C22" s="9" t="s">
        <v>85</v>
      </c>
      <c r="D22" s="9" t="s">
        <v>188</v>
      </c>
      <c r="E22" s="9" t="s">
        <v>758</v>
      </c>
      <c r="F22" s="9" t="s">
        <v>997</v>
      </c>
      <c r="G22" s="28" t="s">
        <v>998</v>
      </c>
      <c r="H22" s="9" t="s">
        <v>760</v>
      </c>
      <c r="I22" s="9" t="s">
        <v>999</v>
      </c>
      <c r="J22" s="9" t="s">
        <v>1000</v>
      </c>
      <c r="K22" s="9" t="s">
        <v>1001</v>
      </c>
      <c r="L22" s="9" t="s">
        <v>1002</v>
      </c>
      <c r="M22" s="9" t="s">
        <v>1003</v>
      </c>
      <c r="N22" s="9" t="s">
        <v>1004</v>
      </c>
      <c r="O22" s="9" t="s">
        <v>97</v>
      </c>
      <c r="P22" s="9" t="s">
        <v>1005</v>
      </c>
      <c r="Q22" s="9" t="s">
        <v>99</v>
      </c>
      <c r="R22" s="9" t="s">
        <v>1006</v>
      </c>
      <c r="S22" s="9" t="s">
        <v>1007</v>
      </c>
      <c r="T22" s="9" t="s">
        <v>1008</v>
      </c>
      <c r="U22" s="9" t="s">
        <v>1009</v>
      </c>
      <c r="V22" s="9" t="s">
        <v>1010</v>
      </c>
      <c r="W22" s="9" t="s">
        <v>1011</v>
      </c>
      <c r="X22" s="9" t="s">
        <v>1012</v>
      </c>
      <c r="Y22" s="9" t="s">
        <v>1013</v>
      </c>
      <c r="Z22" s="9" t="s">
        <v>1014</v>
      </c>
      <c r="AA22" s="9" t="s">
        <v>1015</v>
      </c>
      <c r="AB22" s="9" t="s">
        <v>1016</v>
      </c>
      <c r="AC22" s="9" t="s">
        <v>1017</v>
      </c>
      <c r="AD22" s="9" t="s">
        <v>1018</v>
      </c>
      <c r="AE22" s="9" t="s">
        <v>1019</v>
      </c>
      <c r="AF22" s="9" t="s">
        <v>1020</v>
      </c>
      <c r="AG22" s="9" t="s">
        <v>1021</v>
      </c>
      <c r="AH22" s="9" t="s">
        <v>1022</v>
      </c>
      <c r="AI22" s="9" t="s">
        <v>1023</v>
      </c>
      <c r="AJ22" s="9" t="s">
        <v>1024</v>
      </c>
      <c r="AK22" s="9" t="s">
        <v>1025</v>
      </c>
      <c r="AL22" s="9" t="s">
        <v>1026</v>
      </c>
      <c r="AM22" s="9" t="s">
        <v>1027</v>
      </c>
      <c r="AN22" s="9" t="s">
        <v>1028</v>
      </c>
      <c r="AO22" s="9" t="s">
        <v>1029</v>
      </c>
      <c r="AP22" s="9" t="s">
        <v>1030</v>
      </c>
      <c r="AQ22" s="9" t="s">
        <v>270</v>
      </c>
      <c r="AR22" s="9" t="s">
        <v>1031</v>
      </c>
      <c r="AS22" s="9" t="s">
        <v>1032</v>
      </c>
      <c r="AT22" s="9" t="s">
        <v>699</v>
      </c>
      <c r="AU22" s="9" t="s">
        <v>1033</v>
      </c>
      <c r="AV22" s="9" t="s">
        <v>1034</v>
      </c>
      <c r="AW22" s="9" t="s">
        <v>1035</v>
      </c>
      <c r="AX22" s="9" t="s">
        <v>1036</v>
      </c>
      <c r="AY22" s="9" t="s">
        <v>1037</v>
      </c>
      <c r="AZ22" s="9" t="s">
        <v>1038</v>
      </c>
      <c r="BA22" s="9" t="s">
        <v>1039</v>
      </c>
      <c r="BB22" s="9" t="s">
        <v>1040</v>
      </c>
      <c r="BC22" s="9" t="s">
        <v>1041</v>
      </c>
      <c r="BD22" s="9" t="s">
        <v>1042</v>
      </c>
      <c r="BE22" s="29"/>
      <c r="BF22" s="29"/>
      <c r="BG22" s="29"/>
      <c r="BH22" s="29"/>
      <c r="BI22" s="29"/>
      <c r="BJ22" s="29"/>
      <c r="BK22" s="29"/>
      <c r="BL22" s="29"/>
    </row>
    <row r="23" customFormat="false" ht="128.35" hidden="false" customHeight="false" outlineLevel="0" collapsed="false">
      <c r="A23" s="9" t="s">
        <v>1043</v>
      </c>
      <c r="B23" s="9" t="s">
        <v>84</v>
      </c>
      <c r="C23" s="9" t="s">
        <v>1044</v>
      </c>
      <c r="D23" s="9" t="s">
        <v>188</v>
      </c>
      <c r="E23" s="9" t="s">
        <v>87</v>
      </c>
      <c r="F23" s="9" t="s">
        <v>236</v>
      </c>
      <c r="G23" s="28" t="s">
        <v>1045</v>
      </c>
      <c r="H23" s="9" t="s">
        <v>90</v>
      </c>
      <c r="I23" s="9" t="s">
        <v>1046</v>
      </c>
      <c r="J23" s="9" t="s">
        <v>1047</v>
      </c>
      <c r="K23" s="9" t="s">
        <v>1048</v>
      </c>
      <c r="L23" s="9" t="s">
        <v>1049</v>
      </c>
      <c r="M23" s="9" t="s">
        <v>1050</v>
      </c>
      <c r="N23" s="9" t="s">
        <v>1051</v>
      </c>
      <c r="O23" s="9" t="s">
        <v>97</v>
      </c>
      <c r="P23" s="9" t="s">
        <v>1052</v>
      </c>
      <c r="Q23" s="9" t="s">
        <v>99</v>
      </c>
      <c r="R23" s="9" t="s">
        <v>1053</v>
      </c>
      <c r="S23" s="9" t="s">
        <v>1054</v>
      </c>
      <c r="T23" s="9" t="s">
        <v>1055</v>
      </c>
      <c r="U23" s="9" t="s">
        <v>1056</v>
      </c>
      <c r="V23" s="9" t="s">
        <v>1057</v>
      </c>
      <c r="W23" s="9" t="s">
        <v>1058</v>
      </c>
      <c r="X23" s="9" t="s">
        <v>1059</v>
      </c>
      <c r="Y23" s="9" t="s">
        <v>1060</v>
      </c>
      <c r="Z23" s="9" t="s">
        <v>1061</v>
      </c>
      <c r="AA23" s="9" t="s">
        <v>1062</v>
      </c>
      <c r="AB23" s="9" t="s">
        <v>1063</v>
      </c>
      <c r="AC23" s="9" t="s">
        <v>1064</v>
      </c>
      <c r="AD23" s="9" t="s">
        <v>1065</v>
      </c>
      <c r="AE23" s="9" t="s">
        <v>1066</v>
      </c>
      <c r="AF23" s="9" t="s">
        <v>1067</v>
      </c>
      <c r="AG23" s="9" t="s">
        <v>1068</v>
      </c>
      <c r="AH23" s="9" t="s">
        <v>1069</v>
      </c>
      <c r="AI23" s="9" t="s">
        <v>1070</v>
      </c>
      <c r="AJ23" s="9" t="s">
        <v>1071</v>
      </c>
      <c r="AK23" s="9" t="s">
        <v>1072</v>
      </c>
      <c r="AL23" s="9" t="s">
        <v>1073</v>
      </c>
      <c r="AM23" s="9" t="s">
        <v>1074</v>
      </c>
      <c r="AN23" s="9" t="s">
        <v>1075</v>
      </c>
      <c r="AO23" s="9" t="s">
        <v>1076</v>
      </c>
      <c r="AP23" s="9" t="s">
        <v>1077</v>
      </c>
      <c r="AQ23" s="9" t="s">
        <v>1078</v>
      </c>
      <c r="AR23" s="9" t="s">
        <v>1079</v>
      </c>
      <c r="AS23" s="9" t="s">
        <v>1080</v>
      </c>
      <c r="AT23" s="9" t="s">
        <v>128</v>
      </c>
      <c r="AU23" s="9" t="s">
        <v>1081</v>
      </c>
      <c r="AV23" s="9" t="s">
        <v>1082</v>
      </c>
      <c r="AW23" s="9" t="s">
        <v>1083</v>
      </c>
      <c r="AX23" s="9" t="s">
        <v>1084</v>
      </c>
      <c r="AY23" s="9" t="s">
        <v>1085</v>
      </c>
      <c r="AZ23" s="9" t="s">
        <v>1086</v>
      </c>
      <c r="BA23" s="9" t="s">
        <v>1087</v>
      </c>
      <c r="BB23" s="9" t="s">
        <v>1088</v>
      </c>
      <c r="BC23" s="9" t="s">
        <v>1089</v>
      </c>
      <c r="BD23" s="9" t="s">
        <v>1090</v>
      </c>
      <c r="BE23" s="29"/>
      <c r="BF23" s="29"/>
      <c r="BG23" s="29"/>
      <c r="BH23" s="29"/>
      <c r="BI23" s="29"/>
      <c r="BJ23" s="29"/>
      <c r="BK23" s="29"/>
      <c r="BL23" s="29"/>
    </row>
    <row r="24" customFormat="false" ht="128.35" hidden="false" customHeight="false" outlineLevel="0" collapsed="false">
      <c r="A24" s="9" t="s">
        <v>1091</v>
      </c>
      <c r="B24" s="9" t="s">
        <v>84</v>
      </c>
      <c r="C24" s="9" t="s">
        <v>1044</v>
      </c>
      <c r="D24" s="9" t="s">
        <v>1092</v>
      </c>
      <c r="E24" s="9" t="s">
        <v>87</v>
      </c>
      <c r="F24" s="9" t="s">
        <v>426</v>
      </c>
      <c r="G24" s="28" t="s">
        <v>1093</v>
      </c>
      <c r="H24" s="9" t="s">
        <v>90</v>
      </c>
      <c r="I24" s="9" t="s">
        <v>1094</v>
      </c>
      <c r="J24" s="9" t="s">
        <v>1095</v>
      </c>
      <c r="K24" s="9" t="s">
        <v>1096</v>
      </c>
      <c r="L24" s="9" t="s">
        <v>1097</v>
      </c>
      <c r="M24" s="9" t="s">
        <v>1098</v>
      </c>
      <c r="N24" s="9" t="s">
        <v>1099</v>
      </c>
      <c r="O24" s="9" t="s">
        <v>97</v>
      </c>
      <c r="P24" s="9" t="s">
        <v>1100</v>
      </c>
      <c r="Q24" s="9" t="s">
        <v>99</v>
      </c>
      <c r="R24" s="9" t="s">
        <v>1101</v>
      </c>
      <c r="S24" s="9" t="s">
        <v>1102</v>
      </c>
      <c r="T24" s="9" t="s">
        <v>1103</v>
      </c>
      <c r="U24" s="9" t="s">
        <v>1104</v>
      </c>
      <c r="V24" s="9" t="s">
        <v>1105</v>
      </c>
      <c r="W24" s="9" t="s">
        <v>1106</v>
      </c>
      <c r="X24" s="9" t="s">
        <v>1107</v>
      </c>
      <c r="Y24" s="9" t="s">
        <v>1108</v>
      </c>
      <c r="Z24" s="9" t="s">
        <v>1109</v>
      </c>
      <c r="AA24" s="9" t="s">
        <v>1110</v>
      </c>
      <c r="AB24" s="9" t="s">
        <v>1111</v>
      </c>
      <c r="AC24" s="9" t="s">
        <v>1112</v>
      </c>
      <c r="AD24" s="9" t="s">
        <v>1113</v>
      </c>
      <c r="AE24" s="9" t="s">
        <v>1114</v>
      </c>
      <c r="AF24" s="9" t="s">
        <v>1115</v>
      </c>
      <c r="AG24" s="9" t="s">
        <v>1116</v>
      </c>
      <c r="AH24" s="9" t="s">
        <v>1117</v>
      </c>
      <c r="AI24" s="9" t="s">
        <v>1118</v>
      </c>
      <c r="AJ24" s="9" t="s">
        <v>1119</v>
      </c>
      <c r="AK24" s="9" t="s">
        <v>1120</v>
      </c>
      <c r="AL24" s="9" t="s">
        <v>1121</v>
      </c>
      <c r="AM24" s="9" t="s">
        <v>1122</v>
      </c>
      <c r="AN24" s="9" t="s">
        <v>1123</v>
      </c>
      <c r="AO24" s="9" t="s">
        <v>1124</v>
      </c>
      <c r="AP24" s="9" t="s">
        <v>1125</v>
      </c>
      <c r="AQ24" s="9" t="s">
        <v>1126</v>
      </c>
      <c r="AR24" s="9" t="s">
        <v>1127</v>
      </c>
      <c r="AS24" s="9" t="s">
        <v>1128</v>
      </c>
      <c r="AT24" s="9" t="s">
        <v>177</v>
      </c>
      <c r="AU24" s="9" t="s">
        <v>1129</v>
      </c>
      <c r="AV24" s="9" t="s">
        <v>1130</v>
      </c>
      <c r="AW24" s="9" t="s">
        <v>1131</v>
      </c>
      <c r="AX24" s="9" t="s">
        <v>1132</v>
      </c>
      <c r="AY24" s="9" t="s">
        <v>1133</v>
      </c>
      <c r="AZ24" s="9" t="s">
        <v>1134</v>
      </c>
      <c r="BA24" s="9" t="s">
        <v>1135</v>
      </c>
      <c r="BB24" s="9" t="s">
        <v>1136</v>
      </c>
      <c r="BC24" s="9" t="s">
        <v>1137</v>
      </c>
      <c r="BD24" s="9" t="s">
        <v>1138</v>
      </c>
      <c r="BE24" s="29"/>
      <c r="BF24" s="29"/>
      <c r="BG24" s="29"/>
      <c r="BH24" s="29"/>
      <c r="BI24" s="29"/>
      <c r="BJ24" s="29"/>
      <c r="BK24" s="29"/>
      <c r="BL24" s="29"/>
    </row>
    <row r="25" customFormat="false" ht="115.65" hidden="false" customHeight="false" outlineLevel="0" collapsed="false">
      <c r="A25" s="9" t="s">
        <v>1139</v>
      </c>
      <c r="B25" s="9" t="s">
        <v>84</v>
      </c>
      <c r="C25" s="9" t="s">
        <v>1044</v>
      </c>
      <c r="D25" s="9" t="s">
        <v>188</v>
      </c>
      <c r="E25" s="9" t="s">
        <v>87</v>
      </c>
      <c r="F25" s="9" t="s">
        <v>1140</v>
      </c>
      <c r="G25" s="28" t="s">
        <v>1141</v>
      </c>
      <c r="H25" s="9" t="s">
        <v>90</v>
      </c>
      <c r="I25" s="9" t="s">
        <v>1142</v>
      </c>
      <c r="J25" s="9" t="s">
        <v>1143</v>
      </c>
      <c r="K25" s="9" t="s">
        <v>1144</v>
      </c>
      <c r="L25" s="9" t="s">
        <v>1145</v>
      </c>
      <c r="M25" s="9" t="s">
        <v>1146</v>
      </c>
      <c r="N25" s="9" t="s">
        <v>1147</v>
      </c>
      <c r="O25" s="9" t="s">
        <v>97</v>
      </c>
      <c r="P25" s="9" t="s">
        <v>1148</v>
      </c>
      <c r="Q25" s="9" t="s">
        <v>99</v>
      </c>
      <c r="R25" s="9" t="s">
        <v>1149</v>
      </c>
      <c r="S25" s="9" t="s">
        <v>1150</v>
      </c>
      <c r="T25" s="9" t="s">
        <v>1151</v>
      </c>
      <c r="U25" s="9" t="s">
        <v>1152</v>
      </c>
      <c r="V25" s="9" t="s">
        <v>1153</v>
      </c>
      <c r="W25" s="9" t="s">
        <v>1154</v>
      </c>
      <c r="X25" s="9" t="s">
        <v>1155</v>
      </c>
      <c r="Y25" s="9" t="s">
        <v>1156</v>
      </c>
      <c r="Z25" s="9" t="s">
        <v>1157</v>
      </c>
      <c r="AA25" s="9" t="s">
        <v>1158</v>
      </c>
      <c r="AB25" s="9" t="s">
        <v>1159</v>
      </c>
      <c r="AC25" s="9" t="s">
        <v>1160</v>
      </c>
      <c r="AD25" s="9" t="s">
        <v>1161</v>
      </c>
      <c r="AE25" s="9" t="s">
        <v>1162</v>
      </c>
      <c r="AF25" s="9" t="s">
        <v>1163</v>
      </c>
      <c r="AG25" s="9" t="s">
        <v>1164</v>
      </c>
      <c r="AH25" s="9" t="s">
        <v>1165</v>
      </c>
      <c r="AI25" s="9" t="s">
        <v>1166</v>
      </c>
      <c r="AJ25" s="9" t="s">
        <v>1167</v>
      </c>
      <c r="AK25" s="9" t="s">
        <v>1168</v>
      </c>
      <c r="AL25" s="9" t="s">
        <v>1169</v>
      </c>
      <c r="AM25" s="9" t="s">
        <v>1170</v>
      </c>
      <c r="AN25" s="9" t="s">
        <v>1171</v>
      </c>
      <c r="AO25" s="9" t="s">
        <v>1172</v>
      </c>
      <c r="AP25" s="9" t="s">
        <v>1173</v>
      </c>
      <c r="AQ25" s="9" t="s">
        <v>1174</v>
      </c>
      <c r="AR25" s="9" t="s">
        <v>1175</v>
      </c>
      <c r="AS25" s="9" t="s">
        <v>1176</v>
      </c>
      <c r="AT25" s="9" t="s">
        <v>414</v>
      </c>
      <c r="AU25" s="9" t="s">
        <v>1177</v>
      </c>
      <c r="AV25" s="9" t="s">
        <v>1178</v>
      </c>
      <c r="AW25" s="9" t="s">
        <v>1179</v>
      </c>
      <c r="AX25" s="9" t="s">
        <v>1180</v>
      </c>
      <c r="AY25" s="9" t="s">
        <v>1181</v>
      </c>
      <c r="AZ25" s="9" t="s">
        <v>1182</v>
      </c>
      <c r="BA25" s="9" t="s">
        <v>1183</v>
      </c>
      <c r="BB25" s="9" t="s">
        <v>1184</v>
      </c>
      <c r="BC25" s="9" t="s">
        <v>1185</v>
      </c>
      <c r="BD25" s="9" t="s">
        <v>1186</v>
      </c>
      <c r="BE25" s="29"/>
      <c r="BF25" s="29"/>
      <c r="BG25" s="29"/>
      <c r="BH25" s="29"/>
      <c r="BI25" s="29"/>
      <c r="BJ25" s="29"/>
      <c r="BK25" s="29"/>
      <c r="BL25" s="29"/>
    </row>
    <row r="26" customFormat="false" ht="128.35" hidden="false" customHeight="false" outlineLevel="0" collapsed="false">
      <c r="A26" s="9" t="s">
        <v>1187</v>
      </c>
      <c r="B26" s="9" t="s">
        <v>84</v>
      </c>
      <c r="C26" s="9" t="s">
        <v>1044</v>
      </c>
      <c r="D26" s="9" t="s">
        <v>188</v>
      </c>
      <c r="E26" s="9" t="s">
        <v>87</v>
      </c>
      <c r="F26" s="9" t="s">
        <v>1140</v>
      </c>
      <c r="G26" s="28" t="s">
        <v>1188</v>
      </c>
      <c r="H26" s="9" t="s">
        <v>90</v>
      </c>
      <c r="I26" s="9" t="s">
        <v>1189</v>
      </c>
      <c r="J26" s="9" t="s">
        <v>1190</v>
      </c>
      <c r="K26" s="9" t="s">
        <v>1191</v>
      </c>
      <c r="L26" s="9" t="s">
        <v>1192</v>
      </c>
      <c r="M26" s="9" t="s">
        <v>1193</v>
      </c>
      <c r="N26" s="9" t="s">
        <v>1194</v>
      </c>
      <c r="O26" s="9" t="s">
        <v>97</v>
      </c>
      <c r="P26" s="9" t="s">
        <v>1195</v>
      </c>
      <c r="Q26" s="9" t="s">
        <v>291</v>
      </c>
      <c r="R26" s="9" t="s">
        <v>1196</v>
      </c>
      <c r="S26" s="9" t="s">
        <v>1197</v>
      </c>
      <c r="T26" s="9" t="s">
        <v>1198</v>
      </c>
      <c r="U26" s="9" t="s">
        <v>1199</v>
      </c>
      <c r="V26" s="9" t="s">
        <v>1200</v>
      </c>
      <c r="W26" s="9" t="s">
        <v>1201</v>
      </c>
      <c r="X26" s="9" t="s">
        <v>1202</v>
      </c>
      <c r="Y26" s="9" t="s">
        <v>1203</v>
      </c>
      <c r="Z26" s="9" t="s">
        <v>1204</v>
      </c>
      <c r="AA26" s="9" t="s">
        <v>1205</v>
      </c>
      <c r="AB26" s="9" t="s">
        <v>1206</v>
      </c>
      <c r="AC26" s="9" t="s">
        <v>1207</v>
      </c>
      <c r="AD26" s="9" t="s">
        <v>1208</v>
      </c>
      <c r="AE26" s="9" t="s">
        <v>1209</v>
      </c>
      <c r="AF26" s="9" t="s">
        <v>1210</v>
      </c>
      <c r="AG26" s="9" t="s">
        <v>1211</v>
      </c>
      <c r="AH26" s="9" t="s">
        <v>1212</v>
      </c>
      <c r="AI26" s="9" t="s">
        <v>1213</v>
      </c>
      <c r="AJ26" s="9" t="s">
        <v>1214</v>
      </c>
      <c r="AK26" s="9" t="s">
        <v>1215</v>
      </c>
      <c r="AL26" s="9" t="s">
        <v>1216</v>
      </c>
      <c r="AM26" s="9" t="s">
        <v>1217</v>
      </c>
      <c r="AN26" s="9" t="s">
        <v>1218</v>
      </c>
      <c r="AO26" s="9" t="s">
        <v>1219</v>
      </c>
      <c r="AP26" s="9" t="s">
        <v>1220</v>
      </c>
      <c r="AQ26" s="9" t="s">
        <v>1221</v>
      </c>
      <c r="AR26" s="9" t="s">
        <v>1222</v>
      </c>
      <c r="AS26" s="9" t="s">
        <v>1223</v>
      </c>
      <c r="AT26" s="9" t="s">
        <v>699</v>
      </c>
      <c r="AU26" s="9" t="s">
        <v>1224</v>
      </c>
      <c r="AV26" s="9" t="s">
        <v>1225</v>
      </c>
      <c r="AW26" s="9" t="s">
        <v>1226</v>
      </c>
      <c r="AX26" s="9" t="s">
        <v>1227</v>
      </c>
      <c r="AY26" s="9" t="s">
        <v>1228</v>
      </c>
      <c r="AZ26" s="9" t="s">
        <v>1229</v>
      </c>
      <c r="BA26" s="9" t="s">
        <v>1230</v>
      </c>
      <c r="BB26" s="9" t="s">
        <v>1231</v>
      </c>
      <c r="BC26" s="9" t="s">
        <v>1232</v>
      </c>
      <c r="BD26" s="9" t="s">
        <v>1233</v>
      </c>
      <c r="BE26" s="29"/>
      <c r="BF26" s="29"/>
      <c r="BG26" s="29"/>
      <c r="BH26" s="29"/>
      <c r="BI26" s="29"/>
      <c r="BJ26" s="29"/>
      <c r="BK26" s="29"/>
      <c r="BL26" s="29"/>
    </row>
    <row r="27" customFormat="false" ht="102.95" hidden="false" customHeight="false" outlineLevel="0" collapsed="false">
      <c r="A27" s="9" t="s">
        <v>1234</v>
      </c>
      <c r="B27" s="9" t="s">
        <v>84</v>
      </c>
      <c r="C27" s="9" t="s">
        <v>1044</v>
      </c>
      <c r="D27" s="9" t="s">
        <v>188</v>
      </c>
      <c r="E27" s="9" t="s">
        <v>87</v>
      </c>
      <c r="F27" s="9" t="s">
        <v>331</v>
      </c>
      <c r="G27" s="28" t="s">
        <v>1235</v>
      </c>
      <c r="H27" s="9" t="s">
        <v>90</v>
      </c>
      <c r="I27" s="9" t="s">
        <v>1236</v>
      </c>
      <c r="J27" s="9" t="s">
        <v>1237</v>
      </c>
      <c r="K27" s="9" t="s">
        <v>1238</v>
      </c>
      <c r="L27" s="9" t="s">
        <v>1239</v>
      </c>
      <c r="M27" s="9" t="s">
        <v>1240</v>
      </c>
      <c r="N27" s="9" t="s">
        <v>1241</v>
      </c>
      <c r="O27" s="9" t="s">
        <v>97</v>
      </c>
      <c r="P27" s="9" t="s">
        <v>1242</v>
      </c>
      <c r="Q27" s="9" t="s">
        <v>291</v>
      </c>
      <c r="R27" s="9" t="s">
        <v>1243</v>
      </c>
      <c r="S27" s="9" t="s">
        <v>1244</v>
      </c>
      <c r="T27" s="9" t="s">
        <v>1245</v>
      </c>
      <c r="U27" s="9" t="s">
        <v>1246</v>
      </c>
      <c r="V27" s="9" t="s">
        <v>1247</v>
      </c>
      <c r="W27" s="9" t="s">
        <v>1248</v>
      </c>
      <c r="X27" s="9" t="s">
        <v>1249</v>
      </c>
      <c r="Y27" s="9" t="s">
        <v>1250</v>
      </c>
      <c r="Z27" s="9" t="s">
        <v>1251</v>
      </c>
      <c r="AA27" s="9" t="s">
        <v>1252</v>
      </c>
      <c r="AB27" s="9" t="s">
        <v>1253</v>
      </c>
      <c r="AC27" s="9" t="s">
        <v>1254</v>
      </c>
      <c r="AD27" s="9" t="s">
        <v>1255</v>
      </c>
      <c r="AE27" s="9" t="s">
        <v>1256</v>
      </c>
      <c r="AF27" s="9" t="s">
        <v>1257</v>
      </c>
      <c r="AG27" s="9" t="s">
        <v>1258</v>
      </c>
      <c r="AH27" s="9" t="s">
        <v>1259</v>
      </c>
      <c r="AI27" s="9" t="s">
        <v>1260</v>
      </c>
      <c r="AJ27" s="9" t="s">
        <v>1261</v>
      </c>
      <c r="AK27" s="9" t="s">
        <v>1262</v>
      </c>
      <c r="AL27" s="9" t="s">
        <v>1263</v>
      </c>
      <c r="AM27" s="9" t="s">
        <v>1264</v>
      </c>
      <c r="AN27" s="9" t="s">
        <v>1265</v>
      </c>
      <c r="AO27" s="9" t="s">
        <v>1266</v>
      </c>
      <c r="AP27" s="9" t="s">
        <v>1267</v>
      </c>
      <c r="AQ27" s="9" t="s">
        <v>1268</v>
      </c>
      <c r="AR27" s="9" t="s">
        <v>1269</v>
      </c>
      <c r="AS27" s="9" t="s">
        <v>1270</v>
      </c>
      <c r="AT27" s="9" t="s">
        <v>128</v>
      </c>
      <c r="AU27" s="9" t="s">
        <v>1271</v>
      </c>
      <c r="AV27" s="9" t="s">
        <v>1272</v>
      </c>
      <c r="AW27" s="9" t="s">
        <v>1273</v>
      </c>
      <c r="AX27" s="9" t="s">
        <v>1274</v>
      </c>
      <c r="AY27" s="9" t="s">
        <v>1275</v>
      </c>
      <c r="AZ27" s="9" t="s">
        <v>1276</v>
      </c>
      <c r="BA27" s="9" t="s">
        <v>1277</v>
      </c>
      <c r="BB27" s="9" t="s">
        <v>1278</v>
      </c>
      <c r="BC27" s="9" t="s">
        <v>1279</v>
      </c>
      <c r="BD27" s="9" t="s">
        <v>1280</v>
      </c>
      <c r="BE27" s="29"/>
      <c r="BF27" s="29"/>
      <c r="BG27" s="29"/>
      <c r="BH27" s="29"/>
      <c r="BI27" s="29"/>
      <c r="BJ27" s="29"/>
      <c r="BK27" s="29"/>
      <c r="BL27" s="29"/>
    </row>
    <row r="28" customFormat="false" ht="141" hidden="false" customHeight="false" outlineLevel="0" collapsed="false">
      <c r="A28" s="9" t="s">
        <v>1281</v>
      </c>
      <c r="B28" s="9" t="s">
        <v>84</v>
      </c>
      <c r="C28" s="9" t="s">
        <v>1044</v>
      </c>
      <c r="D28" s="9" t="s">
        <v>188</v>
      </c>
      <c r="E28" s="9" t="s">
        <v>87</v>
      </c>
      <c r="F28" s="9" t="s">
        <v>1282</v>
      </c>
      <c r="G28" s="28" t="s">
        <v>1283</v>
      </c>
      <c r="H28" s="9" t="s">
        <v>90</v>
      </c>
      <c r="I28" s="9" t="s">
        <v>1284</v>
      </c>
      <c r="J28" s="9" t="s">
        <v>1285</v>
      </c>
      <c r="K28" s="9" t="s">
        <v>1286</v>
      </c>
      <c r="L28" s="9" t="s">
        <v>1287</v>
      </c>
      <c r="M28" s="9" t="s">
        <v>1288</v>
      </c>
      <c r="N28" s="9" t="s">
        <v>1289</v>
      </c>
      <c r="O28" s="9" t="s">
        <v>97</v>
      </c>
      <c r="P28" s="9" t="s">
        <v>1290</v>
      </c>
      <c r="Q28" s="9" t="s">
        <v>99</v>
      </c>
      <c r="R28" s="9" t="s">
        <v>1291</v>
      </c>
      <c r="S28" s="9" t="s">
        <v>1292</v>
      </c>
      <c r="T28" s="9" t="s">
        <v>1293</v>
      </c>
      <c r="U28" s="9" t="s">
        <v>1294</v>
      </c>
      <c r="V28" s="9" t="s">
        <v>1295</v>
      </c>
      <c r="W28" s="9" t="s">
        <v>1296</v>
      </c>
      <c r="X28" s="9" t="s">
        <v>1297</v>
      </c>
      <c r="Y28" s="9" t="s">
        <v>1298</v>
      </c>
      <c r="Z28" s="9" t="s">
        <v>1299</v>
      </c>
      <c r="AA28" s="9" t="s">
        <v>1300</v>
      </c>
      <c r="AB28" s="9" t="s">
        <v>1301</v>
      </c>
      <c r="AC28" s="9" t="s">
        <v>1302</v>
      </c>
      <c r="AD28" s="9" t="s">
        <v>1303</v>
      </c>
      <c r="AE28" s="9" t="s">
        <v>1304</v>
      </c>
      <c r="AF28" s="9" t="s">
        <v>1305</v>
      </c>
      <c r="AG28" s="9" t="s">
        <v>1306</v>
      </c>
      <c r="AH28" s="9" t="s">
        <v>1307</v>
      </c>
      <c r="AI28" s="9" t="s">
        <v>1308</v>
      </c>
      <c r="AJ28" s="9" t="s">
        <v>1309</v>
      </c>
      <c r="AK28" s="9" t="s">
        <v>1310</v>
      </c>
      <c r="AL28" s="9" t="s">
        <v>1311</v>
      </c>
      <c r="AM28" s="9" t="s">
        <v>1312</v>
      </c>
      <c r="AN28" s="9" t="s">
        <v>1313</v>
      </c>
      <c r="AO28" s="9" t="s">
        <v>1314</v>
      </c>
      <c r="AP28" s="9" t="s">
        <v>1315</v>
      </c>
      <c r="AQ28" s="9" t="s">
        <v>1316</v>
      </c>
      <c r="AR28" s="9" t="s">
        <v>1317</v>
      </c>
      <c r="AS28" s="9" t="s">
        <v>1318</v>
      </c>
      <c r="AT28" s="9" t="s">
        <v>177</v>
      </c>
      <c r="AU28" s="9" t="s">
        <v>1319</v>
      </c>
      <c r="AV28" s="9" t="s">
        <v>1320</v>
      </c>
      <c r="AW28" s="9" t="s">
        <v>1321</v>
      </c>
      <c r="AX28" s="9" t="s">
        <v>1322</v>
      </c>
      <c r="AY28" s="9" t="s">
        <v>1323</v>
      </c>
      <c r="AZ28" s="9" t="s">
        <v>1324</v>
      </c>
      <c r="BA28" s="9" t="s">
        <v>1325</v>
      </c>
      <c r="BB28" s="9" t="s">
        <v>1326</v>
      </c>
      <c r="BC28" s="9" t="s">
        <v>1327</v>
      </c>
      <c r="BD28" s="9" t="s">
        <v>1328</v>
      </c>
      <c r="BE28" s="29"/>
      <c r="BF28" s="29"/>
      <c r="BG28" s="29"/>
      <c r="BH28" s="29"/>
      <c r="BI28" s="29"/>
      <c r="BJ28" s="29"/>
      <c r="BK28" s="29"/>
      <c r="BL28" s="29"/>
    </row>
    <row r="29" customFormat="false" ht="128.35" hidden="false" customHeight="false" outlineLevel="0" collapsed="false">
      <c r="A29" s="9" t="s">
        <v>1329</v>
      </c>
      <c r="B29" s="9" t="s">
        <v>84</v>
      </c>
      <c r="C29" s="9" t="s">
        <v>1044</v>
      </c>
      <c r="D29" s="9" t="s">
        <v>188</v>
      </c>
      <c r="E29" s="9" t="s">
        <v>87</v>
      </c>
      <c r="F29" s="9" t="s">
        <v>1330</v>
      </c>
      <c r="G29" s="28" t="s">
        <v>1331</v>
      </c>
      <c r="H29" s="9" t="s">
        <v>90</v>
      </c>
      <c r="I29" s="9" t="s">
        <v>1332</v>
      </c>
      <c r="J29" s="9" t="s">
        <v>1333</v>
      </c>
      <c r="K29" s="9" t="s">
        <v>1334</v>
      </c>
      <c r="L29" s="9" t="s">
        <v>1335</v>
      </c>
      <c r="M29" s="9" t="s">
        <v>1336</v>
      </c>
      <c r="N29" s="9" t="s">
        <v>1337</v>
      </c>
      <c r="O29" s="9" t="s">
        <v>97</v>
      </c>
      <c r="P29" s="9" t="s">
        <v>1338</v>
      </c>
      <c r="Q29" s="9" t="s">
        <v>99</v>
      </c>
      <c r="R29" s="9" t="s">
        <v>1339</v>
      </c>
      <c r="S29" s="9" t="s">
        <v>1340</v>
      </c>
      <c r="T29" s="9" t="s">
        <v>1341</v>
      </c>
      <c r="U29" s="9" t="s">
        <v>1342</v>
      </c>
      <c r="V29" s="9" t="s">
        <v>1343</v>
      </c>
      <c r="W29" s="9" t="s">
        <v>1344</v>
      </c>
      <c r="X29" s="9" t="s">
        <v>1345</v>
      </c>
      <c r="Y29" s="9" t="s">
        <v>1346</v>
      </c>
      <c r="Z29" s="9" t="s">
        <v>1347</v>
      </c>
      <c r="AA29" s="9" t="s">
        <v>1348</v>
      </c>
      <c r="AB29" s="9" t="s">
        <v>1349</v>
      </c>
      <c r="AC29" s="9" t="s">
        <v>1350</v>
      </c>
      <c r="AD29" s="9" t="s">
        <v>1351</v>
      </c>
      <c r="AE29" s="9" t="s">
        <v>1352</v>
      </c>
      <c r="AF29" s="9" t="s">
        <v>1353</v>
      </c>
      <c r="AG29" s="9" t="s">
        <v>1354</v>
      </c>
      <c r="AH29" s="9" t="s">
        <v>1355</v>
      </c>
      <c r="AI29" s="9" t="s">
        <v>1356</v>
      </c>
      <c r="AJ29" s="9" t="s">
        <v>1357</v>
      </c>
      <c r="AK29" s="9" t="s">
        <v>1358</v>
      </c>
      <c r="AL29" s="9" t="s">
        <v>1359</v>
      </c>
      <c r="AM29" s="9" t="s">
        <v>1360</v>
      </c>
      <c r="AN29" s="9" t="s">
        <v>1361</v>
      </c>
      <c r="AO29" s="9" t="s">
        <v>1362</v>
      </c>
      <c r="AP29" s="9" t="s">
        <v>1363</v>
      </c>
      <c r="AQ29" s="9" t="s">
        <v>1364</v>
      </c>
      <c r="AR29" s="9" t="s">
        <v>1365</v>
      </c>
      <c r="AS29" s="9" t="s">
        <v>1366</v>
      </c>
      <c r="AT29" s="9" t="s">
        <v>128</v>
      </c>
      <c r="AU29" s="9" t="s">
        <v>1367</v>
      </c>
      <c r="AV29" s="9" t="s">
        <v>1368</v>
      </c>
      <c r="AW29" s="9" t="s">
        <v>1369</v>
      </c>
      <c r="AX29" s="9" t="s">
        <v>1370</v>
      </c>
      <c r="AY29" s="9" t="s">
        <v>1371</v>
      </c>
      <c r="AZ29" s="9" t="s">
        <v>1372</v>
      </c>
      <c r="BA29" s="9" t="s">
        <v>1373</v>
      </c>
      <c r="BB29" s="9" t="s">
        <v>1374</v>
      </c>
      <c r="BC29" s="9" t="s">
        <v>1375</v>
      </c>
      <c r="BD29" s="9" t="s">
        <v>1376</v>
      </c>
      <c r="BE29" s="29"/>
      <c r="BF29" s="29"/>
      <c r="BG29" s="29"/>
      <c r="BH29" s="29"/>
      <c r="BI29" s="29"/>
      <c r="BJ29" s="29"/>
      <c r="BK29" s="29"/>
      <c r="BL29" s="29"/>
    </row>
    <row r="30" customFormat="false" ht="141" hidden="false" customHeight="false" outlineLevel="0" collapsed="false">
      <c r="A30" s="9" t="s">
        <v>1377</v>
      </c>
      <c r="B30" s="9" t="s">
        <v>84</v>
      </c>
      <c r="C30" s="9" t="s">
        <v>1044</v>
      </c>
      <c r="D30" s="9" t="s">
        <v>1092</v>
      </c>
      <c r="E30" s="9" t="s">
        <v>87</v>
      </c>
      <c r="F30" s="9" t="s">
        <v>1378</v>
      </c>
      <c r="G30" s="28" t="s">
        <v>1379</v>
      </c>
      <c r="H30" s="9" t="s">
        <v>90</v>
      </c>
      <c r="I30" s="9" t="s">
        <v>1380</v>
      </c>
      <c r="J30" s="9" t="s">
        <v>1381</v>
      </c>
      <c r="K30" s="9" t="s">
        <v>1382</v>
      </c>
      <c r="L30" s="9" t="s">
        <v>1383</v>
      </c>
      <c r="M30" s="9" t="s">
        <v>1384</v>
      </c>
      <c r="N30" s="9" t="s">
        <v>1385</v>
      </c>
      <c r="O30" s="9" t="s">
        <v>97</v>
      </c>
      <c r="P30" s="9" t="s">
        <v>1386</v>
      </c>
      <c r="Q30" s="9" t="s">
        <v>99</v>
      </c>
      <c r="R30" s="9" t="s">
        <v>1387</v>
      </c>
      <c r="S30" s="9" t="s">
        <v>1388</v>
      </c>
      <c r="T30" s="9" t="s">
        <v>1389</v>
      </c>
      <c r="U30" s="9" t="s">
        <v>1390</v>
      </c>
      <c r="V30" s="9" t="s">
        <v>1391</v>
      </c>
      <c r="W30" s="9" t="s">
        <v>1392</v>
      </c>
      <c r="X30" s="9" t="s">
        <v>1393</v>
      </c>
      <c r="Y30" s="9" t="s">
        <v>1394</v>
      </c>
      <c r="Z30" s="9" t="s">
        <v>1395</v>
      </c>
      <c r="AA30" s="9" t="s">
        <v>1396</v>
      </c>
      <c r="AB30" s="9" t="s">
        <v>1397</v>
      </c>
      <c r="AC30" s="9" t="s">
        <v>1398</v>
      </c>
      <c r="AD30" s="9" t="s">
        <v>1399</v>
      </c>
      <c r="AE30" s="9" t="s">
        <v>1400</v>
      </c>
      <c r="AF30" s="9" t="s">
        <v>1401</v>
      </c>
      <c r="AG30" s="9" t="s">
        <v>1402</v>
      </c>
      <c r="AH30" s="9" t="s">
        <v>1403</v>
      </c>
      <c r="AI30" s="9" t="s">
        <v>1404</v>
      </c>
      <c r="AJ30" s="9" t="s">
        <v>1405</v>
      </c>
      <c r="AK30" s="9" t="s">
        <v>1406</v>
      </c>
      <c r="AL30" s="9" t="s">
        <v>1407</v>
      </c>
      <c r="AM30" s="9" t="s">
        <v>1408</v>
      </c>
      <c r="AN30" s="9" t="s">
        <v>1409</v>
      </c>
      <c r="AO30" s="9" t="s">
        <v>1410</v>
      </c>
      <c r="AP30" s="9" t="s">
        <v>1411</v>
      </c>
      <c r="AQ30" s="9" t="s">
        <v>793</v>
      </c>
      <c r="AR30" s="9" t="s">
        <v>1412</v>
      </c>
      <c r="AS30" s="9" t="s">
        <v>1413</v>
      </c>
      <c r="AT30" s="9" t="s">
        <v>414</v>
      </c>
      <c r="AU30" s="9" t="s">
        <v>1414</v>
      </c>
      <c r="AV30" s="9" t="s">
        <v>1415</v>
      </c>
      <c r="AW30" s="9" t="s">
        <v>1416</v>
      </c>
      <c r="AX30" s="9" t="s">
        <v>1417</v>
      </c>
      <c r="AY30" s="9" t="s">
        <v>1418</v>
      </c>
      <c r="AZ30" s="9" t="s">
        <v>1419</v>
      </c>
      <c r="BA30" s="9" t="s">
        <v>1420</v>
      </c>
      <c r="BB30" s="9" t="s">
        <v>1421</v>
      </c>
      <c r="BC30" s="9" t="s">
        <v>1422</v>
      </c>
      <c r="BD30" s="9" t="s">
        <v>1423</v>
      </c>
      <c r="BE30" s="29"/>
      <c r="BF30" s="29"/>
      <c r="BG30" s="29"/>
      <c r="BH30" s="29"/>
      <c r="BI30" s="29"/>
      <c r="BJ30" s="29"/>
      <c r="BK30" s="29"/>
      <c r="BL30" s="29"/>
    </row>
    <row r="31" customFormat="false" ht="128.35" hidden="false" customHeight="false" outlineLevel="0" collapsed="false">
      <c r="A31" s="9" t="s">
        <v>1424</v>
      </c>
      <c r="B31" s="9" t="s">
        <v>84</v>
      </c>
      <c r="C31" s="9" t="s">
        <v>1044</v>
      </c>
      <c r="D31" s="9" t="s">
        <v>188</v>
      </c>
      <c r="E31" s="9" t="s">
        <v>87</v>
      </c>
      <c r="F31" s="9" t="s">
        <v>1140</v>
      </c>
      <c r="G31" s="28" t="s">
        <v>1425</v>
      </c>
      <c r="H31" s="9" t="s">
        <v>90</v>
      </c>
      <c r="I31" s="9" t="s">
        <v>1426</v>
      </c>
      <c r="J31" s="9" t="s">
        <v>1427</v>
      </c>
      <c r="K31" s="9" t="s">
        <v>1428</v>
      </c>
      <c r="L31" s="9" t="s">
        <v>1429</v>
      </c>
      <c r="M31" s="9" t="s">
        <v>1430</v>
      </c>
      <c r="N31" s="9" t="s">
        <v>1431</v>
      </c>
      <c r="O31" s="9" t="s">
        <v>97</v>
      </c>
      <c r="P31" s="9" t="s">
        <v>1432</v>
      </c>
      <c r="Q31" s="9" t="s">
        <v>291</v>
      </c>
      <c r="R31" s="9" t="s">
        <v>1433</v>
      </c>
      <c r="S31" s="9" t="s">
        <v>1434</v>
      </c>
      <c r="T31" s="9" t="s">
        <v>1435</v>
      </c>
      <c r="U31" s="9" t="s">
        <v>1436</v>
      </c>
      <c r="V31" s="9" t="s">
        <v>1437</v>
      </c>
      <c r="W31" s="9" t="s">
        <v>1438</v>
      </c>
      <c r="X31" s="9" t="s">
        <v>1439</v>
      </c>
      <c r="Y31" s="9" t="s">
        <v>1440</v>
      </c>
      <c r="Z31" s="9" t="s">
        <v>1441</v>
      </c>
      <c r="AA31" s="9" t="s">
        <v>1442</v>
      </c>
      <c r="AB31" s="9" t="s">
        <v>1443</v>
      </c>
      <c r="AC31" s="9" t="s">
        <v>1444</v>
      </c>
      <c r="AD31" s="9" t="s">
        <v>1445</v>
      </c>
      <c r="AE31" s="9" t="s">
        <v>1446</v>
      </c>
      <c r="AF31" s="9" t="s">
        <v>1447</v>
      </c>
      <c r="AG31" s="9" t="s">
        <v>1448</v>
      </c>
      <c r="AH31" s="9" t="s">
        <v>1449</v>
      </c>
      <c r="AI31" s="9" t="s">
        <v>1450</v>
      </c>
      <c r="AJ31" s="9" t="s">
        <v>1451</v>
      </c>
      <c r="AK31" s="9" t="s">
        <v>1452</v>
      </c>
      <c r="AL31" s="9" t="s">
        <v>1453</v>
      </c>
      <c r="AM31" s="9" t="s">
        <v>1454</v>
      </c>
      <c r="AN31" s="9" t="s">
        <v>1455</v>
      </c>
      <c r="AO31" s="9" t="s">
        <v>1456</v>
      </c>
      <c r="AP31" s="9" t="s">
        <v>1457</v>
      </c>
      <c r="AQ31" s="9" t="s">
        <v>125</v>
      </c>
      <c r="AR31" s="9" t="s">
        <v>1458</v>
      </c>
      <c r="AS31" s="9" t="s">
        <v>1459</v>
      </c>
      <c r="AT31" s="9" t="s">
        <v>177</v>
      </c>
      <c r="AU31" s="9" t="s">
        <v>1460</v>
      </c>
      <c r="AV31" s="9" t="s">
        <v>1461</v>
      </c>
      <c r="AW31" s="9" t="s">
        <v>1462</v>
      </c>
      <c r="AX31" s="9" t="s">
        <v>1463</v>
      </c>
      <c r="AY31" s="9" t="s">
        <v>1464</v>
      </c>
      <c r="AZ31" s="9" t="s">
        <v>1465</v>
      </c>
      <c r="BA31" s="9" t="s">
        <v>1466</v>
      </c>
      <c r="BB31" s="9" t="s">
        <v>1467</v>
      </c>
      <c r="BC31" s="9" t="s">
        <v>1468</v>
      </c>
      <c r="BD31" s="9" t="s">
        <v>1469</v>
      </c>
      <c r="BE31" s="29"/>
      <c r="BF31" s="29"/>
      <c r="BG31" s="29"/>
      <c r="BH31" s="29"/>
      <c r="BI31" s="29"/>
      <c r="BJ31" s="29"/>
      <c r="BK31" s="29"/>
      <c r="BL31" s="29"/>
    </row>
    <row r="32" customFormat="false" ht="153.7" hidden="false" customHeight="false" outlineLevel="0" collapsed="false">
      <c r="A32" s="9" t="s">
        <v>1470</v>
      </c>
      <c r="B32" s="9" t="s">
        <v>84</v>
      </c>
      <c r="C32" s="9" t="s">
        <v>1044</v>
      </c>
      <c r="D32" s="9" t="s">
        <v>188</v>
      </c>
      <c r="E32" s="9" t="s">
        <v>87</v>
      </c>
      <c r="F32" s="9" t="s">
        <v>1140</v>
      </c>
      <c r="G32" s="28" t="s">
        <v>1471</v>
      </c>
      <c r="H32" s="9" t="s">
        <v>90</v>
      </c>
      <c r="I32" s="9" t="s">
        <v>1472</v>
      </c>
      <c r="J32" s="9" t="s">
        <v>1473</v>
      </c>
      <c r="K32" s="9" t="s">
        <v>1474</v>
      </c>
      <c r="L32" s="9" t="s">
        <v>1475</v>
      </c>
      <c r="M32" s="9" t="s">
        <v>1476</v>
      </c>
      <c r="N32" s="9" t="s">
        <v>1477</v>
      </c>
      <c r="O32" s="9" t="s">
        <v>97</v>
      </c>
      <c r="P32" s="9" t="s">
        <v>1478</v>
      </c>
      <c r="Q32" s="9" t="s">
        <v>291</v>
      </c>
      <c r="R32" s="9" t="s">
        <v>1479</v>
      </c>
      <c r="S32" s="9" t="s">
        <v>1480</v>
      </c>
      <c r="T32" s="9" t="s">
        <v>1481</v>
      </c>
      <c r="U32" s="9" t="s">
        <v>1482</v>
      </c>
      <c r="V32" s="9" t="s">
        <v>1483</v>
      </c>
      <c r="W32" s="9" t="s">
        <v>1484</v>
      </c>
      <c r="X32" s="9" t="s">
        <v>1485</v>
      </c>
      <c r="Y32" s="9" t="s">
        <v>1486</v>
      </c>
      <c r="Z32" s="9" t="s">
        <v>1487</v>
      </c>
      <c r="AA32" s="9" t="s">
        <v>1488</v>
      </c>
      <c r="AB32" s="9" t="s">
        <v>1489</v>
      </c>
      <c r="AC32" s="9" t="s">
        <v>1490</v>
      </c>
      <c r="AD32" s="9" t="s">
        <v>1491</v>
      </c>
      <c r="AE32" s="9" t="s">
        <v>1492</v>
      </c>
      <c r="AF32" s="9" t="s">
        <v>1493</v>
      </c>
      <c r="AG32" s="9" t="s">
        <v>1494</v>
      </c>
      <c r="AH32" s="9" t="s">
        <v>1495</v>
      </c>
      <c r="AI32" s="9" t="s">
        <v>1496</v>
      </c>
      <c r="AJ32" s="9" t="s">
        <v>1497</v>
      </c>
      <c r="AK32" s="9" t="s">
        <v>1498</v>
      </c>
      <c r="AL32" s="9" t="s">
        <v>1499</v>
      </c>
      <c r="AM32" s="9" t="s">
        <v>1500</v>
      </c>
      <c r="AN32" s="9" t="s">
        <v>1501</v>
      </c>
      <c r="AO32" s="9" t="s">
        <v>1502</v>
      </c>
      <c r="AP32" s="9" t="s">
        <v>1503</v>
      </c>
      <c r="AQ32" s="9" t="s">
        <v>793</v>
      </c>
      <c r="AR32" s="9" t="s">
        <v>1504</v>
      </c>
      <c r="AS32" s="9" t="s">
        <v>1505</v>
      </c>
      <c r="AT32" s="9" t="s">
        <v>414</v>
      </c>
      <c r="AU32" s="9" t="s">
        <v>1506</v>
      </c>
      <c r="AV32" s="9" t="s">
        <v>1507</v>
      </c>
      <c r="AW32" s="9" t="s">
        <v>1508</v>
      </c>
      <c r="AX32" s="9" t="s">
        <v>1509</v>
      </c>
      <c r="AY32" s="9" t="s">
        <v>1510</v>
      </c>
      <c r="AZ32" s="9" t="s">
        <v>1511</v>
      </c>
      <c r="BA32" s="9" t="s">
        <v>1512</v>
      </c>
      <c r="BB32" s="9" t="s">
        <v>1513</v>
      </c>
      <c r="BC32" s="9" t="s">
        <v>1514</v>
      </c>
      <c r="BD32" s="9" t="s">
        <v>1515</v>
      </c>
      <c r="BE32" s="29"/>
      <c r="BF32" s="29"/>
      <c r="BG32" s="29"/>
      <c r="BH32" s="29"/>
      <c r="BI32" s="29"/>
      <c r="BJ32" s="29"/>
      <c r="BK32" s="29"/>
      <c r="BL32" s="29"/>
    </row>
    <row r="33" customFormat="false" ht="102.95" hidden="false" customHeight="false" outlineLevel="0" collapsed="false">
      <c r="A33" s="9" t="s">
        <v>1516</v>
      </c>
      <c r="B33" s="9" t="s">
        <v>84</v>
      </c>
      <c r="C33" s="9" t="s">
        <v>1044</v>
      </c>
      <c r="D33" s="9" t="s">
        <v>188</v>
      </c>
      <c r="E33" s="9" t="s">
        <v>87</v>
      </c>
      <c r="F33" s="9" t="s">
        <v>140</v>
      </c>
      <c r="G33" s="28" t="s">
        <v>1517</v>
      </c>
      <c r="H33" s="9" t="s">
        <v>90</v>
      </c>
      <c r="I33" s="9" t="s">
        <v>1518</v>
      </c>
      <c r="J33" s="9" t="s">
        <v>1519</v>
      </c>
      <c r="K33" s="9" t="s">
        <v>1520</v>
      </c>
      <c r="L33" s="9" t="s">
        <v>1521</v>
      </c>
      <c r="M33" s="9" t="s">
        <v>1522</v>
      </c>
      <c r="N33" s="9" t="s">
        <v>1523</v>
      </c>
      <c r="O33" s="9" t="s">
        <v>97</v>
      </c>
      <c r="P33" s="9" t="s">
        <v>1524</v>
      </c>
      <c r="Q33" s="9" t="s">
        <v>99</v>
      </c>
      <c r="R33" s="9" t="s">
        <v>1525</v>
      </c>
      <c r="S33" s="9" t="s">
        <v>1526</v>
      </c>
      <c r="T33" s="9" t="s">
        <v>1527</v>
      </c>
      <c r="U33" s="9" t="s">
        <v>1528</v>
      </c>
      <c r="V33" s="9" t="s">
        <v>1529</v>
      </c>
      <c r="W33" s="9" t="s">
        <v>1530</v>
      </c>
      <c r="X33" s="9" t="s">
        <v>1531</v>
      </c>
      <c r="Y33" s="9" t="s">
        <v>1532</v>
      </c>
      <c r="Z33" s="9" t="s">
        <v>1533</v>
      </c>
      <c r="AA33" s="9" t="s">
        <v>1534</v>
      </c>
      <c r="AB33" s="9" t="s">
        <v>1535</v>
      </c>
      <c r="AC33" s="9" t="s">
        <v>1536</v>
      </c>
      <c r="AD33" s="9" t="s">
        <v>1537</v>
      </c>
      <c r="AE33" s="9" t="s">
        <v>1538</v>
      </c>
      <c r="AF33" s="9" t="s">
        <v>1539</v>
      </c>
      <c r="AG33" s="9" t="s">
        <v>1540</v>
      </c>
      <c r="AH33" s="9" t="s">
        <v>1541</v>
      </c>
      <c r="AI33" s="9" t="s">
        <v>1542</v>
      </c>
      <c r="AJ33" s="9" t="s">
        <v>1543</v>
      </c>
      <c r="AK33" s="9" t="s">
        <v>1544</v>
      </c>
      <c r="AL33" s="9" t="s">
        <v>1545</v>
      </c>
      <c r="AM33" s="9" t="s">
        <v>1546</v>
      </c>
      <c r="AN33" s="9" t="s">
        <v>1547</v>
      </c>
      <c r="AO33" s="9" t="s">
        <v>1548</v>
      </c>
      <c r="AP33" s="9" t="s">
        <v>1549</v>
      </c>
      <c r="AQ33" s="9" t="s">
        <v>1550</v>
      </c>
      <c r="AR33" s="9" t="s">
        <v>1551</v>
      </c>
      <c r="AS33" s="9" t="s">
        <v>1552</v>
      </c>
      <c r="AT33" s="9" t="s">
        <v>177</v>
      </c>
      <c r="AU33" s="9" t="s">
        <v>1553</v>
      </c>
      <c r="AV33" s="9" t="s">
        <v>1554</v>
      </c>
      <c r="AW33" s="9" t="s">
        <v>1555</v>
      </c>
      <c r="AX33" s="9" t="s">
        <v>1556</v>
      </c>
      <c r="AY33" s="9" t="s">
        <v>1557</v>
      </c>
      <c r="AZ33" s="9" t="s">
        <v>1558</v>
      </c>
      <c r="BA33" s="9" t="s">
        <v>1559</v>
      </c>
      <c r="BB33" s="9" t="s">
        <v>1560</v>
      </c>
      <c r="BC33" s="9" t="s">
        <v>1561</v>
      </c>
      <c r="BD33" s="9" t="s">
        <v>1562</v>
      </c>
      <c r="BE33" s="29"/>
      <c r="BF33" s="29"/>
      <c r="BG33" s="29"/>
      <c r="BH33" s="29"/>
      <c r="BI33" s="29"/>
      <c r="BJ33" s="29"/>
      <c r="BK33" s="29"/>
      <c r="BL33" s="29"/>
    </row>
    <row r="34" customFormat="false" ht="128.35" hidden="false" customHeight="false" outlineLevel="0" collapsed="false">
      <c r="A34" s="9" t="s">
        <v>1563</v>
      </c>
      <c r="B34" s="9" t="s">
        <v>84</v>
      </c>
      <c r="C34" s="9" t="s">
        <v>1044</v>
      </c>
      <c r="D34" s="9" t="s">
        <v>188</v>
      </c>
      <c r="E34" s="9" t="s">
        <v>87</v>
      </c>
      <c r="F34" s="9" t="s">
        <v>1330</v>
      </c>
      <c r="G34" s="28" t="s">
        <v>1564</v>
      </c>
      <c r="H34" s="9" t="s">
        <v>90</v>
      </c>
      <c r="I34" s="9" t="s">
        <v>1565</v>
      </c>
      <c r="J34" s="9" t="s">
        <v>1566</v>
      </c>
      <c r="K34" s="9" t="s">
        <v>1567</v>
      </c>
      <c r="L34" s="9" t="s">
        <v>1568</v>
      </c>
      <c r="M34" s="9" t="s">
        <v>1569</v>
      </c>
      <c r="N34" s="9" t="s">
        <v>1570</v>
      </c>
      <c r="O34" s="9" t="s">
        <v>97</v>
      </c>
      <c r="P34" s="9" t="s">
        <v>1571</v>
      </c>
      <c r="Q34" s="9" t="s">
        <v>99</v>
      </c>
      <c r="R34" s="9" t="s">
        <v>1572</v>
      </c>
      <c r="S34" s="9" t="s">
        <v>1573</v>
      </c>
      <c r="T34" s="9" t="s">
        <v>1574</v>
      </c>
      <c r="U34" s="9" t="s">
        <v>1575</v>
      </c>
      <c r="V34" s="9" t="s">
        <v>1576</v>
      </c>
      <c r="W34" s="9" t="s">
        <v>1577</v>
      </c>
      <c r="X34" s="9" t="s">
        <v>1578</v>
      </c>
      <c r="Y34" s="9" t="s">
        <v>1579</v>
      </c>
      <c r="Z34" s="9" t="s">
        <v>1580</v>
      </c>
      <c r="AA34" s="9" t="s">
        <v>1581</v>
      </c>
      <c r="AB34" s="9" t="s">
        <v>1582</v>
      </c>
      <c r="AC34" s="9" t="s">
        <v>1583</v>
      </c>
      <c r="AD34" s="9" t="s">
        <v>1584</v>
      </c>
      <c r="AE34" s="9" t="s">
        <v>1585</v>
      </c>
      <c r="AF34" s="9" t="s">
        <v>1586</v>
      </c>
      <c r="AG34" s="9" t="s">
        <v>1587</v>
      </c>
      <c r="AH34" s="9" t="s">
        <v>1588</v>
      </c>
      <c r="AI34" s="9" t="s">
        <v>1589</v>
      </c>
      <c r="AJ34" s="9" t="s">
        <v>1590</v>
      </c>
      <c r="AK34" s="9" t="s">
        <v>1591</v>
      </c>
      <c r="AL34" s="9" t="s">
        <v>1592</v>
      </c>
      <c r="AM34" s="9" t="s">
        <v>1593</v>
      </c>
      <c r="AN34" s="9" t="s">
        <v>1594</v>
      </c>
      <c r="AO34" s="9" t="s">
        <v>1595</v>
      </c>
      <c r="AP34" s="9" t="s">
        <v>1596</v>
      </c>
      <c r="AQ34" s="9" t="s">
        <v>1597</v>
      </c>
      <c r="AR34" s="9" t="s">
        <v>1598</v>
      </c>
      <c r="AS34" s="9" t="s">
        <v>1599</v>
      </c>
      <c r="AT34" s="9" t="s">
        <v>177</v>
      </c>
      <c r="AU34" s="9" t="s">
        <v>1600</v>
      </c>
      <c r="AV34" s="9" t="s">
        <v>1601</v>
      </c>
      <c r="AW34" s="9" t="s">
        <v>1602</v>
      </c>
      <c r="AX34" s="9" t="s">
        <v>1603</v>
      </c>
      <c r="AY34" s="9" t="s">
        <v>1604</v>
      </c>
      <c r="AZ34" s="9" t="s">
        <v>1605</v>
      </c>
      <c r="BA34" s="9" t="s">
        <v>1606</v>
      </c>
      <c r="BB34" s="9" t="s">
        <v>1607</v>
      </c>
      <c r="BC34" s="9" t="s">
        <v>1608</v>
      </c>
      <c r="BD34" s="9" t="s">
        <v>1609</v>
      </c>
      <c r="BE34" s="29"/>
      <c r="BF34" s="29"/>
      <c r="BG34" s="29"/>
      <c r="BH34" s="29"/>
      <c r="BI34" s="29"/>
      <c r="BJ34" s="29"/>
      <c r="BK34" s="29"/>
      <c r="BL34" s="29"/>
    </row>
    <row r="35" customFormat="false" ht="115.65" hidden="false" customHeight="false" outlineLevel="0" collapsed="false">
      <c r="A35" s="9" t="s">
        <v>1610</v>
      </c>
      <c r="B35" s="9" t="s">
        <v>84</v>
      </c>
      <c r="C35" s="9" t="s">
        <v>1044</v>
      </c>
      <c r="D35" s="9" t="s">
        <v>188</v>
      </c>
      <c r="E35" s="9" t="s">
        <v>87</v>
      </c>
      <c r="F35" s="9" t="s">
        <v>662</v>
      </c>
      <c r="G35" s="28" t="s">
        <v>1611</v>
      </c>
      <c r="H35" s="9" t="s">
        <v>90</v>
      </c>
      <c r="I35" s="9" t="s">
        <v>1612</v>
      </c>
      <c r="J35" s="9" t="s">
        <v>1613</v>
      </c>
      <c r="K35" s="9" t="s">
        <v>1614</v>
      </c>
      <c r="L35" s="9" t="s">
        <v>1615</v>
      </c>
      <c r="M35" s="9" t="s">
        <v>1616</v>
      </c>
      <c r="N35" s="9" t="s">
        <v>1617</v>
      </c>
      <c r="O35" s="9" t="s">
        <v>97</v>
      </c>
      <c r="P35" s="9" t="s">
        <v>1618</v>
      </c>
      <c r="Q35" s="9" t="s">
        <v>99</v>
      </c>
      <c r="R35" s="9" t="s">
        <v>1619</v>
      </c>
      <c r="S35" s="9" t="s">
        <v>1620</v>
      </c>
      <c r="T35" s="9" t="s">
        <v>1621</v>
      </c>
      <c r="U35" s="9" t="s">
        <v>1622</v>
      </c>
      <c r="V35" s="9" t="s">
        <v>1623</v>
      </c>
      <c r="W35" s="9" t="s">
        <v>1624</v>
      </c>
      <c r="X35" s="9" t="s">
        <v>1625</v>
      </c>
      <c r="Y35" s="9" t="s">
        <v>1626</v>
      </c>
      <c r="Z35" s="9" t="s">
        <v>1627</v>
      </c>
      <c r="AA35" s="9" t="s">
        <v>1628</v>
      </c>
      <c r="AB35" s="9" t="s">
        <v>1629</v>
      </c>
      <c r="AC35" s="9" t="s">
        <v>1630</v>
      </c>
      <c r="AD35" s="9" t="s">
        <v>1631</v>
      </c>
      <c r="AE35" s="9" t="s">
        <v>1632</v>
      </c>
      <c r="AF35" s="9" t="s">
        <v>1633</v>
      </c>
      <c r="AG35" s="9" t="s">
        <v>1634</v>
      </c>
      <c r="AH35" s="9" t="s">
        <v>1635</v>
      </c>
      <c r="AI35" s="9" t="s">
        <v>1636</v>
      </c>
      <c r="AJ35" s="9" t="s">
        <v>1637</v>
      </c>
      <c r="AK35" s="9" t="s">
        <v>1638</v>
      </c>
      <c r="AL35" s="9" t="s">
        <v>1639</v>
      </c>
      <c r="AM35" s="9" t="s">
        <v>1640</v>
      </c>
      <c r="AN35" s="9" t="s">
        <v>1641</v>
      </c>
      <c r="AO35" s="9" t="s">
        <v>1642</v>
      </c>
      <c r="AP35" s="9" t="s">
        <v>1643</v>
      </c>
      <c r="AQ35" s="9" t="s">
        <v>1644</v>
      </c>
      <c r="AR35" s="9" t="s">
        <v>1645</v>
      </c>
      <c r="AS35" s="9" t="s">
        <v>1646</v>
      </c>
      <c r="AT35" s="9" t="s">
        <v>699</v>
      </c>
      <c r="AU35" s="9" t="s">
        <v>1647</v>
      </c>
      <c r="AV35" s="9" t="s">
        <v>1648</v>
      </c>
      <c r="AW35" s="9" t="s">
        <v>1649</v>
      </c>
      <c r="AX35" s="9" t="s">
        <v>1650</v>
      </c>
      <c r="AY35" s="9" t="s">
        <v>1651</v>
      </c>
      <c r="AZ35" s="9" t="s">
        <v>1652</v>
      </c>
      <c r="BA35" s="9" t="s">
        <v>1653</v>
      </c>
      <c r="BB35" s="9" t="s">
        <v>1654</v>
      </c>
      <c r="BC35" s="9" t="s">
        <v>1655</v>
      </c>
      <c r="BD35" s="9" t="s">
        <v>1656</v>
      </c>
      <c r="BE35" s="29"/>
      <c r="BF35" s="29"/>
      <c r="BG35" s="29"/>
      <c r="BH35" s="29"/>
      <c r="BI35" s="29"/>
      <c r="BJ35" s="29"/>
      <c r="BK35" s="29"/>
      <c r="BL35" s="29"/>
    </row>
    <row r="36" customFormat="false" ht="128.35" hidden="false" customHeight="false" outlineLevel="0" collapsed="false">
      <c r="A36" s="9" t="s">
        <v>1657</v>
      </c>
      <c r="B36" s="9" t="s">
        <v>84</v>
      </c>
      <c r="C36" s="9" t="s">
        <v>1044</v>
      </c>
      <c r="D36" s="9" t="s">
        <v>188</v>
      </c>
      <c r="E36" s="9" t="s">
        <v>87</v>
      </c>
      <c r="F36" s="9" t="s">
        <v>1330</v>
      </c>
      <c r="G36" s="28" t="s">
        <v>1658</v>
      </c>
      <c r="H36" s="9" t="s">
        <v>90</v>
      </c>
      <c r="I36" s="9" t="s">
        <v>1659</v>
      </c>
      <c r="J36" s="9" t="s">
        <v>1660</v>
      </c>
      <c r="K36" s="9" t="s">
        <v>1661</v>
      </c>
      <c r="L36" s="9" t="s">
        <v>1662</v>
      </c>
      <c r="M36" s="9" t="s">
        <v>1663</v>
      </c>
      <c r="N36" s="9" t="s">
        <v>1664</v>
      </c>
      <c r="O36" s="9" t="s">
        <v>97</v>
      </c>
      <c r="P36" s="9" t="s">
        <v>1665</v>
      </c>
      <c r="Q36" s="9" t="s">
        <v>291</v>
      </c>
      <c r="R36" s="9" t="s">
        <v>1666</v>
      </c>
      <c r="S36" s="9" t="s">
        <v>1667</v>
      </c>
      <c r="T36" s="9" t="s">
        <v>1668</v>
      </c>
      <c r="U36" s="9" t="s">
        <v>1669</v>
      </c>
      <c r="V36" s="9" t="s">
        <v>1670</v>
      </c>
      <c r="W36" s="9" t="s">
        <v>1671</v>
      </c>
      <c r="X36" s="9" t="s">
        <v>1672</v>
      </c>
      <c r="Y36" s="9" t="s">
        <v>1673</v>
      </c>
      <c r="Z36" s="9" t="s">
        <v>1674</v>
      </c>
      <c r="AA36" s="9" t="s">
        <v>1675</v>
      </c>
      <c r="AB36" s="9" t="s">
        <v>1676</v>
      </c>
      <c r="AC36" s="9" t="s">
        <v>1677</v>
      </c>
      <c r="AD36" s="9" t="s">
        <v>1678</v>
      </c>
      <c r="AE36" s="9" t="s">
        <v>1679</v>
      </c>
      <c r="AF36" s="9" t="s">
        <v>1680</v>
      </c>
      <c r="AG36" s="9" t="s">
        <v>1681</v>
      </c>
      <c r="AH36" s="9" t="s">
        <v>1682</v>
      </c>
      <c r="AI36" s="9" t="s">
        <v>1683</v>
      </c>
      <c r="AJ36" s="9" t="s">
        <v>1684</v>
      </c>
      <c r="AK36" s="9" t="s">
        <v>1685</v>
      </c>
      <c r="AL36" s="9" t="s">
        <v>1686</v>
      </c>
      <c r="AM36" s="9" t="s">
        <v>1687</v>
      </c>
      <c r="AN36" s="9" t="s">
        <v>1688</v>
      </c>
      <c r="AO36" s="9" t="s">
        <v>1689</v>
      </c>
      <c r="AP36" s="9" t="s">
        <v>1690</v>
      </c>
      <c r="AQ36" s="9" t="s">
        <v>1691</v>
      </c>
      <c r="AR36" s="9" t="s">
        <v>1692</v>
      </c>
      <c r="AS36" s="9" t="s">
        <v>1693</v>
      </c>
      <c r="AT36" s="9" t="s">
        <v>414</v>
      </c>
      <c r="AU36" s="9" t="s">
        <v>1694</v>
      </c>
      <c r="AV36" s="9" t="s">
        <v>1695</v>
      </c>
      <c r="AW36" s="9" t="s">
        <v>1696</v>
      </c>
      <c r="AX36" s="9" t="s">
        <v>1697</v>
      </c>
      <c r="AY36" s="9" t="s">
        <v>1698</v>
      </c>
      <c r="AZ36" s="9" t="s">
        <v>1699</v>
      </c>
      <c r="BA36" s="9" t="s">
        <v>1700</v>
      </c>
      <c r="BB36" s="9" t="s">
        <v>1701</v>
      </c>
      <c r="BC36" s="9" t="s">
        <v>1702</v>
      </c>
      <c r="BD36" s="9" t="s">
        <v>1703</v>
      </c>
      <c r="BE36" s="29"/>
      <c r="BF36" s="29"/>
      <c r="BG36" s="29"/>
      <c r="BH36" s="29"/>
      <c r="BI36" s="29"/>
      <c r="BJ36" s="29"/>
      <c r="BK36" s="29"/>
      <c r="BL36" s="29"/>
    </row>
    <row r="37" customFormat="false" ht="128.35" hidden="false" customHeight="false" outlineLevel="0" collapsed="false">
      <c r="A37" s="9" t="s">
        <v>1704</v>
      </c>
      <c r="B37" s="9" t="s">
        <v>84</v>
      </c>
      <c r="C37" s="9" t="s">
        <v>1044</v>
      </c>
      <c r="D37" s="9" t="s">
        <v>188</v>
      </c>
      <c r="E37" s="9" t="s">
        <v>758</v>
      </c>
      <c r="F37" s="9" t="s">
        <v>236</v>
      </c>
      <c r="G37" s="28" t="s">
        <v>1705</v>
      </c>
      <c r="H37" s="9" t="s">
        <v>760</v>
      </c>
      <c r="I37" s="9" t="s">
        <v>1706</v>
      </c>
      <c r="J37" s="9" t="s">
        <v>1707</v>
      </c>
      <c r="K37" s="9" t="s">
        <v>1708</v>
      </c>
      <c r="L37" s="9" t="s">
        <v>1709</v>
      </c>
      <c r="M37" s="9" t="s">
        <v>1710</v>
      </c>
      <c r="N37" s="9" t="s">
        <v>1711</v>
      </c>
      <c r="O37" s="9" t="s">
        <v>97</v>
      </c>
      <c r="P37" s="9" t="s">
        <v>1712</v>
      </c>
      <c r="Q37" s="9" t="s">
        <v>99</v>
      </c>
      <c r="R37" s="9" t="s">
        <v>1713</v>
      </c>
      <c r="S37" s="9" t="s">
        <v>1714</v>
      </c>
      <c r="T37" s="9" t="s">
        <v>1715</v>
      </c>
      <c r="U37" s="9" t="s">
        <v>1716</v>
      </c>
      <c r="V37" s="9" t="s">
        <v>1717</v>
      </c>
      <c r="W37" s="9" t="s">
        <v>1718</v>
      </c>
      <c r="X37" s="9" t="s">
        <v>1719</v>
      </c>
      <c r="Y37" s="9" t="s">
        <v>1720</v>
      </c>
      <c r="Z37" s="9" t="s">
        <v>1721</v>
      </c>
      <c r="AA37" s="9" t="s">
        <v>1722</v>
      </c>
      <c r="AB37" s="9" t="s">
        <v>1723</v>
      </c>
      <c r="AC37" s="9" t="s">
        <v>1724</v>
      </c>
      <c r="AD37" s="9" t="s">
        <v>1725</v>
      </c>
      <c r="AE37" s="9" t="s">
        <v>1726</v>
      </c>
      <c r="AF37" s="9" t="s">
        <v>1727</v>
      </c>
      <c r="AG37" s="9" t="s">
        <v>1728</v>
      </c>
      <c r="AH37" s="9" t="s">
        <v>1729</v>
      </c>
      <c r="AI37" s="9" t="s">
        <v>1730</v>
      </c>
      <c r="AJ37" s="9" t="s">
        <v>1731</v>
      </c>
      <c r="AK37" s="9" t="s">
        <v>1732</v>
      </c>
      <c r="AL37" s="9" t="s">
        <v>1733</v>
      </c>
      <c r="AM37" s="9" t="s">
        <v>1734</v>
      </c>
      <c r="AN37" s="9" t="s">
        <v>1735</v>
      </c>
      <c r="AO37" s="9" t="s">
        <v>1736</v>
      </c>
      <c r="AP37" s="9" t="s">
        <v>1737</v>
      </c>
      <c r="AQ37" s="9" t="s">
        <v>1738</v>
      </c>
      <c r="AR37" s="9" t="s">
        <v>1739</v>
      </c>
      <c r="AS37" s="9" t="s">
        <v>1740</v>
      </c>
      <c r="AT37" s="9" t="s">
        <v>699</v>
      </c>
      <c r="AU37" s="9" t="s">
        <v>1741</v>
      </c>
      <c r="AV37" s="9" t="s">
        <v>1742</v>
      </c>
      <c r="AW37" s="9" t="s">
        <v>1743</v>
      </c>
      <c r="AX37" s="9" t="s">
        <v>1744</v>
      </c>
      <c r="AY37" s="9" t="s">
        <v>1745</v>
      </c>
      <c r="AZ37" s="9" t="s">
        <v>1746</v>
      </c>
      <c r="BA37" s="9" t="s">
        <v>1747</v>
      </c>
      <c r="BB37" s="9" t="s">
        <v>1748</v>
      </c>
      <c r="BC37" s="9" t="s">
        <v>1749</v>
      </c>
      <c r="BD37" s="9" t="s">
        <v>1750</v>
      </c>
      <c r="BE37" s="29"/>
      <c r="BF37" s="29"/>
      <c r="BG37" s="29"/>
      <c r="BH37" s="29"/>
      <c r="BI37" s="29"/>
      <c r="BJ37" s="29"/>
      <c r="BK37" s="29"/>
      <c r="BL37" s="29"/>
    </row>
    <row r="38" customFormat="false" ht="128.35" hidden="false" customHeight="false" outlineLevel="0" collapsed="false">
      <c r="A38" s="9" t="s">
        <v>1751</v>
      </c>
      <c r="B38" s="9" t="s">
        <v>84</v>
      </c>
      <c r="C38" s="9" t="s">
        <v>1044</v>
      </c>
      <c r="D38" s="9" t="s">
        <v>1092</v>
      </c>
      <c r="E38" s="9" t="s">
        <v>758</v>
      </c>
      <c r="F38" s="9" t="s">
        <v>997</v>
      </c>
      <c r="G38" s="28" t="s">
        <v>1752</v>
      </c>
      <c r="H38" s="9" t="s">
        <v>760</v>
      </c>
      <c r="I38" s="9" t="s">
        <v>1753</v>
      </c>
      <c r="J38" s="9" t="s">
        <v>1754</v>
      </c>
      <c r="K38" s="9" t="s">
        <v>1755</v>
      </c>
      <c r="L38" s="9" t="s">
        <v>1756</v>
      </c>
      <c r="M38" s="9" t="s">
        <v>1757</v>
      </c>
      <c r="N38" s="9" t="s">
        <v>1758</v>
      </c>
      <c r="O38" s="9" t="s">
        <v>97</v>
      </c>
      <c r="P38" s="9" t="s">
        <v>1759</v>
      </c>
      <c r="Q38" s="9" t="s">
        <v>99</v>
      </c>
      <c r="R38" s="9" t="s">
        <v>1760</v>
      </c>
      <c r="S38" s="9" t="s">
        <v>1761</v>
      </c>
      <c r="T38" s="9" t="s">
        <v>1762</v>
      </c>
      <c r="U38" s="9" t="s">
        <v>1763</v>
      </c>
      <c r="V38" s="9" t="s">
        <v>1764</v>
      </c>
      <c r="W38" s="9" t="s">
        <v>1765</v>
      </c>
      <c r="X38" s="9" t="s">
        <v>1766</v>
      </c>
      <c r="Y38" s="9" t="s">
        <v>1767</v>
      </c>
      <c r="Z38" s="9" t="s">
        <v>1768</v>
      </c>
      <c r="AA38" s="9" t="s">
        <v>1769</v>
      </c>
      <c r="AB38" s="9" t="s">
        <v>1770</v>
      </c>
      <c r="AC38" s="9" t="s">
        <v>1771</v>
      </c>
      <c r="AD38" s="9" t="s">
        <v>1772</v>
      </c>
      <c r="AE38" s="9" t="s">
        <v>1773</v>
      </c>
      <c r="AF38" s="9" t="s">
        <v>1774</v>
      </c>
      <c r="AG38" s="9" t="s">
        <v>1775</v>
      </c>
      <c r="AH38" s="9" t="s">
        <v>1776</v>
      </c>
      <c r="AI38" s="9" t="s">
        <v>1777</v>
      </c>
      <c r="AJ38" s="9" t="s">
        <v>1778</v>
      </c>
      <c r="AK38" s="9" t="s">
        <v>1779</v>
      </c>
      <c r="AL38" s="9" t="s">
        <v>1780</v>
      </c>
      <c r="AM38" s="9" t="s">
        <v>1781</v>
      </c>
      <c r="AN38" s="9" t="s">
        <v>1782</v>
      </c>
      <c r="AO38" s="9" t="s">
        <v>1783</v>
      </c>
      <c r="AP38" s="9" t="s">
        <v>1784</v>
      </c>
      <c r="AQ38" s="9" t="s">
        <v>983</v>
      </c>
      <c r="AR38" s="9" t="s">
        <v>1785</v>
      </c>
      <c r="AS38" s="9" t="s">
        <v>1786</v>
      </c>
      <c r="AT38" s="9" t="s">
        <v>128</v>
      </c>
      <c r="AU38" s="9" t="s">
        <v>1787</v>
      </c>
      <c r="AV38" s="9" t="s">
        <v>1788</v>
      </c>
      <c r="AW38" s="9" t="s">
        <v>1789</v>
      </c>
      <c r="AX38" s="9" t="s">
        <v>1790</v>
      </c>
      <c r="AY38" s="9" t="s">
        <v>1791</v>
      </c>
      <c r="AZ38" s="9" t="s">
        <v>1792</v>
      </c>
      <c r="BA38" s="9" t="s">
        <v>1793</v>
      </c>
      <c r="BB38" s="9" t="s">
        <v>1794</v>
      </c>
      <c r="BC38" s="9" t="s">
        <v>1795</v>
      </c>
      <c r="BD38" s="9" t="s">
        <v>1796</v>
      </c>
      <c r="BE38" s="29"/>
      <c r="BF38" s="29"/>
      <c r="BG38" s="29"/>
      <c r="BH38" s="29"/>
      <c r="BI38" s="29"/>
      <c r="BJ38" s="29"/>
      <c r="BK38" s="29"/>
      <c r="BL38" s="29"/>
    </row>
    <row r="39" customFormat="false" ht="115.65" hidden="false" customHeight="false" outlineLevel="0" collapsed="false">
      <c r="A39" s="9" t="s">
        <v>1797</v>
      </c>
      <c r="B39" s="9" t="s">
        <v>84</v>
      </c>
      <c r="C39" s="9" t="s">
        <v>1044</v>
      </c>
      <c r="D39" s="9" t="s">
        <v>188</v>
      </c>
      <c r="E39" s="9" t="s">
        <v>758</v>
      </c>
      <c r="F39" s="9" t="s">
        <v>236</v>
      </c>
      <c r="G39" s="28" t="s">
        <v>1798</v>
      </c>
      <c r="H39" s="9" t="s">
        <v>760</v>
      </c>
      <c r="I39" s="9" t="s">
        <v>1799</v>
      </c>
      <c r="J39" s="9" t="s">
        <v>1800</v>
      </c>
      <c r="K39" s="9" t="s">
        <v>1801</v>
      </c>
      <c r="L39" s="9" t="s">
        <v>1802</v>
      </c>
      <c r="M39" s="9" t="s">
        <v>1803</v>
      </c>
      <c r="N39" s="9" t="s">
        <v>1804</v>
      </c>
      <c r="O39" s="9" t="s">
        <v>97</v>
      </c>
      <c r="P39" s="9" t="s">
        <v>1805</v>
      </c>
      <c r="Q39" s="9" t="s">
        <v>291</v>
      </c>
      <c r="R39" s="9" t="s">
        <v>1806</v>
      </c>
      <c r="S39" s="9" t="s">
        <v>1807</v>
      </c>
      <c r="T39" s="9" t="s">
        <v>1808</v>
      </c>
      <c r="U39" s="9" t="s">
        <v>1809</v>
      </c>
      <c r="V39" s="9" t="s">
        <v>1810</v>
      </c>
      <c r="W39" s="9" t="s">
        <v>1811</v>
      </c>
      <c r="X39" s="9" t="s">
        <v>1812</v>
      </c>
      <c r="Y39" s="9" t="s">
        <v>1813</v>
      </c>
      <c r="Z39" s="9" t="s">
        <v>1814</v>
      </c>
      <c r="AA39" s="9" t="s">
        <v>1815</v>
      </c>
      <c r="AB39" s="9" t="s">
        <v>1816</v>
      </c>
      <c r="AC39" s="9" t="s">
        <v>1817</v>
      </c>
      <c r="AD39" s="9" t="s">
        <v>1818</v>
      </c>
      <c r="AE39" s="9" t="s">
        <v>1819</v>
      </c>
      <c r="AF39" s="9" t="s">
        <v>1820</v>
      </c>
      <c r="AG39" s="9" t="s">
        <v>1821</v>
      </c>
      <c r="AH39" s="9" t="s">
        <v>1822</v>
      </c>
      <c r="AI39" s="9" t="s">
        <v>1823</v>
      </c>
      <c r="AJ39" s="9" t="s">
        <v>1824</v>
      </c>
      <c r="AK39" s="9" t="s">
        <v>1825</v>
      </c>
      <c r="AL39" s="9" t="s">
        <v>1826</v>
      </c>
      <c r="AM39" s="9" t="s">
        <v>1827</v>
      </c>
      <c r="AN39" s="9" t="s">
        <v>1828</v>
      </c>
      <c r="AO39" s="9" t="s">
        <v>1829</v>
      </c>
      <c r="AP39" s="9" t="s">
        <v>1830</v>
      </c>
      <c r="AQ39" s="9" t="s">
        <v>1831</v>
      </c>
      <c r="AR39" s="9" t="s">
        <v>1832</v>
      </c>
      <c r="AS39" s="9" t="s">
        <v>1833</v>
      </c>
      <c r="AT39" s="9" t="s">
        <v>414</v>
      </c>
      <c r="AU39" s="9" t="s">
        <v>1834</v>
      </c>
      <c r="AV39" s="9" t="s">
        <v>1835</v>
      </c>
      <c r="AW39" s="9" t="s">
        <v>1836</v>
      </c>
      <c r="AX39" s="9" t="s">
        <v>1837</v>
      </c>
      <c r="AY39" s="9" t="s">
        <v>1838</v>
      </c>
      <c r="AZ39" s="9" t="s">
        <v>1839</v>
      </c>
      <c r="BA39" s="9" t="s">
        <v>1840</v>
      </c>
      <c r="BB39" s="9" t="s">
        <v>1841</v>
      </c>
      <c r="BC39" s="9" t="s">
        <v>1842</v>
      </c>
      <c r="BD39" s="9" t="s">
        <v>1843</v>
      </c>
      <c r="BE39" s="29"/>
      <c r="BF39" s="29"/>
      <c r="BG39" s="29"/>
      <c r="BH39" s="29"/>
      <c r="BI39" s="29"/>
      <c r="BJ39" s="29"/>
      <c r="BK39" s="29"/>
      <c r="BL39" s="29"/>
    </row>
    <row r="40" customFormat="false" ht="115.65" hidden="false" customHeight="false" outlineLevel="0" collapsed="false">
      <c r="A40" s="9" t="s">
        <v>1844</v>
      </c>
      <c r="B40" s="9" t="s">
        <v>84</v>
      </c>
      <c r="C40" s="9" t="s">
        <v>1044</v>
      </c>
      <c r="D40" s="9" t="s">
        <v>188</v>
      </c>
      <c r="E40" s="9" t="s">
        <v>758</v>
      </c>
      <c r="F40" s="9" t="s">
        <v>1330</v>
      </c>
      <c r="G40" s="28" t="s">
        <v>1845</v>
      </c>
      <c r="H40" s="9" t="s">
        <v>760</v>
      </c>
      <c r="I40" s="9" t="s">
        <v>1846</v>
      </c>
      <c r="J40" s="9" t="s">
        <v>1847</v>
      </c>
      <c r="K40" s="9" t="s">
        <v>1848</v>
      </c>
      <c r="L40" s="9" t="s">
        <v>1849</v>
      </c>
      <c r="M40" s="9" t="s">
        <v>1850</v>
      </c>
      <c r="N40" s="9" t="s">
        <v>1851</v>
      </c>
      <c r="O40" s="9" t="s">
        <v>97</v>
      </c>
      <c r="P40" s="9" t="s">
        <v>1852</v>
      </c>
      <c r="Q40" s="9" t="s">
        <v>99</v>
      </c>
      <c r="R40" s="9" t="s">
        <v>1853</v>
      </c>
      <c r="S40" s="9" t="s">
        <v>1854</v>
      </c>
      <c r="T40" s="9" t="s">
        <v>1855</v>
      </c>
      <c r="U40" s="9" t="s">
        <v>1856</v>
      </c>
      <c r="V40" s="9" t="s">
        <v>1857</v>
      </c>
      <c r="W40" s="9" t="s">
        <v>1858</v>
      </c>
      <c r="X40" s="9" t="s">
        <v>1859</v>
      </c>
      <c r="Y40" s="9" t="s">
        <v>1860</v>
      </c>
      <c r="Z40" s="9" t="s">
        <v>1861</v>
      </c>
      <c r="AA40" s="9" t="s">
        <v>1862</v>
      </c>
      <c r="AB40" s="9" t="s">
        <v>1863</v>
      </c>
      <c r="AC40" s="9" t="s">
        <v>1864</v>
      </c>
      <c r="AD40" s="9" t="s">
        <v>1865</v>
      </c>
      <c r="AE40" s="9" t="s">
        <v>1866</v>
      </c>
      <c r="AF40" s="9" t="s">
        <v>1867</v>
      </c>
      <c r="AG40" s="9" t="s">
        <v>1868</v>
      </c>
      <c r="AH40" s="9" t="s">
        <v>1869</v>
      </c>
      <c r="AI40" s="9" t="s">
        <v>1870</v>
      </c>
      <c r="AJ40" s="9" t="s">
        <v>1871</v>
      </c>
      <c r="AK40" s="9" t="s">
        <v>1872</v>
      </c>
      <c r="AL40" s="9" t="s">
        <v>1873</v>
      </c>
      <c r="AM40" s="9" t="s">
        <v>1874</v>
      </c>
      <c r="AN40" s="9" t="s">
        <v>1875</v>
      </c>
      <c r="AO40" s="9" t="s">
        <v>1876</v>
      </c>
      <c r="AP40" s="9" t="s">
        <v>1877</v>
      </c>
      <c r="AQ40" s="9" t="s">
        <v>1878</v>
      </c>
      <c r="AR40" s="9" t="s">
        <v>1879</v>
      </c>
      <c r="AS40" s="9" t="s">
        <v>1880</v>
      </c>
      <c r="AT40" s="9" t="s">
        <v>128</v>
      </c>
      <c r="AU40" s="9" t="s">
        <v>1881</v>
      </c>
      <c r="AV40" s="9" t="s">
        <v>1882</v>
      </c>
      <c r="AW40" s="9" t="s">
        <v>1883</v>
      </c>
      <c r="AX40" s="9" t="s">
        <v>1884</v>
      </c>
      <c r="AY40" s="9" t="s">
        <v>1885</v>
      </c>
      <c r="AZ40" s="9" t="s">
        <v>1886</v>
      </c>
      <c r="BA40" s="9" t="s">
        <v>1887</v>
      </c>
      <c r="BB40" s="9" t="s">
        <v>1888</v>
      </c>
      <c r="BC40" s="9" t="s">
        <v>1889</v>
      </c>
      <c r="BD40" s="9" t="s">
        <v>1890</v>
      </c>
      <c r="BE40" s="29"/>
      <c r="BF40" s="29"/>
      <c r="BG40" s="29"/>
      <c r="BH40" s="29"/>
      <c r="BI40" s="29"/>
      <c r="BJ40" s="29"/>
      <c r="BK40" s="29"/>
      <c r="BL40" s="29"/>
    </row>
    <row r="41" customFormat="false" ht="128.35" hidden="false" customHeight="false" outlineLevel="0" collapsed="false">
      <c r="A41" s="9" t="s">
        <v>1891</v>
      </c>
      <c r="B41" s="9" t="s">
        <v>84</v>
      </c>
      <c r="C41" s="9" t="s">
        <v>1044</v>
      </c>
      <c r="D41" s="9" t="s">
        <v>1092</v>
      </c>
      <c r="E41" s="9" t="s">
        <v>758</v>
      </c>
      <c r="F41" s="9" t="s">
        <v>236</v>
      </c>
      <c r="G41" s="28" t="s">
        <v>1892</v>
      </c>
      <c r="H41" s="9" t="s">
        <v>760</v>
      </c>
      <c r="I41" s="9" t="s">
        <v>1893</v>
      </c>
      <c r="J41" s="9" t="s">
        <v>1894</v>
      </c>
      <c r="K41" s="9" t="s">
        <v>1895</v>
      </c>
      <c r="L41" s="9" t="s">
        <v>1896</v>
      </c>
      <c r="M41" s="9" t="s">
        <v>1897</v>
      </c>
      <c r="N41" s="9" t="s">
        <v>1898</v>
      </c>
      <c r="O41" s="9" t="s">
        <v>97</v>
      </c>
      <c r="P41" s="9" t="s">
        <v>1899</v>
      </c>
      <c r="Q41" s="9" t="s">
        <v>99</v>
      </c>
      <c r="R41" s="9" t="s">
        <v>1900</v>
      </c>
      <c r="S41" s="9" t="s">
        <v>1901</v>
      </c>
      <c r="T41" s="9" t="s">
        <v>1902</v>
      </c>
      <c r="U41" s="9" t="s">
        <v>1903</v>
      </c>
      <c r="V41" s="9" t="s">
        <v>1904</v>
      </c>
      <c r="W41" s="9" t="s">
        <v>1905</v>
      </c>
      <c r="X41" s="9" t="s">
        <v>1906</v>
      </c>
      <c r="Y41" s="9" t="s">
        <v>1907</v>
      </c>
      <c r="Z41" s="9" t="s">
        <v>1908</v>
      </c>
      <c r="AA41" s="9" t="s">
        <v>1909</v>
      </c>
      <c r="AB41" s="9" t="s">
        <v>1910</v>
      </c>
      <c r="AC41" s="9" t="s">
        <v>1911</v>
      </c>
      <c r="AD41" s="9" t="s">
        <v>1912</v>
      </c>
      <c r="AE41" s="9" t="s">
        <v>1913</v>
      </c>
      <c r="AF41" s="9" t="s">
        <v>1914</v>
      </c>
      <c r="AG41" s="9" t="s">
        <v>1915</v>
      </c>
      <c r="AH41" s="9" t="s">
        <v>1916</v>
      </c>
      <c r="AI41" s="9" t="s">
        <v>1917</v>
      </c>
      <c r="AJ41" s="9" t="s">
        <v>1918</v>
      </c>
      <c r="AK41" s="9" t="s">
        <v>1919</v>
      </c>
      <c r="AL41" s="9" t="s">
        <v>1920</v>
      </c>
      <c r="AM41" s="9" t="s">
        <v>1921</v>
      </c>
      <c r="AN41" s="9" t="s">
        <v>1922</v>
      </c>
      <c r="AO41" s="9" t="s">
        <v>1923</v>
      </c>
      <c r="AP41" s="9" t="s">
        <v>1924</v>
      </c>
      <c r="AQ41" s="9" t="s">
        <v>1925</v>
      </c>
      <c r="AR41" s="9" t="s">
        <v>1926</v>
      </c>
      <c r="AS41" s="9" t="s">
        <v>1927</v>
      </c>
      <c r="AT41" s="9" t="s">
        <v>699</v>
      </c>
      <c r="AU41" s="9" t="s">
        <v>1928</v>
      </c>
      <c r="AV41" s="9" t="s">
        <v>1929</v>
      </c>
      <c r="AW41" s="9" t="s">
        <v>1930</v>
      </c>
      <c r="AX41" s="9" t="s">
        <v>1931</v>
      </c>
      <c r="AY41" s="9" t="s">
        <v>1932</v>
      </c>
      <c r="AZ41" s="9" t="s">
        <v>1933</v>
      </c>
      <c r="BA41" s="9" t="s">
        <v>1934</v>
      </c>
      <c r="BB41" s="9" t="s">
        <v>1935</v>
      </c>
      <c r="BC41" s="9" t="s">
        <v>1936</v>
      </c>
      <c r="BD41" s="9" t="s">
        <v>1937</v>
      </c>
      <c r="BE41" s="29"/>
      <c r="BF41" s="29"/>
      <c r="BG41" s="29"/>
      <c r="BH41" s="29"/>
      <c r="BI41" s="29"/>
      <c r="BJ41" s="29"/>
      <c r="BK41" s="29"/>
      <c r="BL41" s="29"/>
    </row>
    <row r="42" customFormat="false" ht="115.65" hidden="false" customHeight="false" outlineLevel="0" collapsed="false">
      <c r="A42" s="9" t="s">
        <v>1938</v>
      </c>
      <c r="B42" s="9" t="s">
        <v>84</v>
      </c>
      <c r="C42" s="9" t="s">
        <v>1044</v>
      </c>
      <c r="D42" s="9" t="s">
        <v>188</v>
      </c>
      <c r="E42" s="9" t="s">
        <v>758</v>
      </c>
      <c r="F42" s="9" t="s">
        <v>662</v>
      </c>
      <c r="G42" s="28" t="s">
        <v>1939</v>
      </c>
      <c r="H42" s="9" t="s">
        <v>760</v>
      </c>
      <c r="I42" s="9" t="s">
        <v>1940</v>
      </c>
      <c r="J42" s="9" t="s">
        <v>1941</v>
      </c>
      <c r="K42" s="9" t="s">
        <v>1942</v>
      </c>
      <c r="L42" s="9" t="s">
        <v>1943</v>
      </c>
      <c r="M42" s="9" t="s">
        <v>1944</v>
      </c>
      <c r="N42" s="9" t="s">
        <v>1945</v>
      </c>
      <c r="O42" s="9" t="s">
        <v>97</v>
      </c>
      <c r="P42" s="9" t="s">
        <v>1946</v>
      </c>
      <c r="Q42" s="9" t="s">
        <v>291</v>
      </c>
      <c r="R42" s="9" t="s">
        <v>1947</v>
      </c>
      <c r="S42" s="9" t="s">
        <v>1948</v>
      </c>
      <c r="T42" s="9" t="s">
        <v>1949</v>
      </c>
      <c r="U42" s="9" t="s">
        <v>1950</v>
      </c>
      <c r="V42" s="9" t="s">
        <v>1951</v>
      </c>
      <c r="W42" s="9" t="s">
        <v>1952</v>
      </c>
      <c r="X42" s="9" t="s">
        <v>1953</v>
      </c>
      <c r="Y42" s="9" t="s">
        <v>1954</v>
      </c>
      <c r="Z42" s="9" t="s">
        <v>1955</v>
      </c>
      <c r="AA42" s="9" t="s">
        <v>1956</v>
      </c>
      <c r="AB42" s="9" t="s">
        <v>1957</v>
      </c>
      <c r="AC42" s="9" t="s">
        <v>1958</v>
      </c>
      <c r="AD42" s="9" t="s">
        <v>1959</v>
      </c>
      <c r="AE42" s="9" t="s">
        <v>1960</v>
      </c>
      <c r="AF42" s="9" t="s">
        <v>1961</v>
      </c>
      <c r="AG42" s="9" t="s">
        <v>1962</v>
      </c>
      <c r="AH42" s="9" t="s">
        <v>1963</v>
      </c>
      <c r="AI42" s="9" t="s">
        <v>1964</v>
      </c>
      <c r="AJ42" s="9" t="s">
        <v>1965</v>
      </c>
      <c r="AK42" s="9" t="s">
        <v>1966</v>
      </c>
      <c r="AL42" s="9" t="s">
        <v>1967</v>
      </c>
      <c r="AM42" s="9" t="s">
        <v>1968</v>
      </c>
      <c r="AN42" s="9" t="s">
        <v>1969</v>
      </c>
      <c r="AO42" s="9" t="s">
        <v>1970</v>
      </c>
      <c r="AP42" s="9" t="s">
        <v>1971</v>
      </c>
      <c r="AQ42" s="9" t="s">
        <v>1972</v>
      </c>
      <c r="AR42" s="9" t="s">
        <v>1973</v>
      </c>
      <c r="AS42" s="9" t="s">
        <v>1974</v>
      </c>
      <c r="AT42" s="9" t="s">
        <v>699</v>
      </c>
      <c r="AU42" s="9" t="s">
        <v>1975</v>
      </c>
      <c r="AV42" s="9" t="s">
        <v>1976</v>
      </c>
      <c r="AW42" s="9" t="s">
        <v>1977</v>
      </c>
      <c r="AX42" s="9" t="s">
        <v>1978</v>
      </c>
      <c r="AY42" s="9" t="s">
        <v>1979</v>
      </c>
      <c r="AZ42" s="9" t="s">
        <v>1980</v>
      </c>
      <c r="BA42" s="9" t="s">
        <v>1981</v>
      </c>
      <c r="BB42" s="9" t="s">
        <v>1982</v>
      </c>
      <c r="BC42" s="9" t="s">
        <v>1983</v>
      </c>
      <c r="BD42" s="9" t="s">
        <v>1984</v>
      </c>
      <c r="BE42" s="29"/>
      <c r="BF42" s="29"/>
      <c r="BG42" s="29"/>
      <c r="BH42" s="29"/>
      <c r="BI42" s="29"/>
      <c r="BJ42" s="29"/>
      <c r="BK42" s="29"/>
      <c r="BL42" s="29"/>
    </row>
    <row r="43" customFormat="false" ht="128.35" hidden="false" customHeight="false" outlineLevel="0" collapsed="false">
      <c r="A43" s="9" t="s">
        <v>1985</v>
      </c>
      <c r="B43" s="9" t="s">
        <v>84</v>
      </c>
      <c r="C43" s="9" t="s">
        <v>1986</v>
      </c>
      <c r="D43" s="9" t="s">
        <v>1092</v>
      </c>
      <c r="E43" s="9" t="s">
        <v>87</v>
      </c>
      <c r="F43" s="9" t="s">
        <v>997</v>
      </c>
      <c r="G43" s="28" t="s">
        <v>1987</v>
      </c>
      <c r="H43" s="9" t="s">
        <v>90</v>
      </c>
      <c r="I43" s="9" t="s">
        <v>1988</v>
      </c>
      <c r="J43" s="9" t="s">
        <v>1989</v>
      </c>
      <c r="K43" s="9" t="s">
        <v>1990</v>
      </c>
      <c r="L43" s="9" t="s">
        <v>1991</v>
      </c>
      <c r="M43" s="9" t="s">
        <v>1992</v>
      </c>
      <c r="N43" s="9" t="s">
        <v>1993</v>
      </c>
      <c r="O43" s="9" t="s">
        <v>97</v>
      </c>
      <c r="P43" s="9" t="s">
        <v>1994</v>
      </c>
      <c r="Q43" s="9" t="s">
        <v>99</v>
      </c>
      <c r="R43" s="9" t="s">
        <v>1995</v>
      </c>
      <c r="S43" s="9" t="s">
        <v>1996</v>
      </c>
      <c r="T43" s="9" t="s">
        <v>1997</v>
      </c>
      <c r="U43" s="9" t="s">
        <v>1998</v>
      </c>
      <c r="V43" s="9" t="s">
        <v>1999</v>
      </c>
      <c r="W43" s="9" t="s">
        <v>2000</v>
      </c>
      <c r="X43" s="9" t="s">
        <v>2001</v>
      </c>
      <c r="Y43" s="9" t="s">
        <v>2002</v>
      </c>
      <c r="Z43" s="9" t="s">
        <v>2003</v>
      </c>
      <c r="AA43" s="9" t="s">
        <v>2004</v>
      </c>
      <c r="AB43" s="9" t="s">
        <v>2005</v>
      </c>
      <c r="AC43" s="9" t="s">
        <v>2006</v>
      </c>
      <c r="AD43" s="9" t="s">
        <v>2007</v>
      </c>
      <c r="AE43" s="9" t="s">
        <v>2008</v>
      </c>
      <c r="AF43" s="9" t="s">
        <v>2009</v>
      </c>
      <c r="AG43" s="9" t="s">
        <v>2010</v>
      </c>
      <c r="AH43" s="9" t="s">
        <v>2011</v>
      </c>
      <c r="AI43" s="9" t="s">
        <v>2012</v>
      </c>
      <c r="AJ43" s="9" t="s">
        <v>2013</v>
      </c>
      <c r="AK43" s="9" t="s">
        <v>2014</v>
      </c>
      <c r="AL43" s="9" t="s">
        <v>2015</v>
      </c>
      <c r="AM43" s="9" t="s">
        <v>2016</v>
      </c>
      <c r="AN43" s="9" t="s">
        <v>2017</v>
      </c>
      <c r="AO43" s="9" t="s">
        <v>2018</v>
      </c>
      <c r="AP43" s="9" t="s">
        <v>2019</v>
      </c>
      <c r="AQ43" s="9" t="s">
        <v>2020</v>
      </c>
      <c r="AR43" s="9" t="s">
        <v>2021</v>
      </c>
      <c r="AS43" s="9" t="s">
        <v>2022</v>
      </c>
      <c r="AT43" s="9" t="s">
        <v>177</v>
      </c>
      <c r="AU43" s="9" t="s">
        <v>2023</v>
      </c>
      <c r="AV43" s="9" t="s">
        <v>2024</v>
      </c>
      <c r="AW43" s="9" t="s">
        <v>2025</v>
      </c>
      <c r="AX43" s="9" t="s">
        <v>2026</v>
      </c>
      <c r="AY43" s="9" t="s">
        <v>2027</v>
      </c>
      <c r="AZ43" s="9" t="s">
        <v>2028</v>
      </c>
      <c r="BA43" s="9" t="s">
        <v>2029</v>
      </c>
      <c r="BB43" s="9" t="s">
        <v>2030</v>
      </c>
      <c r="BC43" s="9" t="s">
        <v>2031</v>
      </c>
      <c r="BD43" s="9" t="s">
        <v>2032</v>
      </c>
      <c r="BE43" s="29"/>
      <c r="BF43" s="29"/>
      <c r="BG43" s="29"/>
      <c r="BH43" s="29"/>
      <c r="BI43" s="29"/>
      <c r="BJ43" s="29"/>
      <c r="BK43" s="29"/>
      <c r="BL43" s="29"/>
    </row>
    <row r="44" customFormat="false" ht="141" hidden="false" customHeight="false" outlineLevel="0" collapsed="false">
      <c r="A44" s="9" t="s">
        <v>2033</v>
      </c>
      <c r="B44" s="9" t="s">
        <v>84</v>
      </c>
      <c r="C44" s="9" t="s">
        <v>1986</v>
      </c>
      <c r="D44" s="9" t="s">
        <v>1092</v>
      </c>
      <c r="E44" s="9" t="s">
        <v>87</v>
      </c>
      <c r="F44" s="9" t="s">
        <v>997</v>
      </c>
      <c r="G44" s="28" t="s">
        <v>2034</v>
      </c>
      <c r="H44" s="9" t="s">
        <v>90</v>
      </c>
      <c r="I44" s="9" t="s">
        <v>2035</v>
      </c>
      <c r="J44" s="9" t="s">
        <v>2036</v>
      </c>
      <c r="K44" s="9" t="s">
        <v>2037</v>
      </c>
      <c r="L44" s="9" t="s">
        <v>2038</v>
      </c>
      <c r="M44" s="9" t="s">
        <v>2039</v>
      </c>
      <c r="N44" s="9" t="s">
        <v>2040</v>
      </c>
      <c r="O44" s="9" t="s">
        <v>575</v>
      </c>
      <c r="P44" s="9" t="s">
        <v>2041</v>
      </c>
      <c r="Q44" s="9" t="s">
        <v>291</v>
      </c>
      <c r="R44" s="9" t="s">
        <v>2042</v>
      </c>
      <c r="S44" s="9" t="s">
        <v>2043</v>
      </c>
      <c r="T44" s="9" t="s">
        <v>2044</v>
      </c>
      <c r="U44" s="9" t="s">
        <v>2045</v>
      </c>
      <c r="V44" s="9" t="s">
        <v>2046</v>
      </c>
      <c r="W44" s="9" t="s">
        <v>2047</v>
      </c>
      <c r="X44" s="9" t="s">
        <v>2048</v>
      </c>
      <c r="Y44" s="9" t="s">
        <v>2049</v>
      </c>
      <c r="Z44" s="9" t="s">
        <v>2050</v>
      </c>
      <c r="AA44" s="9" t="s">
        <v>2051</v>
      </c>
      <c r="AB44" s="9" t="s">
        <v>2052</v>
      </c>
      <c r="AC44" s="9" t="s">
        <v>2053</v>
      </c>
      <c r="AD44" s="9" t="s">
        <v>2054</v>
      </c>
      <c r="AE44" s="9" t="s">
        <v>2055</v>
      </c>
      <c r="AF44" s="9" t="s">
        <v>2056</v>
      </c>
      <c r="AG44" s="9" t="s">
        <v>2057</v>
      </c>
      <c r="AH44" s="9" t="s">
        <v>2058</v>
      </c>
      <c r="AI44" s="9" t="s">
        <v>2059</v>
      </c>
      <c r="AJ44" s="9" t="s">
        <v>2060</v>
      </c>
      <c r="AK44" s="9" t="s">
        <v>2061</v>
      </c>
      <c r="AL44" s="9" t="s">
        <v>2062</v>
      </c>
      <c r="AM44" s="9" t="s">
        <v>2063</v>
      </c>
      <c r="AN44" s="9" t="s">
        <v>2064</v>
      </c>
      <c r="AO44" s="9" t="s">
        <v>2065</v>
      </c>
      <c r="AP44" s="9" t="s">
        <v>2066</v>
      </c>
      <c r="AQ44" s="9" t="s">
        <v>2067</v>
      </c>
      <c r="AR44" s="9" t="s">
        <v>2068</v>
      </c>
      <c r="AS44" s="9" t="s">
        <v>2069</v>
      </c>
      <c r="AT44" s="9" t="s">
        <v>177</v>
      </c>
      <c r="AU44" s="9" t="s">
        <v>2070</v>
      </c>
      <c r="AV44" s="9" t="s">
        <v>2071</v>
      </c>
      <c r="AW44" s="9" t="s">
        <v>2072</v>
      </c>
      <c r="AX44" s="9" t="s">
        <v>2073</v>
      </c>
      <c r="AY44" s="9" t="s">
        <v>2074</v>
      </c>
      <c r="AZ44" s="9" t="s">
        <v>2075</v>
      </c>
      <c r="BA44" s="9" t="s">
        <v>2076</v>
      </c>
      <c r="BB44" s="9" t="s">
        <v>2077</v>
      </c>
      <c r="BC44" s="9" t="s">
        <v>2078</v>
      </c>
      <c r="BD44" s="9" t="s">
        <v>2079</v>
      </c>
      <c r="BE44" s="29"/>
      <c r="BF44" s="29"/>
      <c r="BG44" s="29"/>
      <c r="BH44" s="29"/>
      <c r="BI44" s="29"/>
      <c r="BJ44" s="29"/>
      <c r="BK44" s="29"/>
      <c r="BL44" s="29"/>
    </row>
    <row r="45" customFormat="false" ht="128.35" hidden="false" customHeight="false" outlineLevel="0" collapsed="false">
      <c r="A45" s="9" t="s">
        <v>2080</v>
      </c>
      <c r="B45" s="9" t="s">
        <v>84</v>
      </c>
      <c r="C45" s="9" t="s">
        <v>1986</v>
      </c>
      <c r="D45" s="9" t="s">
        <v>1092</v>
      </c>
      <c r="E45" s="9" t="s">
        <v>87</v>
      </c>
      <c r="F45" s="9" t="s">
        <v>1378</v>
      </c>
      <c r="G45" s="28" t="s">
        <v>2081</v>
      </c>
      <c r="H45" s="9" t="s">
        <v>90</v>
      </c>
      <c r="I45" s="9" t="s">
        <v>2082</v>
      </c>
      <c r="J45" s="9" t="s">
        <v>2083</v>
      </c>
      <c r="K45" s="9" t="s">
        <v>2084</v>
      </c>
      <c r="L45" s="9" t="s">
        <v>2085</v>
      </c>
      <c r="M45" s="9" t="s">
        <v>2086</v>
      </c>
      <c r="N45" s="9" t="s">
        <v>2087</v>
      </c>
      <c r="O45" s="9" t="s">
        <v>97</v>
      </c>
      <c r="P45" s="9" t="s">
        <v>2088</v>
      </c>
      <c r="Q45" s="9" t="s">
        <v>99</v>
      </c>
      <c r="R45" s="9" t="s">
        <v>2089</v>
      </c>
      <c r="S45" s="9" t="s">
        <v>2090</v>
      </c>
      <c r="T45" s="9" t="s">
        <v>2091</v>
      </c>
      <c r="U45" s="9" t="s">
        <v>2092</v>
      </c>
      <c r="V45" s="9" t="s">
        <v>2093</v>
      </c>
      <c r="W45" s="9" t="s">
        <v>2094</v>
      </c>
      <c r="X45" s="9" t="s">
        <v>2095</v>
      </c>
      <c r="Y45" s="9" t="s">
        <v>2096</v>
      </c>
      <c r="Z45" s="9" t="s">
        <v>2097</v>
      </c>
      <c r="AA45" s="9" t="s">
        <v>2098</v>
      </c>
      <c r="AB45" s="9" t="s">
        <v>2099</v>
      </c>
      <c r="AC45" s="9" t="s">
        <v>2100</v>
      </c>
      <c r="AD45" s="9" t="s">
        <v>2101</v>
      </c>
      <c r="AE45" s="9" t="s">
        <v>2102</v>
      </c>
      <c r="AF45" s="9" t="s">
        <v>2103</v>
      </c>
      <c r="AG45" s="9" t="s">
        <v>2104</v>
      </c>
      <c r="AH45" s="9" t="s">
        <v>2105</v>
      </c>
      <c r="AI45" s="9" t="s">
        <v>2106</v>
      </c>
      <c r="AJ45" s="9" t="s">
        <v>2107</v>
      </c>
      <c r="AK45" s="9" t="s">
        <v>2108</v>
      </c>
      <c r="AL45" s="9" t="s">
        <v>2109</v>
      </c>
      <c r="AM45" s="9" t="s">
        <v>2110</v>
      </c>
      <c r="AN45" s="9" t="s">
        <v>2111</v>
      </c>
      <c r="AO45" s="9" t="s">
        <v>2112</v>
      </c>
      <c r="AP45" s="9" t="s">
        <v>2113</v>
      </c>
      <c r="AQ45" s="9" t="s">
        <v>2114</v>
      </c>
      <c r="AR45" s="9" t="s">
        <v>2115</v>
      </c>
      <c r="AS45" s="9" t="s">
        <v>2116</v>
      </c>
      <c r="AT45" s="9" t="s">
        <v>128</v>
      </c>
      <c r="AU45" s="9" t="s">
        <v>2117</v>
      </c>
      <c r="AV45" s="9" t="s">
        <v>2118</v>
      </c>
      <c r="AW45" s="9" t="s">
        <v>2119</v>
      </c>
      <c r="AX45" s="9" t="s">
        <v>2120</v>
      </c>
      <c r="AY45" s="9" t="s">
        <v>2121</v>
      </c>
      <c r="AZ45" s="9" t="s">
        <v>2122</v>
      </c>
      <c r="BA45" s="9" t="s">
        <v>2123</v>
      </c>
      <c r="BB45" s="9" t="s">
        <v>2124</v>
      </c>
      <c r="BC45" s="9" t="s">
        <v>2125</v>
      </c>
      <c r="BD45" s="9" t="s">
        <v>2126</v>
      </c>
      <c r="BE45" s="29"/>
      <c r="BF45" s="29"/>
      <c r="BG45" s="29"/>
      <c r="BH45" s="29"/>
      <c r="BI45" s="29"/>
      <c r="BJ45" s="29"/>
      <c r="BK45" s="29"/>
      <c r="BL45" s="29"/>
    </row>
    <row r="46" customFormat="false" ht="128.35" hidden="false" customHeight="false" outlineLevel="0" collapsed="false">
      <c r="A46" s="9" t="s">
        <v>2127</v>
      </c>
      <c r="B46" s="9" t="s">
        <v>84</v>
      </c>
      <c r="C46" s="9" t="s">
        <v>1986</v>
      </c>
      <c r="D46" s="9" t="s">
        <v>2128</v>
      </c>
      <c r="E46" s="9" t="s">
        <v>87</v>
      </c>
      <c r="F46" s="9" t="s">
        <v>997</v>
      </c>
      <c r="G46" s="28" t="s">
        <v>2129</v>
      </c>
      <c r="H46" s="9" t="s">
        <v>90</v>
      </c>
      <c r="I46" s="9" t="s">
        <v>2130</v>
      </c>
      <c r="J46" s="9" t="s">
        <v>2131</v>
      </c>
      <c r="K46" s="9" t="s">
        <v>2132</v>
      </c>
      <c r="L46" s="9" t="s">
        <v>2133</v>
      </c>
      <c r="M46" s="9" t="s">
        <v>2134</v>
      </c>
      <c r="N46" s="9" t="s">
        <v>2135</v>
      </c>
      <c r="O46" s="9" t="s">
        <v>97</v>
      </c>
      <c r="P46" s="9" t="s">
        <v>2136</v>
      </c>
      <c r="Q46" s="9" t="s">
        <v>291</v>
      </c>
      <c r="R46" s="9" t="s">
        <v>2137</v>
      </c>
      <c r="S46" s="9" t="s">
        <v>2138</v>
      </c>
      <c r="T46" s="9" t="s">
        <v>2139</v>
      </c>
      <c r="U46" s="9" t="s">
        <v>2140</v>
      </c>
      <c r="V46" s="9" t="s">
        <v>2141</v>
      </c>
      <c r="W46" s="9" t="s">
        <v>2142</v>
      </c>
      <c r="X46" s="9" t="s">
        <v>2143</v>
      </c>
      <c r="Y46" s="9" t="s">
        <v>2144</v>
      </c>
      <c r="Z46" s="9" t="s">
        <v>2145</v>
      </c>
      <c r="AA46" s="9" t="s">
        <v>2146</v>
      </c>
      <c r="AB46" s="9" t="s">
        <v>2147</v>
      </c>
      <c r="AC46" s="9" t="s">
        <v>2148</v>
      </c>
      <c r="AD46" s="9" t="s">
        <v>2149</v>
      </c>
      <c r="AE46" s="9" t="s">
        <v>2150</v>
      </c>
      <c r="AF46" s="9" t="s">
        <v>2151</v>
      </c>
      <c r="AG46" s="9" t="s">
        <v>2152</v>
      </c>
      <c r="AH46" s="9" t="s">
        <v>2153</v>
      </c>
      <c r="AI46" s="9" t="s">
        <v>2154</v>
      </c>
      <c r="AJ46" s="9" t="s">
        <v>2155</v>
      </c>
      <c r="AK46" s="9" t="s">
        <v>2156</v>
      </c>
      <c r="AL46" s="9" t="s">
        <v>2157</v>
      </c>
      <c r="AM46" s="9" t="s">
        <v>2158</v>
      </c>
      <c r="AN46" s="9" t="s">
        <v>2159</v>
      </c>
      <c r="AO46" s="9" t="s">
        <v>2160</v>
      </c>
      <c r="AP46" s="9" t="s">
        <v>2161</v>
      </c>
      <c r="AQ46" s="9" t="s">
        <v>2162</v>
      </c>
      <c r="AR46" s="9" t="s">
        <v>2163</v>
      </c>
      <c r="AS46" s="9" t="s">
        <v>2164</v>
      </c>
      <c r="AT46" s="9" t="s">
        <v>128</v>
      </c>
      <c r="AU46" s="9" t="s">
        <v>2165</v>
      </c>
      <c r="AV46" s="9" t="s">
        <v>2166</v>
      </c>
      <c r="AW46" s="9" t="s">
        <v>2167</v>
      </c>
      <c r="AX46" s="9" t="s">
        <v>2168</v>
      </c>
      <c r="AY46" s="9" t="s">
        <v>2169</v>
      </c>
      <c r="AZ46" s="9" t="s">
        <v>2170</v>
      </c>
      <c r="BA46" s="9" t="s">
        <v>2171</v>
      </c>
      <c r="BB46" s="9" t="s">
        <v>2172</v>
      </c>
      <c r="BC46" s="9" t="s">
        <v>2173</v>
      </c>
      <c r="BD46" s="9" t="s">
        <v>2174</v>
      </c>
      <c r="BE46" s="29"/>
      <c r="BF46" s="29"/>
      <c r="BG46" s="29"/>
      <c r="BH46" s="29"/>
      <c r="BI46" s="29"/>
      <c r="BJ46" s="29"/>
      <c r="BK46" s="29"/>
      <c r="BL46" s="29"/>
    </row>
    <row r="47" customFormat="false" ht="128.35" hidden="false" customHeight="false" outlineLevel="0" collapsed="false">
      <c r="A47" s="9" t="s">
        <v>2175</v>
      </c>
      <c r="B47" s="9" t="s">
        <v>84</v>
      </c>
      <c r="C47" s="9" t="s">
        <v>1986</v>
      </c>
      <c r="D47" s="9" t="s">
        <v>1092</v>
      </c>
      <c r="E47" s="9" t="s">
        <v>87</v>
      </c>
      <c r="F47" s="9" t="s">
        <v>426</v>
      </c>
      <c r="G47" s="28" t="s">
        <v>2176</v>
      </c>
      <c r="H47" s="9" t="s">
        <v>90</v>
      </c>
      <c r="I47" s="9" t="s">
        <v>2177</v>
      </c>
      <c r="J47" s="9" t="s">
        <v>2178</v>
      </c>
      <c r="K47" s="9" t="s">
        <v>2179</v>
      </c>
      <c r="L47" s="9" t="s">
        <v>2180</v>
      </c>
      <c r="M47" s="9" t="s">
        <v>2181</v>
      </c>
      <c r="N47" s="9" t="s">
        <v>2182</v>
      </c>
      <c r="O47" s="9" t="s">
        <v>97</v>
      </c>
      <c r="P47" s="9" t="s">
        <v>2183</v>
      </c>
      <c r="Q47" s="9" t="s">
        <v>99</v>
      </c>
      <c r="R47" s="9" t="s">
        <v>2184</v>
      </c>
      <c r="S47" s="9" t="s">
        <v>2185</v>
      </c>
      <c r="T47" s="9" t="s">
        <v>2186</v>
      </c>
      <c r="U47" s="9" t="s">
        <v>2187</v>
      </c>
      <c r="V47" s="9" t="s">
        <v>2188</v>
      </c>
      <c r="W47" s="9" t="s">
        <v>2189</v>
      </c>
      <c r="X47" s="9" t="s">
        <v>2190</v>
      </c>
      <c r="Y47" s="9" t="s">
        <v>2191</v>
      </c>
      <c r="Z47" s="9" t="s">
        <v>2192</v>
      </c>
      <c r="AA47" s="9" t="s">
        <v>2193</v>
      </c>
      <c r="AB47" s="9" t="s">
        <v>2194</v>
      </c>
      <c r="AC47" s="9" t="s">
        <v>2195</v>
      </c>
      <c r="AD47" s="9" t="s">
        <v>2196</v>
      </c>
      <c r="AE47" s="9" t="s">
        <v>2197</v>
      </c>
      <c r="AF47" s="9" t="s">
        <v>2198</v>
      </c>
      <c r="AG47" s="9" t="s">
        <v>2199</v>
      </c>
      <c r="AH47" s="9" t="s">
        <v>2200</v>
      </c>
      <c r="AI47" s="9" t="s">
        <v>2201</v>
      </c>
      <c r="AJ47" s="9" t="s">
        <v>2202</v>
      </c>
      <c r="AK47" s="9" t="s">
        <v>2203</v>
      </c>
      <c r="AL47" s="9" t="s">
        <v>2204</v>
      </c>
      <c r="AM47" s="9" t="s">
        <v>2205</v>
      </c>
      <c r="AN47" s="9" t="s">
        <v>2206</v>
      </c>
      <c r="AO47" s="9" t="s">
        <v>2207</v>
      </c>
      <c r="AP47" s="9" t="s">
        <v>2208</v>
      </c>
      <c r="AQ47" s="9" t="s">
        <v>2209</v>
      </c>
      <c r="AR47" s="9" t="s">
        <v>2210</v>
      </c>
      <c r="AS47" s="9" t="s">
        <v>2211</v>
      </c>
      <c r="AT47" s="9" t="s">
        <v>128</v>
      </c>
      <c r="AU47" s="9" t="s">
        <v>2212</v>
      </c>
      <c r="AV47" s="9" t="s">
        <v>2213</v>
      </c>
      <c r="AW47" s="9" t="s">
        <v>2214</v>
      </c>
      <c r="AX47" s="9" t="s">
        <v>2215</v>
      </c>
      <c r="AY47" s="9" t="s">
        <v>2216</v>
      </c>
      <c r="AZ47" s="9" t="s">
        <v>2217</v>
      </c>
      <c r="BA47" s="9" t="s">
        <v>2218</v>
      </c>
      <c r="BB47" s="9" t="s">
        <v>2219</v>
      </c>
      <c r="BC47" s="9" t="s">
        <v>2220</v>
      </c>
      <c r="BD47" s="9" t="s">
        <v>2221</v>
      </c>
      <c r="BE47" s="29"/>
      <c r="BF47" s="29"/>
      <c r="BG47" s="29"/>
      <c r="BH47" s="29"/>
      <c r="BI47" s="29"/>
      <c r="BJ47" s="29"/>
      <c r="BK47" s="29"/>
      <c r="BL47" s="29"/>
    </row>
    <row r="48" customFormat="false" ht="141" hidden="false" customHeight="false" outlineLevel="0" collapsed="false">
      <c r="A48" s="9" t="s">
        <v>2222</v>
      </c>
      <c r="B48" s="9" t="s">
        <v>84</v>
      </c>
      <c r="C48" s="9" t="s">
        <v>1986</v>
      </c>
      <c r="D48" s="9" t="s">
        <v>1092</v>
      </c>
      <c r="E48" s="9" t="s">
        <v>87</v>
      </c>
      <c r="F48" s="9" t="s">
        <v>854</v>
      </c>
      <c r="G48" s="28" t="s">
        <v>2223</v>
      </c>
      <c r="H48" s="9" t="s">
        <v>90</v>
      </c>
      <c r="I48" s="9" t="s">
        <v>2224</v>
      </c>
      <c r="J48" s="9" t="s">
        <v>2225</v>
      </c>
      <c r="K48" s="9" t="s">
        <v>2226</v>
      </c>
      <c r="L48" s="9" t="s">
        <v>2227</v>
      </c>
      <c r="M48" s="9" t="s">
        <v>2228</v>
      </c>
      <c r="N48" s="9" t="s">
        <v>2229</v>
      </c>
      <c r="O48" s="9" t="s">
        <v>97</v>
      </c>
      <c r="P48" s="9" t="s">
        <v>2230</v>
      </c>
      <c r="Q48" s="9" t="s">
        <v>291</v>
      </c>
      <c r="R48" s="9" t="s">
        <v>2231</v>
      </c>
      <c r="S48" s="9" t="s">
        <v>2232</v>
      </c>
      <c r="T48" s="9" t="s">
        <v>2233</v>
      </c>
      <c r="U48" s="9" t="s">
        <v>2234</v>
      </c>
      <c r="V48" s="9" t="s">
        <v>2235</v>
      </c>
      <c r="W48" s="9" t="s">
        <v>2236</v>
      </c>
      <c r="X48" s="9" t="s">
        <v>2237</v>
      </c>
      <c r="Y48" s="9" t="s">
        <v>2238</v>
      </c>
      <c r="Z48" s="9" t="s">
        <v>2239</v>
      </c>
      <c r="AA48" s="9" t="s">
        <v>2240</v>
      </c>
      <c r="AB48" s="9" t="s">
        <v>2241</v>
      </c>
      <c r="AC48" s="9" t="s">
        <v>2242</v>
      </c>
      <c r="AD48" s="9" t="s">
        <v>2243</v>
      </c>
      <c r="AE48" s="9" t="s">
        <v>2244</v>
      </c>
      <c r="AF48" s="9" t="s">
        <v>2245</v>
      </c>
      <c r="AG48" s="9" t="s">
        <v>2246</v>
      </c>
      <c r="AH48" s="9" t="s">
        <v>2247</v>
      </c>
      <c r="AI48" s="9" t="s">
        <v>2248</v>
      </c>
      <c r="AJ48" s="9" t="s">
        <v>2249</v>
      </c>
      <c r="AK48" s="9" t="s">
        <v>2250</v>
      </c>
      <c r="AL48" s="9" t="s">
        <v>2251</v>
      </c>
      <c r="AM48" s="9" t="s">
        <v>2252</v>
      </c>
      <c r="AN48" s="9" t="s">
        <v>2253</v>
      </c>
      <c r="AO48" s="9" t="s">
        <v>2254</v>
      </c>
      <c r="AP48" s="9" t="s">
        <v>2255</v>
      </c>
      <c r="AQ48" s="9" t="s">
        <v>554</v>
      </c>
      <c r="AR48" s="9" t="s">
        <v>2256</v>
      </c>
      <c r="AS48" s="9" t="s">
        <v>2257</v>
      </c>
      <c r="AT48" s="9" t="s">
        <v>128</v>
      </c>
      <c r="AU48" s="9" t="s">
        <v>2258</v>
      </c>
      <c r="AV48" s="9" t="s">
        <v>2259</v>
      </c>
      <c r="AW48" s="9" t="s">
        <v>2260</v>
      </c>
      <c r="AX48" s="9" t="s">
        <v>2261</v>
      </c>
      <c r="AY48" s="9" t="s">
        <v>2262</v>
      </c>
      <c r="AZ48" s="9" t="s">
        <v>2263</v>
      </c>
      <c r="BA48" s="9" t="s">
        <v>2264</v>
      </c>
      <c r="BB48" s="9" t="s">
        <v>2265</v>
      </c>
      <c r="BC48" s="9" t="s">
        <v>2266</v>
      </c>
      <c r="BD48" s="9" t="s">
        <v>2267</v>
      </c>
      <c r="BE48" s="29"/>
      <c r="BF48" s="29"/>
      <c r="BG48" s="29"/>
      <c r="BH48" s="29"/>
      <c r="BI48" s="29"/>
      <c r="BJ48" s="29"/>
      <c r="BK48" s="29"/>
      <c r="BL48" s="29"/>
    </row>
    <row r="49" customFormat="false" ht="128.35" hidden="false" customHeight="false" outlineLevel="0" collapsed="false">
      <c r="A49" s="9" t="s">
        <v>2268</v>
      </c>
      <c r="B49" s="9" t="s">
        <v>84</v>
      </c>
      <c r="C49" s="9" t="s">
        <v>1986</v>
      </c>
      <c r="D49" s="9" t="s">
        <v>1092</v>
      </c>
      <c r="E49" s="9" t="s">
        <v>87</v>
      </c>
      <c r="F49" s="9" t="s">
        <v>1140</v>
      </c>
      <c r="G49" s="28" t="s">
        <v>2269</v>
      </c>
      <c r="H49" s="9" t="s">
        <v>90</v>
      </c>
      <c r="I49" s="9" t="s">
        <v>2270</v>
      </c>
      <c r="J49" s="9" t="s">
        <v>2271</v>
      </c>
      <c r="K49" s="9" t="s">
        <v>2272</v>
      </c>
      <c r="L49" s="9" t="s">
        <v>2273</v>
      </c>
      <c r="M49" s="9" t="s">
        <v>2274</v>
      </c>
      <c r="N49" s="9" t="s">
        <v>2275</v>
      </c>
      <c r="O49" s="9" t="s">
        <v>97</v>
      </c>
      <c r="P49" s="9" t="s">
        <v>2276</v>
      </c>
      <c r="Q49" s="9" t="s">
        <v>99</v>
      </c>
      <c r="R49" s="9" t="s">
        <v>2277</v>
      </c>
      <c r="S49" s="9" t="s">
        <v>2278</v>
      </c>
      <c r="T49" s="9" t="s">
        <v>2279</v>
      </c>
      <c r="U49" s="9" t="s">
        <v>2280</v>
      </c>
      <c r="V49" s="9" t="s">
        <v>2281</v>
      </c>
      <c r="W49" s="9" t="s">
        <v>2282</v>
      </c>
      <c r="X49" s="9" t="s">
        <v>2283</v>
      </c>
      <c r="Y49" s="9" t="s">
        <v>2284</v>
      </c>
      <c r="Z49" s="9" t="s">
        <v>2285</v>
      </c>
      <c r="AA49" s="9" t="s">
        <v>2286</v>
      </c>
      <c r="AB49" s="9" t="s">
        <v>2287</v>
      </c>
      <c r="AC49" s="9" t="s">
        <v>2288</v>
      </c>
      <c r="AD49" s="9" t="s">
        <v>2289</v>
      </c>
      <c r="AE49" s="9" t="s">
        <v>2290</v>
      </c>
      <c r="AF49" s="9" t="s">
        <v>2291</v>
      </c>
      <c r="AG49" s="9" t="s">
        <v>2292</v>
      </c>
      <c r="AH49" s="9" t="s">
        <v>2293</v>
      </c>
      <c r="AI49" s="9" t="s">
        <v>2294</v>
      </c>
      <c r="AJ49" s="9" t="s">
        <v>2295</v>
      </c>
      <c r="AK49" s="9" t="s">
        <v>2296</v>
      </c>
      <c r="AL49" s="9" t="s">
        <v>2297</v>
      </c>
      <c r="AM49" s="9" t="s">
        <v>2298</v>
      </c>
      <c r="AN49" s="9" t="s">
        <v>2299</v>
      </c>
      <c r="AO49" s="9" t="s">
        <v>2300</v>
      </c>
      <c r="AP49" s="9" t="s">
        <v>2301</v>
      </c>
      <c r="AQ49" s="9" t="s">
        <v>602</v>
      </c>
      <c r="AR49" s="9" t="s">
        <v>2302</v>
      </c>
      <c r="AS49" s="9" t="s">
        <v>2303</v>
      </c>
      <c r="AT49" s="9" t="s">
        <v>128</v>
      </c>
      <c r="AU49" s="9" t="s">
        <v>2304</v>
      </c>
      <c r="AV49" s="9" t="s">
        <v>2305</v>
      </c>
      <c r="AW49" s="9" t="s">
        <v>2306</v>
      </c>
      <c r="AX49" s="9" t="s">
        <v>2307</v>
      </c>
      <c r="AY49" s="9" t="s">
        <v>2308</v>
      </c>
      <c r="AZ49" s="9" t="s">
        <v>2309</v>
      </c>
      <c r="BA49" s="9" t="s">
        <v>2310</v>
      </c>
      <c r="BB49" s="9" t="s">
        <v>2311</v>
      </c>
      <c r="BC49" s="9" t="s">
        <v>2312</v>
      </c>
      <c r="BD49" s="9" t="s">
        <v>2313</v>
      </c>
      <c r="BE49" s="29"/>
      <c r="BF49" s="29"/>
      <c r="BG49" s="29"/>
      <c r="BH49" s="29"/>
      <c r="BI49" s="29"/>
      <c r="BJ49" s="29"/>
      <c r="BK49" s="29"/>
      <c r="BL49" s="29"/>
    </row>
    <row r="50" customFormat="false" ht="153.7" hidden="false" customHeight="false" outlineLevel="0" collapsed="false">
      <c r="A50" s="9" t="s">
        <v>2314</v>
      </c>
      <c r="B50" s="9" t="s">
        <v>84</v>
      </c>
      <c r="C50" s="9" t="s">
        <v>1986</v>
      </c>
      <c r="D50" s="9" t="s">
        <v>1092</v>
      </c>
      <c r="E50" s="9" t="s">
        <v>87</v>
      </c>
      <c r="F50" s="9" t="s">
        <v>1330</v>
      </c>
      <c r="G50" s="28" t="s">
        <v>2315</v>
      </c>
      <c r="H50" s="9" t="s">
        <v>90</v>
      </c>
      <c r="I50" s="9" t="s">
        <v>2316</v>
      </c>
      <c r="J50" s="9" t="s">
        <v>2317</v>
      </c>
      <c r="K50" s="9" t="s">
        <v>2318</v>
      </c>
      <c r="L50" s="9" t="s">
        <v>2319</v>
      </c>
      <c r="M50" s="9" t="s">
        <v>2320</v>
      </c>
      <c r="N50" s="9" t="s">
        <v>2321</v>
      </c>
      <c r="O50" s="9" t="s">
        <v>97</v>
      </c>
      <c r="P50" s="9" t="s">
        <v>2322</v>
      </c>
      <c r="Q50" s="9" t="s">
        <v>99</v>
      </c>
      <c r="R50" s="9" t="s">
        <v>2323</v>
      </c>
      <c r="S50" s="9" t="s">
        <v>2324</v>
      </c>
      <c r="T50" s="9" t="s">
        <v>2325</v>
      </c>
      <c r="U50" s="9" t="s">
        <v>2326</v>
      </c>
      <c r="V50" s="9" t="s">
        <v>2327</v>
      </c>
      <c r="W50" s="9" t="s">
        <v>2328</v>
      </c>
      <c r="X50" s="9" t="s">
        <v>2329</v>
      </c>
      <c r="Y50" s="9" t="s">
        <v>2330</v>
      </c>
      <c r="Z50" s="9" t="s">
        <v>2331</v>
      </c>
      <c r="AA50" s="9" t="s">
        <v>2332</v>
      </c>
      <c r="AB50" s="9" t="s">
        <v>2333</v>
      </c>
      <c r="AC50" s="9" t="s">
        <v>2334</v>
      </c>
      <c r="AD50" s="9" t="s">
        <v>2335</v>
      </c>
      <c r="AE50" s="9" t="s">
        <v>2336</v>
      </c>
      <c r="AF50" s="9" t="s">
        <v>2337</v>
      </c>
      <c r="AG50" s="9" t="s">
        <v>2338</v>
      </c>
      <c r="AH50" s="9" t="s">
        <v>2339</v>
      </c>
      <c r="AI50" s="9" t="s">
        <v>2340</v>
      </c>
      <c r="AJ50" s="9" t="s">
        <v>2341</v>
      </c>
      <c r="AK50" s="9" t="s">
        <v>2342</v>
      </c>
      <c r="AL50" s="9" t="s">
        <v>2343</v>
      </c>
      <c r="AM50" s="9" t="s">
        <v>2344</v>
      </c>
      <c r="AN50" s="9" t="s">
        <v>2345</v>
      </c>
      <c r="AO50" s="9" t="s">
        <v>2346</v>
      </c>
      <c r="AP50" s="9" t="s">
        <v>2347</v>
      </c>
      <c r="AQ50" s="9" t="s">
        <v>2348</v>
      </c>
      <c r="AR50" s="9" t="s">
        <v>2349</v>
      </c>
      <c r="AS50" s="9" t="s">
        <v>2350</v>
      </c>
      <c r="AT50" s="9" t="s">
        <v>177</v>
      </c>
      <c r="AU50" s="9" t="s">
        <v>2351</v>
      </c>
      <c r="AV50" s="9" t="s">
        <v>2352</v>
      </c>
      <c r="AW50" s="9" t="s">
        <v>2353</v>
      </c>
      <c r="AX50" s="9" t="s">
        <v>2354</v>
      </c>
      <c r="AY50" s="9" t="s">
        <v>2355</v>
      </c>
      <c r="AZ50" s="9" t="s">
        <v>2356</v>
      </c>
      <c r="BA50" s="9" t="s">
        <v>2357</v>
      </c>
      <c r="BB50" s="9" t="s">
        <v>2358</v>
      </c>
      <c r="BC50" s="9" t="s">
        <v>2359</v>
      </c>
      <c r="BD50" s="9" t="s">
        <v>2360</v>
      </c>
      <c r="BE50" s="29"/>
      <c r="BF50" s="29"/>
      <c r="BG50" s="29"/>
      <c r="BH50" s="29"/>
      <c r="BI50" s="29"/>
      <c r="BJ50" s="29"/>
      <c r="BK50" s="29"/>
      <c r="BL50" s="29"/>
    </row>
    <row r="51" customFormat="false" ht="128.35" hidden="false" customHeight="false" outlineLevel="0" collapsed="false">
      <c r="A51" s="9" t="s">
        <v>2361</v>
      </c>
      <c r="B51" s="9" t="s">
        <v>84</v>
      </c>
      <c r="C51" s="9" t="s">
        <v>1986</v>
      </c>
      <c r="D51" s="9" t="s">
        <v>2128</v>
      </c>
      <c r="E51" s="9" t="s">
        <v>87</v>
      </c>
      <c r="F51" s="9" t="s">
        <v>997</v>
      </c>
      <c r="G51" s="28" t="s">
        <v>2362</v>
      </c>
      <c r="H51" s="9" t="s">
        <v>90</v>
      </c>
      <c r="I51" s="9" t="s">
        <v>2363</v>
      </c>
      <c r="J51" s="9" t="s">
        <v>2364</v>
      </c>
      <c r="K51" s="9" t="s">
        <v>2365</v>
      </c>
      <c r="L51" s="9" t="s">
        <v>2366</v>
      </c>
      <c r="M51" s="9" t="s">
        <v>2367</v>
      </c>
      <c r="N51" s="9" t="s">
        <v>2368</v>
      </c>
      <c r="O51" s="9" t="s">
        <v>97</v>
      </c>
      <c r="P51" s="9" t="s">
        <v>2369</v>
      </c>
      <c r="Q51" s="9" t="s">
        <v>291</v>
      </c>
      <c r="R51" s="9" t="s">
        <v>2370</v>
      </c>
      <c r="S51" s="9" t="s">
        <v>2371</v>
      </c>
      <c r="T51" s="9" t="s">
        <v>2372</v>
      </c>
      <c r="U51" s="9" t="s">
        <v>2373</v>
      </c>
      <c r="V51" s="9" t="s">
        <v>2374</v>
      </c>
      <c r="W51" s="9" t="s">
        <v>2375</v>
      </c>
      <c r="X51" s="9" t="s">
        <v>2376</v>
      </c>
      <c r="Y51" s="9" t="s">
        <v>2377</v>
      </c>
      <c r="Z51" s="9" t="s">
        <v>2378</v>
      </c>
      <c r="AA51" s="9" t="s">
        <v>2379</v>
      </c>
      <c r="AB51" s="9" t="s">
        <v>2380</v>
      </c>
      <c r="AC51" s="9" t="s">
        <v>2381</v>
      </c>
      <c r="AD51" s="9" t="s">
        <v>2382</v>
      </c>
      <c r="AE51" s="9" t="s">
        <v>2383</v>
      </c>
      <c r="AF51" s="9" t="s">
        <v>2384</v>
      </c>
      <c r="AG51" s="9" t="s">
        <v>2385</v>
      </c>
      <c r="AH51" s="9" t="s">
        <v>2386</v>
      </c>
      <c r="AI51" s="9" t="s">
        <v>2387</v>
      </c>
      <c r="AJ51" s="9" t="s">
        <v>2388</v>
      </c>
      <c r="AK51" s="9" t="s">
        <v>2389</v>
      </c>
      <c r="AL51" s="9" t="s">
        <v>2390</v>
      </c>
      <c r="AM51" s="9" t="s">
        <v>2391</v>
      </c>
      <c r="AN51" s="9" t="s">
        <v>2392</v>
      </c>
      <c r="AO51" s="9" t="s">
        <v>2393</v>
      </c>
      <c r="AP51" s="9" t="s">
        <v>2394</v>
      </c>
      <c r="AQ51" s="9" t="s">
        <v>2020</v>
      </c>
      <c r="AR51" s="9" t="s">
        <v>2395</v>
      </c>
      <c r="AS51" s="9" t="s">
        <v>2396</v>
      </c>
      <c r="AT51" s="9" t="s">
        <v>414</v>
      </c>
      <c r="AU51" s="9" t="s">
        <v>2397</v>
      </c>
      <c r="AV51" s="9" t="s">
        <v>2398</v>
      </c>
      <c r="AW51" s="9" t="s">
        <v>2399</v>
      </c>
      <c r="AX51" s="9" t="s">
        <v>2400</v>
      </c>
      <c r="AY51" s="9" t="s">
        <v>2401</v>
      </c>
      <c r="AZ51" s="9" t="s">
        <v>2402</v>
      </c>
      <c r="BA51" s="9" t="s">
        <v>2403</v>
      </c>
      <c r="BB51" s="9" t="s">
        <v>2404</v>
      </c>
      <c r="BC51" s="9" t="s">
        <v>2405</v>
      </c>
      <c r="BD51" s="9" t="s">
        <v>2406</v>
      </c>
      <c r="BE51" s="29"/>
      <c r="BF51" s="29"/>
      <c r="BG51" s="29"/>
      <c r="BH51" s="29"/>
      <c r="BI51" s="29"/>
      <c r="BJ51" s="29"/>
      <c r="BK51" s="29"/>
      <c r="BL51" s="29"/>
    </row>
    <row r="52" customFormat="false" ht="128.35" hidden="false" customHeight="false" outlineLevel="0" collapsed="false">
      <c r="A52" s="9" t="s">
        <v>2407</v>
      </c>
      <c r="B52" s="9" t="s">
        <v>84</v>
      </c>
      <c r="C52" s="9" t="s">
        <v>1986</v>
      </c>
      <c r="D52" s="9" t="s">
        <v>2128</v>
      </c>
      <c r="E52" s="9" t="s">
        <v>87</v>
      </c>
      <c r="F52" s="9" t="s">
        <v>1140</v>
      </c>
      <c r="G52" s="28" t="s">
        <v>2408</v>
      </c>
      <c r="H52" s="9" t="s">
        <v>90</v>
      </c>
      <c r="I52" s="9" t="s">
        <v>2409</v>
      </c>
      <c r="J52" s="9" t="s">
        <v>2410</v>
      </c>
      <c r="K52" s="9" t="s">
        <v>2411</v>
      </c>
      <c r="L52" s="9" t="s">
        <v>2412</v>
      </c>
      <c r="M52" s="9" t="s">
        <v>2413</v>
      </c>
      <c r="N52" s="9" t="s">
        <v>2414</v>
      </c>
      <c r="O52" s="9" t="s">
        <v>97</v>
      </c>
      <c r="P52" s="9" t="s">
        <v>2415</v>
      </c>
      <c r="Q52" s="9" t="s">
        <v>291</v>
      </c>
      <c r="R52" s="9" t="s">
        <v>2416</v>
      </c>
      <c r="S52" s="9" t="s">
        <v>2417</v>
      </c>
      <c r="T52" s="9" t="s">
        <v>2418</v>
      </c>
      <c r="U52" s="9" t="s">
        <v>2419</v>
      </c>
      <c r="V52" s="9" t="s">
        <v>2420</v>
      </c>
      <c r="W52" s="9" t="s">
        <v>2421</v>
      </c>
      <c r="X52" s="9" t="s">
        <v>2422</v>
      </c>
      <c r="Y52" s="9" t="s">
        <v>2423</v>
      </c>
      <c r="Z52" s="9" t="s">
        <v>2424</v>
      </c>
      <c r="AA52" s="9" t="s">
        <v>2425</v>
      </c>
      <c r="AB52" s="9" t="s">
        <v>2426</v>
      </c>
      <c r="AC52" s="9" t="s">
        <v>2427</v>
      </c>
      <c r="AD52" s="9" t="s">
        <v>2428</v>
      </c>
      <c r="AE52" s="9" t="s">
        <v>2429</v>
      </c>
      <c r="AF52" s="9" t="s">
        <v>2430</v>
      </c>
      <c r="AG52" s="9" t="s">
        <v>2431</v>
      </c>
      <c r="AH52" s="9" t="s">
        <v>2432</v>
      </c>
      <c r="AI52" s="9" t="s">
        <v>2433</v>
      </c>
      <c r="AJ52" s="9" t="s">
        <v>2434</v>
      </c>
      <c r="AK52" s="9" t="s">
        <v>2435</v>
      </c>
      <c r="AL52" s="9" t="s">
        <v>2436</v>
      </c>
      <c r="AM52" s="9" t="s">
        <v>2437</v>
      </c>
      <c r="AN52" s="9" t="s">
        <v>2438</v>
      </c>
      <c r="AO52" s="9" t="s">
        <v>2439</v>
      </c>
      <c r="AP52" s="9" t="s">
        <v>2440</v>
      </c>
      <c r="AQ52" s="9" t="s">
        <v>411</v>
      </c>
      <c r="AR52" s="9" t="s">
        <v>2441</v>
      </c>
      <c r="AS52" s="9" t="s">
        <v>2442</v>
      </c>
      <c r="AT52" s="9" t="s">
        <v>699</v>
      </c>
      <c r="AU52" s="9" t="s">
        <v>2443</v>
      </c>
      <c r="AV52" s="9" t="s">
        <v>2444</v>
      </c>
      <c r="AW52" s="9" t="s">
        <v>2445</v>
      </c>
      <c r="AX52" s="9" t="s">
        <v>2446</v>
      </c>
      <c r="AY52" s="9" t="s">
        <v>2447</v>
      </c>
      <c r="AZ52" s="9" t="s">
        <v>2448</v>
      </c>
      <c r="BA52" s="9" t="s">
        <v>2449</v>
      </c>
      <c r="BB52" s="9" t="s">
        <v>2450</v>
      </c>
      <c r="BC52" s="9" t="s">
        <v>2451</v>
      </c>
      <c r="BD52" s="9" t="s">
        <v>2452</v>
      </c>
      <c r="BE52" s="29"/>
      <c r="BF52" s="29"/>
      <c r="BG52" s="29"/>
      <c r="BH52" s="29"/>
      <c r="BI52" s="29"/>
      <c r="BJ52" s="29"/>
      <c r="BK52" s="29"/>
      <c r="BL52" s="29"/>
    </row>
    <row r="53" customFormat="false" ht="141" hidden="false" customHeight="false" outlineLevel="0" collapsed="false">
      <c r="A53" s="9" t="s">
        <v>2453</v>
      </c>
      <c r="B53" s="9" t="s">
        <v>84</v>
      </c>
      <c r="C53" s="9" t="s">
        <v>1986</v>
      </c>
      <c r="D53" s="9" t="s">
        <v>1092</v>
      </c>
      <c r="E53" s="9" t="s">
        <v>87</v>
      </c>
      <c r="F53" s="9" t="s">
        <v>331</v>
      </c>
      <c r="G53" s="28" t="s">
        <v>2454</v>
      </c>
      <c r="H53" s="9" t="s">
        <v>90</v>
      </c>
      <c r="I53" s="9" t="s">
        <v>2455</v>
      </c>
      <c r="J53" s="9" t="s">
        <v>2456</v>
      </c>
      <c r="K53" s="9" t="s">
        <v>2457</v>
      </c>
      <c r="L53" s="9" t="s">
        <v>2458</v>
      </c>
      <c r="M53" s="9" t="s">
        <v>2459</v>
      </c>
      <c r="N53" s="9" t="s">
        <v>2460</v>
      </c>
      <c r="O53" s="9" t="s">
        <v>575</v>
      </c>
      <c r="P53" s="9" t="s">
        <v>2461</v>
      </c>
      <c r="Q53" s="9" t="s">
        <v>291</v>
      </c>
      <c r="R53" s="9" t="s">
        <v>2462</v>
      </c>
      <c r="S53" s="9" t="s">
        <v>2463</v>
      </c>
      <c r="T53" s="9" t="s">
        <v>2464</v>
      </c>
      <c r="U53" s="9" t="s">
        <v>2465</v>
      </c>
      <c r="V53" s="9" t="s">
        <v>2466</v>
      </c>
      <c r="W53" s="9" t="s">
        <v>2467</v>
      </c>
      <c r="X53" s="9" t="s">
        <v>2468</v>
      </c>
      <c r="Y53" s="9" t="s">
        <v>2469</v>
      </c>
      <c r="Z53" s="9" t="s">
        <v>2470</v>
      </c>
      <c r="AA53" s="9" t="s">
        <v>2471</v>
      </c>
      <c r="AB53" s="9" t="s">
        <v>2472</v>
      </c>
      <c r="AC53" s="9" t="s">
        <v>2473</v>
      </c>
      <c r="AD53" s="9" t="s">
        <v>2474</v>
      </c>
      <c r="AE53" s="9" t="s">
        <v>2475</v>
      </c>
      <c r="AF53" s="9" t="s">
        <v>2476</v>
      </c>
      <c r="AG53" s="9" t="s">
        <v>2477</v>
      </c>
      <c r="AH53" s="9" t="s">
        <v>2478</v>
      </c>
      <c r="AI53" s="9" t="s">
        <v>2479</v>
      </c>
      <c r="AJ53" s="9" t="s">
        <v>2480</v>
      </c>
      <c r="AK53" s="9" t="s">
        <v>2481</v>
      </c>
      <c r="AL53" s="9" t="s">
        <v>2482</v>
      </c>
      <c r="AM53" s="9" t="s">
        <v>2483</v>
      </c>
      <c r="AN53" s="9" t="s">
        <v>2484</v>
      </c>
      <c r="AO53" s="9" t="s">
        <v>2485</v>
      </c>
      <c r="AP53" s="9" t="s">
        <v>2486</v>
      </c>
      <c r="AQ53" s="9" t="s">
        <v>2487</v>
      </c>
      <c r="AR53" s="9" t="s">
        <v>2488</v>
      </c>
      <c r="AS53" s="9" t="s">
        <v>2489</v>
      </c>
      <c r="AT53" s="9" t="s">
        <v>414</v>
      </c>
      <c r="AU53" s="9" t="s">
        <v>2490</v>
      </c>
      <c r="AV53" s="9" t="s">
        <v>2491</v>
      </c>
      <c r="AW53" s="9" t="s">
        <v>2492</v>
      </c>
      <c r="AX53" s="9" t="s">
        <v>2493</v>
      </c>
      <c r="AY53" s="9" t="s">
        <v>2494</v>
      </c>
      <c r="AZ53" s="9" t="s">
        <v>2495</v>
      </c>
      <c r="BA53" s="9" t="s">
        <v>2496</v>
      </c>
      <c r="BB53" s="9" t="s">
        <v>2497</v>
      </c>
      <c r="BC53" s="9" t="s">
        <v>2498</v>
      </c>
      <c r="BD53" s="9" t="s">
        <v>2499</v>
      </c>
      <c r="BE53" s="29"/>
      <c r="BF53" s="29"/>
      <c r="BG53" s="29"/>
      <c r="BH53" s="29"/>
      <c r="BI53" s="29"/>
      <c r="BJ53" s="29"/>
      <c r="BK53" s="29"/>
      <c r="BL53" s="29"/>
    </row>
    <row r="54" customFormat="false" ht="141" hidden="false" customHeight="false" outlineLevel="0" collapsed="false">
      <c r="A54" s="9" t="s">
        <v>2500</v>
      </c>
      <c r="B54" s="9" t="s">
        <v>84</v>
      </c>
      <c r="C54" s="9" t="s">
        <v>1986</v>
      </c>
      <c r="D54" s="9" t="s">
        <v>2128</v>
      </c>
      <c r="E54" s="9" t="s">
        <v>87</v>
      </c>
      <c r="F54" s="9" t="s">
        <v>1378</v>
      </c>
      <c r="G54" s="28" t="s">
        <v>2501</v>
      </c>
      <c r="H54" s="9" t="s">
        <v>90</v>
      </c>
      <c r="I54" s="9" t="s">
        <v>2502</v>
      </c>
      <c r="J54" s="9" t="s">
        <v>2503</v>
      </c>
      <c r="K54" s="9" t="s">
        <v>2504</v>
      </c>
      <c r="L54" s="9" t="s">
        <v>2505</v>
      </c>
      <c r="M54" s="9" t="s">
        <v>2506</v>
      </c>
      <c r="N54" s="9" t="s">
        <v>2507</v>
      </c>
      <c r="O54" s="9" t="s">
        <v>97</v>
      </c>
      <c r="P54" s="9" t="s">
        <v>2508</v>
      </c>
      <c r="Q54" s="9" t="s">
        <v>291</v>
      </c>
      <c r="R54" s="9" t="s">
        <v>2509</v>
      </c>
      <c r="S54" s="9" t="s">
        <v>2510</v>
      </c>
      <c r="T54" s="9" t="s">
        <v>2511</v>
      </c>
      <c r="U54" s="9" t="s">
        <v>2512</v>
      </c>
      <c r="V54" s="9" t="s">
        <v>2513</v>
      </c>
      <c r="W54" s="9" t="s">
        <v>2514</v>
      </c>
      <c r="X54" s="9" t="s">
        <v>2515</v>
      </c>
      <c r="Y54" s="9" t="s">
        <v>2516</v>
      </c>
      <c r="Z54" s="9" t="s">
        <v>2517</v>
      </c>
      <c r="AA54" s="9" t="s">
        <v>2518</v>
      </c>
      <c r="AB54" s="9" t="s">
        <v>2519</v>
      </c>
      <c r="AC54" s="9" t="s">
        <v>2520</v>
      </c>
      <c r="AD54" s="9" t="s">
        <v>2521</v>
      </c>
      <c r="AE54" s="9" t="s">
        <v>2522</v>
      </c>
      <c r="AF54" s="9" t="s">
        <v>2523</v>
      </c>
      <c r="AG54" s="9" t="s">
        <v>2524</v>
      </c>
      <c r="AH54" s="9" t="s">
        <v>2525</v>
      </c>
      <c r="AI54" s="9" t="s">
        <v>2526</v>
      </c>
      <c r="AJ54" s="9" t="s">
        <v>2527</v>
      </c>
      <c r="AK54" s="9" t="s">
        <v>2528</v>
      </c>
      <c r="AL54" s="9" t="s">
        <v>2529</v>
      </c>
      <c r="AM54" s="9" t="s">
        <v>2530</v>
      </c>
      <c r="AN54" s="9" t="s">
        <v>2531</v>
      </c>
      <c r="AO54" s="9" t="s">
        <v>2532</v>
      </c>
      <c r="AP54" s="9" t="s">
        <v>2533</v>
      </c>
      <c r="AQ54" s="9" t="s">
        <v>602</v>
      </c>
      <c r="AR54" s="9" t="s">
        <v>2534</v>
      </c>
      <c r="AS54" s="9" t="s">
        <v>2535</v>
      </c>
      <c r="AT54" s="9" t="s">
        <v>177</v>
      </c>
      <c r="AU54" s="9" t="s">
        <v>2536</v>
      </c>
      <c r="AV54" s="9" t="s">
        <v>2537</v>
      </c>
      <c r="AW54" s="9" t="s">
        <v>2538</v>
      </c>
      <c r="AX54" s="9" t="s">
        <v>2539</v>
      </c>
      <c r="AY54" s="9" t="s">
        <v>2540</v>
      </c>
      <c r="AZ54" s="9" t="s">
        <v>2541</v>
      </c>
      <c r="BA54" s="9" t="s">
        <v>2542</v>
      </c>
      <c r="BB54" s="9" t="s">
        <v>2543</v>
      </c>
      <c r="BC54" s="9" t="s">
        <v>2544</v>
      </c>
      <c r="BD54" s="9" t="s">
        <v>2545</v>
      </c>
      <c r="BE54" s="29"/>
      <c r="BF54" s="29"/>
      <c r="BG54" s="29"/>
      <c r="BH54" s="29"/>
      <c r="BI54" s="29"/>
      <c r="BJ54" s="29"/>
      <c r="BK54" s="29"/>
      <c r="BL54" s="29"/>
    </row>
    <row r="55" customFormat="false" ht="141" hidden="false" customHeight="false" outlineLevel="0" collapsed="false">
      <c r="A55" s="9" t="s">
        <v>2546</v>
      </c>
      <c r="B55" s="9" t="s">
        <v>84</v>
      </c>
      <c r="C55" s="9" t="s">
        <v>1986</v>
      </c>
      <c r="D55" s="9" t="s">
        <v>1092</v>
      </c>
      <c r="E55" s="9" t="s">
        <v>87</v>
      </c>
      <c r="F55" s="9" t="s">
        <v>662</v>
      </c>
      <c r="G55" s="28" t="s">
        <v>2547</v>
      </c>
      <c r="H55" s="9" t="s">
        <v>90</v>
      </c>
      <c r="I55" s="9" t="s">
        <v>2548</v>
      </c>
      <c r="J55" s="9" t="s">
        <v>2549</v>
      </c>
      <c r="K55" s="9" t="s">
        <v>2550</v>
      </c>
      <c r="L55" s="9" t="s">
        <v>2551</v>
      </c>
      <c r="M55" s="9" t="s">
        <v>2552</v>
      </c>
      <c r="N55" s="9" t="s">
        <v>2553</v>
      </c>
      <c r="O55" s="9" t="s">
        <v>97</v>
      </c>
      <c r="P55" s="9" t="s">
        <v>2554</v>
      </c>
      <c r="Q55" s="9" t="s">
        <v>99</v>
      </c>
      <c r="R55" s="9" t="s">
        <v>2555</v>
      </c>
      <c r="S55" s="9" t="s">
        <v>2556</v>
      </c>
      <c r="T55" s="9" t="s">
        <v>2557</v>
      </c>
      <c r="U55" s="9" t="s">
        <v>2558</v>
      </c>
      <c r="V55" s="9" t="s">
        <v>2559</v>
      </c>
      <c r="W55" s="9" t="s">
        <v>2560</v>
      </c>
      <c r="X55" s="9" t="s">
        <v>2561</v>
      </c>
      <c r="Y55" s="9" t="s">
        <v>2562</v>
      </c>
      <c r="Z55" s="9" t="s">
        <v>2563</v>
      </c>
      <c r="AA55" s="9" t="s">
        <v>2564</v>
      </c>
      <c r="AB55" s="9" t="s">
        <v>2565</v>
      </c>
      <c r="AC55" s="9" t="s">
        <v>2566</v>
      </c>
      <c r="AD55" s="9" t="s">
        <v>2567</v>
      </c>
      <c r="AE55" s="9" t="s">
        <v>2568</v>
      </c>
      <c r="AF55" s="9" t="s">
        <v>2569</v>
      </c>
      <c r="AG55" s="9" t="s">
        <v>2570</v>
      </c>
      <c r="AH55" s="9" t="s">
        <v>2571</v>
      </c>
      <c r="AI55" s="9" t="s">
        <v>2572</v>
      </c>
      <c r="AJ55" s="9" t="s">
        <v>2573</v>
      </c>
      <c r="AK55" s="9" t="s">
        <v>2574</v>
      </c>
      <c r="AL55" s="9" t="s">
        <v>2575</v>
      </c>
      <c r="AM55" s="9" t="s">
        <v>2576</v>
      </c>
      <c r="AN55" s="9" t="s">
        <v>2577</v>
      </c>
      <c r="AO55" s="9" t="s">
        <v>2578</v>
      </c>
      <c r="AP55" s="9" t="s">
        <v>2579</v>
      </c>
      <c r="AQ55" s="9" t="s">
        <v>2580</v>
      </c>
      <c r="AR55" s="9" t="s">
        <v>2581</v>
      </c>
      <c r="AS55" s="9" t="s">
        <v>2582</v>
      </c>
      <c r="AT55" s="9" t="s">
        <v>177</v>
      </c>
      <c r="AU55" s="9" t="s">
        <v>2583</v>
      </c>
      <c r="AV55" s="9" t="s">
        <v>2584</v>
      </c>
      <c r="AW55" s="9" t="s">
        <v>2585</v>
      </c>
      <c r="AX55" s="9" t="s">
        <v>2586</v>
      </c>
      <c r="AY55" s="9" t="s">
        <v>2587</v>
      </c>
      <c r="AZ55" s="9" t="s">
        <v>2588</v>
      </c>
      <c r="BA55" s="9" t="s">
        <v>2589</v>
      </c>
      <c r="BB55" s="9" t="s">
        <v>2590</v>
      </c>
      <c r="BC55" s="9" t="s">
        <v>2591</v>
      </c>
      <c r="BD55" s="9" t="s">
        <v>2592</v>
      </c>
      <c r="BE55" s="29"/>
      <c r="BF55" s="29"/>
      <c r="BG55" s="29"/>
      <c r="BH55" s="29"/>
      <c r="BI55" s="29"/>
      <c r="BJ55" s="29"/>
      <c r="BK55" s="29"/>
      <c r="BL55" s="29"/>
    </row>
    <row r="56" customFormat="false" ht="153.7" hidden="false" customHeight="false" outlineLevel="0" collapsed="false">
      <c r="A56" s="9" t="s">
        <v>2593</v>
      </c>
      <c r="B56" s="9" t="s">
        <v>84</v>
      </c>
      <c r="C56" s="9" t="s">
        <v>1986</v>
      </c>
      <c r="D56" s="9" t="s">
        <v>2128</v>
      </c>
      <c r="E56" s="9" t="s">
        <v>87</v>
      </c>
      <c r="F56" s="9" t="s">
        <v>140</v>
      </c>
      <c r="G56" s="28" t="s">
        <v>2594</v>
      </c>
      <c r="H56" s="9" t="s">
        <v>90</v>
      </c>
      <c r="I56" s="9" t="s">
        <v>2595</v>
      </c>
      <c r="J56" s="9" t="s">
        <v>2596</v>
      </c>
      <c r="K56" s="9" t="s">
        <v>2597</v>
      </c>
      <c r="L56" s="9" t="s">
        <v>2598</v>
      </c>
      <c r="M56" s="9" t="s">
        <v>2599</v>
      </c>
      <c r="N56" s="9" t="s">
        <v>2600</v>
      </c>
      <c r="O56" s="9" t="s">
        <v>97</v>
      </c>
      <c r="P56" s="9" t="s">
        <v>2601</v>
      </c>
      <c r="Q56" s="9" t="s">
        <v>99</v>
      </c>
      <c r="R56" s="9" t="s">
        <v>2602</v>
      </c>
      <c r="S56" s="9" t="s">
        <v>2603</v>
      </c>
      <c r="T56" s="9" t="s">
        <v>2604</v>
      </c>
      <c r="U56" s="9" t="s">
        <v>2605</v>
      </c>
      <c r="V56" s="9" t="s">
        <v>2606</v>
      </c>
      <c r="W56" s="9" t="s">
        <v>2607</v>
      </c>
      <c r="X56" s="9" t="s">
        <v>2608</v>
      </c>
      <c r="Y56" s="9" t="s">
        <v>2609</v>
      </c>
      <c r="Z56" s="9" t="s">
        <v>2610</v>
      </c>
      <c r="AA56" s="9" t="s">
        <v>2611</v>
      </c>
      <c r="AB56" s="9" t="s">
        <v>2612</v>
      </c>
      <c r="AC56" s="9" t="s">
        <v>2613</v>
      </c>
      <c r="AD56" s="9" t="s">
        <v>2614</v>
      </c>
      <c r="AE56" s="9" t="s">
        <v>2615</v>
      </c>
      <c r="AF56" s="9" t="s">
        <v>2616</v>
      </c>
      <c r="AG56" s="9" t="s">
        <v>2617</v>
      </c>
      <c r="AH56" s="9" t="s">
        <v>2618</v>
      </c>
      <c r="AI56" s="9" t="s">
        <v>2619</v>
      </c>
      <c r="AJ56" s="9" t="s">
        <v>2620</v>
      </c>
      <c r="AK56" s="9" t="s">
        <v>2621</v>
      </c>
      <c r="AL56" s="9" t="s">
        <v>2622</v>
      </c>
      <c r="AM56" s="9" t="s">
        <v>2623</v>
      </c>
      <c r="AN56" s="9" t="s">
        <v>2624</v>
      </c>
      <c r="AO56" s="9" t="s">
        <v>2625</v>
      </c>
      <c r="AP56" s="9" t="s">
        <v>2626</v>
      </c>
      <c r="AQ56" s="9" t="s">
        <v>602</v>
      </c>
      <c r="AR56" s="9" t="s">
        <v>2627</v>
      </c>
      <c r="AS56" s="9" t="s">
        <v>2628</v>
      </c>
      <c r="AT56" s="9" t="s">
        <v>414</v>
      </c>
      <c r="AU56" s="9" t="s">
        <v>2629</v>
      </c>
      <c r="AV56" s="9" t="s">
        <v>2630</v>
      </c>
      <c r="AW56" s="9" t="s">
        <v>2631</v>
      </c>
      <c r="AX56" s="9" t="s">
        <v>2632</v>
      </c>
      <c r="AY56" s="9" t="s">
        <v>2633</v>
      </c>
      <c r="AZ56" s="9" t="s">
        <v>2634</v>
      </c>
      <c r="BA56" s="9" t="s">
        <v>2635</v>
      </c>
      <c r="BB56" s="9" t="s">
        <v>2636</v>
      </c>
      <c r="BC56" s="9" t="s">
        <v>2637</v>
      </c>
      <c r="BD56" s="9" t="s">
        <v>2638</v>
      </c>
      <c r="BE56" s="29"/>
      <c r="BF56" s="29"/>
      <c r="BG56" s="29"/>
      <c r="BH56" s="29"/>
      <c r="BI56" s="29"/>
      <c r="BJ56" s="29"/>
      <c r="BK56" s="29"/>
      <c r="BL56" s="29"/>
    </row>
    <row r="57" customFormat="false" ht="141" hidden="false" customHeight="false" outlineLevel="0" collapsed="false">
      <c r="A57" s="9" t="s">
        <v>2639</v>
      </c>
      <c r="B57" s="9" t="s">
        <v>84</v>
      </c>
      <c r="C57" s="9" t="s">
        <v>1986</v>
      </c>
      <c r="D57" s="9" t="s">
        <v>1092</v>
      </c>
      <c r="E57" s="9" t="s">
        <v>758</v>
      </c>
      <c r="F57" s="9" t="s">
        <v>997</v>
      </c>
      <c r="G57" s="28" t="s">
        <v>2640</v>
      </c>
      <c r="H57" s="9" t="s">
        <v>760</v>
      </c>
      <c r="I57" s="9" t="s">
        <v>2641</v>
      </c>
      <c r="J57" s="9" t="s">
        <v>2642</v>
      </c>
      <c r="K57" s="9" t="s">
        <v>2643</v>
      </c>
      <c r="L57" s="9" t="s">
        <v>2644</v>
      </c>
      <c r="M57" s="9" t="s">
        <v>2645</v>
      </c>
      <c r="N57" s="9" t="s">
        <v>2646</v>
      </c>
      <c r="O57" s="9" t="s">
        <v>97</v>
      </c>
      <c r="P57" s="9" t="s">
        <v>2647</v>
      </c>
      <c r="Q57" s="9" t="s">
        <v>99</v>
      </c>
      <c r="R57" s="9" t="s">
        <v>2648</v>
      </c>
      <c r="S57" s="9" t="s">
        <v>2649</v>
      </c>
      <c r="T57" s="9" t="s">
        <v>2650</v>
      </c>
      <c r="U57" s="9" t="s">
        <v>2651</v>
      </c>
      <c r="V57" s="9" t="s">
        <v>2652</v>
      </c>
      <c r="W57" s="9" t="s">
        <v>2653</v>
      </c>
      <c r="X57" s="9" t="s">
        <v>2654</v>
      </c>
      <c r="Y57" s="9" t="s">
        <v>2655</v>
      </c>
      <c r="Z57" s="9" t="s">
        <v>2656</v>
      </c>
      <c r="AA57" s="9" t="s">
        <v>2657</v>
      </c>
      <c r="AB57" s="9" t="s">
        <v>2658</v>
      </c>
      <c r="AC57" s="9" t="s">
        <v>2659</v>
      </c>
      <c r="AD57" s="9" t="s">
        <v>2660</v>
      </c>
      <c r="AE57" s="9" t="s">
        <v>2661</v>
      </c>
      <c r="AF57" s="9" t="s">
        <v>2662</v>
      </c>
      <c r="AG57" s="9" t="s">
        <v>2663</v>
      </c>
      <c r="AH57" s="9" t="s">
        <v>2664</v>
      </c>
      <c r="AI57" s="9" t="s">
        <v>2665</v>
      </c>
      <c r="AJ57" s="9" t="s">
        <v>2666</v>
      </c>
      <c r="AK57" s="9" t="s">
        <v>2667</v>
      </c>
      <c r="AL57" s="9" t="s">
        <v>2668</v>
      </c>
      <c r="AM57" s="9" t="s">
        <v>2669</v>
      </c>
      <c r="AN57" s="9" t="s">
        <v>2670</v>
      </c>
      <c r="AO57" s="9" t="s">
        <v>2671</v>
      </c>
      <c r="AP57" s="9" t="s">
        <v>2672</v>
      </c>
      <c r="AQ57" s="9" t="s">
        <v>2673</v>
      </c>
      <c r="AR57" s="9" t="s">
        <v>2674</v>
      </c>
      <c r="AS57" s="9" t="s">
        <v>2675</v>
      </c>
      <c r="AT57" s="9" t="s">
        <v>699</v>
      </c>
      <c r="AU57" s="9" t="s">
        <v>2676</v>
      </c>
      <c r="AV57" s="9" t="s">
        <v>2677</v>
      </c>
      <c r="AW57" s="9" t="s">
        <v>2678</v>
      </c>
      <c r="AX57" s="9" t="s">
        <v>2679</v>
      </c>
      <c r="AY57" s="9" t="s">
        <v>2680</v>
      </c>
      <c r="AZ57" s="9" t="s">
        <v>2681</v>
      </c>
      <c r="BA57" s="9" t="s">
        <v>2682</v>
      </c>
      <c r="BB57" s="9" t="s">
        <v>2683</v>
      </c>
      <c r="BC57" s="9" t="s">
        <v>2684</v>
      </c>
      <c r="BD57" s="9" t="s">
        <v>2685</v>
      </c>
      <c r="BE57" s="29"/>
      <c r="BF57" s="29"/>
      <c r="BG57" s="29"/>
      <c r="BH57" s="29"/>
      <c r="BI57" s="29"/>
      <c r="BJ57" s="29"/>
      <c r="BK57" s="29"/>
      <c r="BL57" s="29"/>
    </row>
    <row r="58" customFormat="false" ht="128.35" hidden="false" customHeight="false" outlineLevel="0" collapsed="false">
      <c r="A58" s="9" t="s">
        <v>2686</v>
      </c>
      <c r="B58" s="9" t="s">
        <v>84</v>
      </c>
      <c r="C58" s="9" t="s">
        <v>1986</v>
      </c>
      <c r="D58" s="9" t="s">
        <v>1092</v>
      </c>
      <c r="E58" s="9" t="s">
        <v>758</v>
      </c>
      <c r="F58" s="9" t="s">
        <v>997</v>
      </c>
      <c r="G58" s="28" t="s">
        <v>2687</v>
      </c>
      <c r="H58" s="9" t="s">
        <v>760</v>
      </c>
      <c r="I58" s="9" t="s">
        <v>2688</v>
      </c>
      <c r="J58" s="9" t="s">
        <v>2689</v>
      </c>
      <c r="K58" s="9" t="s">
        <v>2690</v>
      </c>
      <c r="L58" s="9" t="s">
        <v>2691</v>
      </c>
      <c r="M58" s="9" t="s">
        <v>2692</v>
      </c>
      <c r="N58" s="9" t="s">
        <v>2693</v>
      </c>
      <c r="O58" s="9" t="s">
        <v>97</v>
      </c>
      <c r="P58" s="9" t="s">
        <v>2694</v>
      </c>
      <c r="Q58" s="9" t="s">
        <v>291</v>
      </c>
      <c r="R58" s="9" t="s">
        <v>2695</v>
      </c>
      <c r="S58" s="9" t="s">
        <v>2696</v>
      </c>
      <c r="T58" s="9" t="s">
        <v>2697</v>
      </c>
      <c r="U58" s="9" t="s">
        <v>2698</v>
      </c>
      <c r="V58" s="9" t="s">
        <v>2699</v>
      </c>
      <c r="W58" s="9" t="s">
        <v>2700</v>
      </c>
      <c r="X58" s="9" t="s">
        <v>2701</v>
      </c>
      <c r="Y58" s="9" t="s">
        <v>2702</v>
      </c>
      <c r="Z58" s="9" t="s">
        <v>2703</v>
      </c>
      <c r="AA58" s="9" t="s">
        <v>2704</v>
      </c>
      <c r="AB58" s="9" t="s">
        <v>2705</v>
      </c>
      <c r="AC58" s="9" t="s">
        <v>2706</v>
      </c>
      <c r="AD58" s="9" t="s">
        <v>2707</v>
      </c>
      <c r="AE58" s="9" t="s">
        <v>2708</v>
      </c>
      <c r="AF58" s="9" t="s">
        <v>2709</v>
      </c>
      <c r="AG58" s="9" t="s">
        <v>2710</v>
      </c>
      <c r="AH58" s="9" t="s">
        <v>2711</v>
      </c>
      <c r="AI58" s="9" t="s">
        <v>2712</v>
      </c>
      <c r="AJ58" s="9" t="s">
        <v>2713</v>
      </c>
      <c r="AK58" s="9" t="s">
        <v>2714</v>
      </c>
      <c r="AL58" s="9" t="s">
        <v>2715</v>
      </c>
      <c r="AM58" s="9" t="s">
        <v>2716</v>
      </c>
      <c r="AN58" s="9" t="s">
        <v>2717</v>
      </c>
      <c r="AO58" s="9" t="s">
        <v>2718</v>
      </c>
      <c r="AP58" s="9" t="s">
        <v>2719</v>
      </c>
      <c r="AQ58" s="9" t="s">
        <v>2720</v>
      </c>
      <c r="AR58" s="9" t="s">
        <v>2721</v>
      </c>
      <c r="AS58" s="9" t="s">
        <v>2722</v>
      </c>
      <c r="AT58" s="9" t="s">
        <v>414</v>
      </c>
      <c r="AU58" s="9" t="s">
        <v>2723</v>
      </c>
      <c r="AV58" s="9" t="s">
        <v>2724</v>
      </c>
      <c r="AW58" s="9" t="s">
        <v>2725</v>
      </c>
      <c r="AX58" s="9" t="s">
        <v>2726</v>
      </c>
      <c r="AY58" s="9" t="s">
        <v>2727</v>
      </c>
      <c r="AZ58" s="9" t="s">
        <v>2728</v>
      </c>
      <c r="BA58" s="9" t="s">
        <v>2729</v>
      </c>
      <c r="BB58" s="9" t="s">
        <v>2730</v>
      </c>
      <c r="BC58" s="9" t="s">
        <v>2731</v>
      </c>
      <c r="BD58" s="9" t="s">
        <v>2732</v>
      </c>
      <c r="BE58" s="29"/>
      <c r="BF58" s="29"/>
      <c r="BG58" s="29"/>
      <c r="BH58" s="29"/>
      <c r="BI58" s="29"/>
      <c r="BJ58" s="29"/>
      <c r="BK58" s="29"/>
      <c r="BL58" s="29"/>
    </row>
    <row r="59" customFormat="false" ht="115.65" hidden="false" customHeight="false" outlineLevel="0" collapsed="false">
      <c r="A59" s="9" t="s">
        <v>2733</v>
      </c>
      <c r="B59" s="9" t="s">
        <v>84</v>
      </c>
      <c r="C59" s="9" t="s">
        <v>1986</v>
      </c>
      <c r="D59" s="9" t="s">
        <v>1092</v>
      </c>
      <c r="E59" s="9" t="s">
        <v>758</v>
      </c>
      <c r="F59" s="9" t="s">
        <v>997</v>
      </c>
      <c r="G59" s="28" t="s">
        <v>2734</v>
      </c>
      <c r="H59" s="9" t="s">
        <v>760</v>
      </c>
      <c r="I59" s="9" t="s">
        <v>2735</v>
      </c>
      <c r="J59" s="9" t="s">
        <v>2736</v>
      </c>
      <c r="K59" s="9" t="s">
        <v>2737</v>
      </c>
      <c r="L59" s="9" t="s">
        <v>2738</v>
      </c>
      <c r="M59" s="9" t="s">
        <v>2739</v>
      </c>
      <c r="N59" s="9" t="s">
        <v>2740</v>
      </c>
      <c r="O59" s="9" t="s">
        <v>97</v>
      </c>
      <c r="P59" s="9" t="s">
        <v>2741</v>
      </c>
      <c r="Q59" s="9" t="s">
        <v>99</v>
      </c>
      <c r="R59" s="9" t="s">
        <v>2742</v>
      </c>
      <c r="S59" s="9" t="s">
        <v>2743</v>
      </c>
      <c r="T59" s="9" t="s">
        <v>2744</v>
      </c>
      <c r="U59" s="9" t="s">
        <v>2745</v>
      </c>
      <c r="V59" s="9" t="s">
        <v>2746</v>
      </c>
      <c r="W59" s="9" t="s">
        <v>2747</v>
      </c>
      <c r="X59" s="9" t="s">
        <v>2748</v>
      </c>
      <c r="Y59" s="9" t="s">
        <v>2749</v>
      </c>
      <c r="Z59" s="9" t="s">
        <v>2750</v>
      </c>
      <c r="AA59" s="9" t="s">
        <v>2751</v>
      </c>
      <c r="AB59" s="9" t="s">
        <v>2752</v>
      </c>
      <c r="AC59" s="9" t="s">
        <v>2753</v>
      </c>
      <c r="AD59" s="9" t="s">
        <v>2754</v>
      </c>
      <c r="AE59" s="9" t="s">
        <v>2755</v>
      </c>
      <c r="AF59" s="9" t="s">
        <v>2756</v>
      </c>
      <c r="AG59" s="9" t="s">
        <v>2757</v>
      </c>
      <c r="AH59" s="9" t="s">
        <v>2758</v>
      </c>
      <c r="AI59" s="9" t="s">
        <v>2759</v>
      </c>
      <c r="AJ59" s="9" t="s">
        <v>2760</v>
      </c>
      <c r="AK59" s="9" t="s">
        <v>2761</v>
      </c>
      <c r="AL59" s="9" t="s">
        <v>2762</v>
      </c>
      <c r="AM59" s="9" t="s">
        <v>2763</v>
      </c>
      <c r="AN59" s="9" t="s">
        <v>2764</v>
      </c>
      <c r="AO59" s="9" t="s">
        <v>2765</v>
      </c>
      <c r="AP59" s="9" t="s">
        <v>2766</v>
      </c>
      <c r="AQ59" s="9" t="s">
        <v>2767</v>
      </c>
      <c r="AR59" s="9" t="s">
        <v>2768</v>
      </c>
      <c r="AS59" s="9" t="s">
        <v>2769</v>
      </c>
      <c r="AT59" s="9" t="s">
        <v>699</v>
      </c>
      <c r="AU59" s="9" t="s">
        <v>2770</v>
      </c>
      <c r="AV59" s="9" t="s">
        <v>2771</v>
      </c>
      <c r="AW59" s="9" t="s">
        <v>2772</v>
      </c>
      <c r="AX59" s="9" t="s">
        <v>2773</v>
      </c>
      <c r="AY59" s="9" t="s">
        <v>2774</v>
      </c>
      <c r="AZ59" s="9" t="s">
        <v>2775</v>
      </c>
      <c r="BA59" s="9" t="s">
        <v>2776</v>
      </c>
      <c r="BB59" s="9" t="s">
        <v>2777</v>
      </c>
      <c r="BC59" s="9" t="s">
        <v>2778</v>
      </c>
      <c r="BD59" s="9" t="s">
        <v>2779</v>
      </c>
      <c r="BE59" s="29"/>
      <c r="BF59" s="29"/>
      <c r="BG59" s="29"/>
      <c r="BH59" s="29"/>
      <c r="BI59" s="29"/>
      <c r="BJ59" s="29"/>
      <c r="BK59" s="29"/>
      <c r="BL59" s="29"/>
    </row>
    <row r="60" customFormat="false" ht="115.65" hidden="false" customHeight="false" outlineLevel="0" collapsed="false">
      <c r="A60" s="9" t="s">
        <v>2780</v>
      </c>
      <c r="B60" s="9" t="s">
        <v>84</v>
      </c>
      <c r="C60" s="9" t="s">
        <v>1986</v>
      </c>
      <c r="D60" s="9" t="s">
        <v>2128</v>
      </c>
      <c r="E60" s="9" t="s">
        <v>758</v>
      </c>
      <c r="F60" s="9" t="s">
        <v>997</v>
      </c>
      <c r="G60" s="28" t="s">
        <v>2781</v>
      </c>
      <c r="H60" s="9" t="s">
        <v>760</v>
      </c>
      <c r="I60" s="9" t="s">
        <v>2782</v>
      </c>
      <c r="J60" s="9" t="s">
        <v>2783</v>
      </c>
      <c r="K60" s="9" t="s">
        <v>2784</v>
      </c>
      <c r="L60" s="9" t="s">
        <v>2785</v>
      </c>
      <c r="M60" s="9" t="s">
        <v>2786</v>
      </c>
      <c r="N60" s="9" t="s">
        <v>2787</v>
      </c>
      <c r="O60" s="9" t="s">
        <v>97</v>
      </c>
      <c r="P60" s="9" t="s">
        <v>2788</v>
      </c>
      <c r="Q60" s="9" t="s">
        <v>291</v>
      </c>
      <c r="R60" s="9" t="s">
        <v>2789</v>
      </c>
      <c r="S60" s="9" t="s">
        <v>2790</v>
      </c>
      <c r="T60" s="9" t="s">
        <v>2791</v>
      </c>
      <c r="U60" s="9" t="s">
        <v>2792</v>
      </c>
      <c r="V60" s="9" t="s">
        <v>2793</v>
      </c>
      <c r="W60" s="9" t="s">
        <v>2794</v>
      </c>
      <c r="X60" s="9" t="s">
        <v>2795</v>
      </c>
      <c r="Y60" s="9" t="s">
        <v>2796</v>
      </c>
      <c r="Z60" s="9" t="s">
        <v>2797</v>
      </c>
      <c r="AA60" s="9" t="s">
        <v>2798</v>
      </c>
      <c r="AB60" s="9" t="s">
        <v>2799</v>
      </c>
      <c r="AC60" s="9" t="s">
        <v>2800</v>
      </c>
      <c r="AD60" s="9" t="s">
        <v>2801</v>
      </c>
      <c r="AE60" s="9" t="s">
        <v>2802</v>
      </c>
      <c r="AF60" s="9" t="s">
        <v>2803</v>
      </c>
      <c r="AG60" s="9" t="s">
        <v>2804</v>
      </c>
      <c r="AH60" s="9" t="s">
        <v>2805</v>
      </c>
      <c r="AI60" s="9" t="s">
        <v>2806</v>
      </c>
      <c r="AJ60" s="9" t="s">
        <v>2807</v>
      </c>
      <c r="AK60" s="9" t="s">
        <v>2808</v>
      </c>
      <c r="AL60" s="9" t="s">
        <v>2809</v>
      </c>
      <c r="AM60" s="9" t="s">
        <v>2810</v>
      </c>
      <c r="AN60" s="9" t="s">
        <v>2811</v>
      </c>
      <c r="AO60" s="9" t="s">
        <v>2812</v>
      </c>
      <c r="AP60" s="9" t="s">
        <v>2813</v>
      </c>
      <c r="AQ60" s="9" t="s">
        <v>840</v>
      </c>
      <c r="AR60" s="9" t="s">
        <v>2814</v>
      </c>
      <c r="AS60" s="9" t="s">
        <v>2815</v>
      </c>
      <c r="AT60" s="9" t="s">
        <v>699</v>
      </c>
      <c r="AU60" s="9" t="s">
        <v>2816</v>
      </c>
      <c r="AV60" s="9" t="s">
        <v>2817</v>
      </c>
      <c r="AW60" s="9" t="s">
        <v>2818</v>
      </c>
      <c r="AX60" s="9" t="s">
        <v>2819</v>
      </c>
      <c r="AY60" s="9" t="s">
        <v>2820</v>
      </c>
      <c r="AZ60" s="9" t="s">
        <v>2821</v>
      </c>
      <c r="BA60" s="9" t="s">
        <v>2822</v>
      </c>
      <c r="BB60" s="9" t="s">
        <v>2823</v>
      </c>
      <c r="BC60" s="9" t="s">
        <v>2824</v>
      </c>
      <c r="BD60" s="9" t="s">
        <v>2825</v>
      </c>
      <c r="BE60" s="29"/>
      <c r="BF60" s="29"/>
      <c r="BG60" s="29"/>
      <c r="BH60" s="29"/>
      <c r="BI60" s="29"/>
      <c r="BJ60" s="29"/>
      <c r="BK60" s="29"/>
      <c r="BL60" s="29"/>
    </row>
    <row r="61" customFormat="false" ht="128.35" hidden="false" customHeight="false" outlineLevel="0" collapsed="false">
      <c r="A61" s="9" t="s">
        <v>2826</v>
      </c>
      <c r="B61" s="9" t="s">
        <v>84</v>
      </c>
      <c r="C61" s="9" t="s">
        <v>1986</v>
      </c>
      <c r="D61" s="9" t="s">
        <v>2128</v>
      </c>
      <c r="E61" s="9" t="s">
        <v>758</v>
      </c>
      <c r="F61" s="9" t="s">
        <v>997</v>
      </c>
      <c r="G61" s="28" t="s">
        <v>2827</v>
      </c>
      <c r="H61" s="9" t="s">
        <v>760</v>
      </c>
      <c r="I61" s="9" t="s">
        <v>2828</v>
      </c>
      <c r="J61" s="9" t="s">
        <v>2829</v>
      </c>
      <c r="K61" s="9" t="s">
        <v>2830</v>
      </c>
      <c r="L61" s="9" t="s">
        <v>2831</v>
      </c>
      <c r="M61" s="9" t="s">
        <v>2832</v>
      </c>
      <c r="N61" s="9" t="s">
        <v>2833</v>
      </c>
      <c r="O61" s="9" t="s">
        <v>97</v>
      </c>
      <c r="P61" s="9" t="s">
        <v>2834</v>
      </c>
      <c r="Q61" s="9" t="s">
        <v>291</v>
      </c>
      <c r="R61" s="9" t="s">
        <v>2835</v>
      </c>
      <c r="S61" s="9" t="s">
        <v>2836</v>
      </c>
      <c r="T61" s="9" t="s">
        <v>2837</v>
      </c>
      <c r="U61" s="9" t="s">
        <v>2838</v>
      </c>
      <c r="V61" s="9" t="s">
        <v>2839</v>
      </c>
      <c r="W61" s="9" t="s">
        <v>2840</v>
      </c>
      <c r="X61" s="9" t="s">
        <v>2841</v>
      </c>
      <c r="Y61" s="9" t="s">
        <v>2842</v>
      </c>
      <c r="Z61" s="9" t="s">
        <v>2843</v>
      </c>
      <c r="AA61" s="9" t="s">
        <v>2844</v>
      </c>
      <c r="AB61" s="9" t="s">
        <v>2845</v>
      </c>
      <c r="AC61" s="9" t="s">
        <v>2846</v>
      </c>
      <c r="AD61" s="9" t="s">
        <v>2847</v>
      </c>
      <c r="AE61" s="9" t="s">
        <v>2848</v>
      </c>
      <c r="AF61" s="9" t="s">
        <v>2849</v>
      </c>
      <c r="AG61" s="9" t="s">
        <v>2850</v>
      </c>
      <c r="AH61" s="9" t="s">
        <v>2851</v>
      </c>
      <c r="AI61" s="9" t="s">
        <v>2852</v>
      </c>
      <c r="AJ61" s="9" t="s">
        <v>2853</v>
      </c>
      <c r="AK61" s="9" t="s">
        <v>2854</v>
      </c>
      <c r="AL61" s="9" t="s">
        <v>2855</v>
      </c>
      <c r="AM61" s="9" t="s">
        <v>2856</v>
      </c>
      <c r="AN61" s="9" t="s">
        <v>2857</v>
      </c>
      <c r="AO61" s="9" t="s">
        <v>2858</v>
      </c>
      <c r="AP61" s="9" t="s">
        <v>2859</v>
      </c>
      <c r="AQ61" s="9" t="s">
        <v>270</v>
      </c>
      <c r="AR61" s="9" t="s">
        <v>2860</v>
      </c>
      <c r="AS61" s="9" t="s">
        <v>2861</v>
      </c>
      <c r="AT61" s="9" t="s">
        <v>699</v>
      </c>
      <c r="AU61" s="9" t="s">
        <v>2862</v>
      </c>
      <c r="AV61" s="9" t="s">
        <v>2863</v>
      </c>
      <c r="AW61" s="9" t="s">
        <v>2864</v>
      </c>
      <c r="AX61" s="9" t="s">
        <v>2865</v>
      </c>
      <c r="AY61" s="9" t="s">
        <v>2866</v>
      </c>
      <c r="AZ61" s="9" t="s">
        <v>2867</v>
      </c>
      <c r="BA61" s="9" t="s">
        <v>2868</v>
      </c>
      <c r="BB61" s="9" t="s">
        <v>2869</v>
      </c>
      <c r="BC61" s="9" t="s">
        <v>2870</v>
      </c>
      <c r="BD61" s="9" t="s">
        <v>2871</v>
      </c>
      <c r="BE61" s="29"/>
      <c r="BF61" s="29"/>
      <c r="BG61" s="29"/>
      <c r="BH61" s="29"/>
      <c r="BI61" s="29"/>
      <c r="BJ61" s="29"/>
      <c r="BK61" s="29"/>
      <c r="BL61" s="29"/>
    </row>
    <row r="62" customFormat="false" ht="141" hidden="false" customHeight="false" outlineLevel="0" collapsed="false">
      <c r="A62" s="9" t="s">
        <v>2872</v>
      </c>
      <c r="B62" s="9" t="s">
        <v>84</v>
      </c>
      <c r="C62" s="9" t="s">
        <v>1986</v>
      </c>
      <c r="D62" s="9" t="s">
        <v>2128</v>
      </c>
      <c r="E62" s="9" t="s">
        <v>758</v>
      </c>
      <c r="F62" s="9" t="s">
        <v>997</v>
      </c>
      <c r="G62" s="28" t="s">
        <v>2873</v>
      </c>
      <c r="H62" s="9" t="s">
        <v>760</v>
      </c>
      <c r="I62" s="9" t="s">
        <v>2874</v>
      </c>
      <c r="J62" s="9" t="s">
        <v>2875</v>
      </c>
      <c r="K62" s="9" t="s">
        <v>2876</v>
      </c>
      <c r="L62" s="9" t="s">
        <v>2877</v>
      </c>
      <c r="M62" s="9" t="s">
        <v>2878</v>
      </c>
      <c r="N62" s="9" t="s">
        <v>2879</v>
      </c>
      <c r="O62" s="9" t="s">
        <v>97</v>
      </c>
      <c r="P62" s="9" t="s">
        <v>2880</v>
      </c>
      <c r="Q62" s="9" t="s">
        <v>99</v>
      </c>
      <c r="R62" s="9" t="s">
        <v>2881</v>
      </c>
      <c r="S62" s="9" t="s">
        <v>2882</v>
      </c>
      <c r="T62" s="9" t="s">
        <v>2883</v>
      </c>
      <c r="U62" s="9" t="s">
        <v>2884</v>
      </c>
      <c r="V62" s="9" t="s">
        <v>2885</v>
      </c>
      <c r="W62" s="9" t="s">
        <v>2886</v>
      </c>
      <c r="X62" s="9" t="s">
        <v>2887</v>
      </c>
      <c r="Y62" s="9" t="s">
        <v>2888</v>
      </c>
      <c r="Z62" s="9" t="s">
        <v>2889</v>
      </c>
      <c r="AA62" s="9" t="s">
        <v>2890</v>
      </c>
      <c r="AB62" s="9" t="s">
        <v>2891</v>
      </c>
      <c r="AC62" s="9" t="s">
        <v>2892</v>
      </c>
      <c r="AD62" s="9" t="s">
        <v>2893</v>
      </c>
      <c r="AE62" s="9" t="s">
        <v>2894</v>
      </c>
      <c r="AF62" s="9" t="s">
        <v>2895</v>
      </c>
      <c r="AG62" s="9" t="s">
        <v>2896</v>
      </c>
      <c r="AH62" s="9" t="s">
        <v>2897</v>
      </c>
      <c r="AI62" s="9" t="s">
        <v>2898</v>
      </c>
      <c r="AJ62" s="9" t="s">
        <v>2899</v>
      </c>
      <c r="AK62" s="9" t="s">
        <v>2900</v>
      </c>
      <c r="AL62" s="9" t="s">
        <v>2901</v>
      </c>
      <c r="AM62" s="9" t="s">
        <v>2902</v>
      </c>
      <c r="AN62" s="9" t="s">
        <v>2903</v>
      </c>
      <c r="AO62" s="9" t="s">
        <v>2904</v>
      </c>
      <c r="AP62" s="9" t="s">
        <v>2905</v>
      </c>
      <c r="AQ62" s="9" t="s">
        <v>2906</v>
      </c>
      <c r="AR62" s="9" t="s">
        <v>2907</v>
      </c>
      <c r="AS62" s="9" t="s">
        <v>2908</v>
      </c>
      <c r="AT62" s="9" t="s">
        <v>414</v>
      </c>
      <c r="AU62" s="9" t="s">
        <v>2909</v>
      </c>
      <c r="AV62" s="9" t="s">
        <v>2910</v>
      </c>
      <c r="AW62" s="9" t="s">
        <v>2911</v>
      </c>
      <c r="AX62" s="9" t="s">
        <v>2912</v>
      </c>
      <c r="AY62" s="9" t="s">
        <v>2913</v>
      </c>
      <c r="AZ62" s="9" t="s">
        <v>2914</v>
      </c>
      <c r="BA62" s="9" t="s">
        <v>2915</v>
      </c>
      <c r="BB62" s="9" t="s">
        <v>2916</v>
      </c>
      <c r="BC62" s="9" t="s">
        <v>2917</v>
      </c>
      <c r="BD62" s="9" t="s">
        <v>2918</v>
      </c>
      <c r="BE62" s="29"/>
      <c r="BF62" s="29"/>
      <c r="BG62" s="29"/>
      <c r="BH62" s="29"/>
      <c r="BI62" s="29"/>
      <c r="BJ62" s="29"/>
      <c r="BK62" s="29"/>
      <c r="BL62" s="29"/>
    </row>
  </sheetData>
  <autoFilter ref="A2:BL62"/>
  <mergeCells count="5">
    <mergeCell ref="A1:F1"/>
    <mergeCell ref="G1:S1"/>
    <mergeCell ref="T1:AO1"/>
    <mergeCell ref="AP1:BD1"/>
    <mergeCell ref="BE1:BL1"/>
  </mergeCells>
  <dataValidations count="1">
    <dataValidation allowBlank="true" error="Choose Known, Unknown, Learning or Fix." errorStyle="stop" errorTitle="Pick a status" operator="between" showDropDown="false" showErrorMessage="false" showInputMessage="false" sqref="BE3:BE62" type="list">
      <formula1>Lists!$B$2:$B$5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2" topLeftCell="H3" activePane="bottomRight" state="frozen"/>
      <selection pane="topLeft" activeCell="A1" activeCellId="0" sqref="A1"/>
      <selection pane="topRight" activeCell="H1" activeCellId="0" sqref="H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6" min="1" style="0" width="13"/>
    <col collapsed="false" customWidth="true" hidden="false" outlineLevel="0" max="7" min="7" style="0" width="34"/>
    <col collapsed="false" customWidth="true" hidden="false" outlineLevel="0" max="8" min="8" style="0" width="13"/>
    <col collapsed="false" customWidth="true" hidden="false" outlineLevel="0" max="14" min="9" style="0" width="34"/>
    <col collapsed="false" customWidth="true" hidden="false" outlineLevel="0" max="15" min="15" style="0" width="13"/>
    <col collapsed="false" customWidth="true" hidden="false" outlineLevel="0" max="16" min="16" style="0" width="34"/>
    <col collapsed="false" customWidth="true" hidden="false" outlineLevel="0" max="17" min="17" style="0" width="13"/>
    <col collapsed="false" customWidth="true" hidden="false" outlineLevel="0" max="42" min="18" style="0" width="34"/>
    <col collapsed="false" customWidth="true" hidden="false" outlineLevel="0" max="43" min="43" style="0" width="13"/>
    <col collapsed="false" customWidth="true" hidden="false" outlineLevel="0" max="45" min="44" style="0" width="34"/>
    <col collapsed="false" customWidth="true" hidden="false" outlineLevel="0" max="46" min="46" style="0" width="13"/>
    <col collapsed="false" customWidth="true" hidden="false" outlineLevel="0" max="56" min="47" style="0" width="34"/>
    <col collapsed="false" customWidth="true" hidden="false" outlineLevel="0" max="63" min="57" style="0" width="13"/>
    <col collapsed="false" customWidth="true" hidden="false" outlineLevel="0" max="64" min="64" style="0" width="30"/>
  </cols>
  <sheetData>
    <row r="1" customFormat="false" ht="15" hidden="false" customHeight="false" outlineLevel="0" collapsed="false">
      <c r="A1" s="21" t="s">
        <v>14</v>
      </c>
      <c r="B1" s="21"/>
      <c r="C1" s="21"/>
      <c r="D1" s="21"/>
      <c r="E1" s="21"/>
      <c r="F1" s="21"/>
      <c r="G1" s="22" t="s">
        <v>21</v>
      </c>
      <c r="H1" s="22"/>
      <c r="I1" s="22"/>
      <c r="J1" s="22"/>
      <c r="K1" s="22"/>
      <c r="L1" s="22"/>
      <c r="M1" s="22"/>
      <c r="N1" s="22"/>
      <c r="O1" s="22"/>
      <c r="P1" s="22"/>
      <c r="Q1" s="22"/>
      <c r="R1" s="22"/>
      <c r="S1" s="22"/>
      <c r="T1" s="23" t="s">
        <v>35</v>
      </c>
      <c r="U1" s="23"/>
      <c r="V1" s="23"/>
      <c r="W1" s="23"/>
      <c r="X1" s="23"/>
      <c r="Y1" s="23"/>
      <c r="Z1" s="23"/>
      <c r="AA1" s="23"/>
      <c r="AB1" s="23"/>
      <c r="AC1" s="23"/>
      <c r="AD1" s="23"/>
      <c r="AE1" s="23"/>
      <c r="AF1" s="23"/>
      <c r="AG1" s="23"/>
      <c r="AH1" s="23"/>
      <c r="AI1" s="23"/>
      <c r="AJ1" s="23"/>
      <c r="AK1" s="23"/>
      <c r="AL1" s="23"/>
      <c r="AM1" s="23"/>
      <c r="AN1" s="23"/>
      <c r="AO1" s="23"/>
      <c r="AP1" s="24" t="s">
        <v>58</v>
      </c>
      <c r="AQ1" s="24"/>
      <c r="AR1" s="24"/>
      <c r="AS1" s="24"/>
      <c r="AT1" s="24"/>
      <c r="AU1" s="24"/>
      <c r="AV1" s="24"/>
      <c r="AW1" s="24"/>
      <c r="AX1" s="24"/>
      <c r="AY1" s="24"/>
      <c r="AZ1" s="24"/>
      <c r="BA1" s="24"/>
      <c r="BB1" s="24"/>
      <c r="BC1" s="24"/>
      <c r="BD1" s="24"/>
      <c r="BE1" s="25" t="s">
        <v>83</v>
      </c>
      <c r="BF1" s="25"/>
      <c r="BG1" s="25"/>
      <c r="BH1" s="25"/>
      <c r="BI1" s="25"/>
      <c r="BJ1" s="25"/>
      <c r="BK1" s="25"/>
      <c r="BL1" s="25"/>
    </row>
    <row r="2" customFormat="false" ht="33.75" hidden="false" customHeight="true" outlineLevel="0" collapsed="false">
      <c r="A2" s="26" t="s">
        <v>15</v>
      </c>
      <c r="B2" s="26" t="s">
        <v>16</v>
      </c>
      <c r="C2" s="26" t="s">
        <v>17</v>
      </c>
      <c r="D2" s="26" t="s">
        <v>18</v>
      </c>
      <c r="E2" s="26" t="s">
        <v>19</v>
      </c>
      <c r="F2" s="26" t="s">
        <v>20</v>
      </c>
      <c r="G2" s="26" t="s">
        <v>22</v>
      </c>
      <c r="H2" s="26" t="s">
        <v>23</v>
      </c>
      <c r="I2" s="26" t="s">
        <v>24</v>
      </c>
      <c r="J2" s="26" t="s">
        <v>25</v>
      </c>
      <c r="K2" s="26" t="s">
        <v>26</v>
      </c>
      <c r="L2" s="26" t="s">
        <v>27</v>
      </c>
      <c r="M2" s="26" t="s">
        <v>28</v>
      </c>
      <c r="N2" s="26" t="s">
        <v>29</v>
      </c>
      <c r="O2" s="26" t="s">
        <v>30</v>
      </c>
      <c r="P2" s="26" t="s">
        <v>31</v>
      </c>
      <c r="Q2" s="26" t="s">
        <v>32</v>
      </c>
      <c r="R2" s="26" t="s">
        <v>33</v>
      </c>
      <c r="S2" s="26" t="s">
        <v>34</v>
      </c>
      <c r="T2" s="26" t="s">
        <v>36</v>
      </c>
      <c r="U2" s="26" t="s">
        <v>37</v>
      </c>
      <c r="V2" s="26" t="s">
        <v>38</v>
      </c>
      <c r="W2" s="26" t="s">
        <v>39</v>
      </c>
      <c r="X2" s="26" t="s">
        <v>40</v>
      </c>
      <c r="Y2" s="26" t="s">
        <v>41</v>
      </c>
      <c r="Z2" s="26" t="s">
        <v>42</v>
      </c>
      <c r="AA2" s="26" t="s">
        <v>43</v>
      </c>
      <c r="AB2" s="26" t="s">
        <v>44</v>
      </c>
      <c r="AC2" s="26" t="s">
        <v>45</v>
      </c>
      <c r="AD2" s="26" t="s">
        <v>46</v>
      </c>
      <c r="AE2" s="26" t="s">
        <v>47</v>
      </c>
      <c r="AF2" s="26" t="s">
        <v>48</v>
      </c>
      <c r="AG2" s="26" t="s">
        <v>49</v>
      </c>
      <c r="AH2" s="26" t="s">
        <v>50</v>
      </c>
      <c r="AI2" s="26" t="s">
        <v>51</v>
      </c>
      <c r="AJ2" s="26" t="s">
        <v>52</v>
      </c>
      <c r="AK2" s="26" t="s">
        <v>53</v>
      </c>
      <c r="AL2" s="26" t="s">
        <v>54</v>
      </c>
      <c r="AM2" s="26" t="s">
        <v>55</v>
      </c>
      <c r="AN2" s="26" t="s">
        <v>56</v>
      </c>
      <c r="AO2" s="26" t="s">
        <v>57</v>
      </c>
      <c r="AP2" s="26" t="s">
        <v>59</v>
      </c>
      <c r="AQ2" s="26" t="s">
        <v>60</v>
      </c>
      <c r="AR2" s="26" t="s">
        <v>61</v>
      </c>
      <c r="AS2" s="26" t="s">
        <v>62</v>
      </c>
      <c r="AT2" s="26" t="s">
        <v>63</v>
      </c>
      <c r="AU2" s="26" t="s">
        <v>64</v>
      </c>
      <c r="AV2" s="26" t="s">
        <v>65</v>
      </c>
      <c r="AW2" s="26" t="s">
        <v>66</v>
      </c>
      <c r="AX2" s="26" t="s">
        <v>67</v>
      </c>
      <c r="AY2" s="26" t="s">
        <v>68</v>
      </c>
      <c r="AZ2" s="26" t="s">
        <v>69</v>
      </c>
      <c r="BA2" s="26" t="s">
        <v>70</v>
      </c>
      <c r="BB2" s="26" t="s">
        <v>71</v>
      </c>
      <c r="BC2" s="26" t="s">
        <v>72</v>
      </c>
      <c r="BD2" s="26" t="s">
        <v>73</v>
      </c>
      <c r="BE2" s="27" t="s">
        <v>75</v>
      </c>
      <c r="BF2" s="27" t="s">
        <v>76</v>
      </c>
      <c r="BG2" s="27" t="s">
        <v>77</v>
      </c>
      <c r="BH2" s="27" t="s">
        <v>78</v>
      </c>
      <c r="BI2" s="27" t="s">
        <v>79</v>
      </c>
      <c r="BJ2" s="27" t="s">
        <v>80</v>
      </c>
      <c r="BK2" s="27" t="s">
        <v>81</v>
      </c>
      <c r="BL2" s="27" t="s">
        <v>82</v>
      </c>
    </row>
    <row r="3" customFormat="false" ht="128.35" hidden="false" customHeight="false" outlineLevel="0" collapsed="false">
      <c r="A3" s="9" t="s">
        <v>2919</v>
      </c>
      <c r="B3" s="9" t="s">
        <v>2920</v>
      </c>
      <c r="C3" s="9" t="s">
        <v>85</v>
      </c>
      <c r="D3" s="9" t="s">
        <v>86</v>
      </c>
      <c r="E3" s="9" t="s">
        <v>87</v>
      </c>
      <c r="F3" s="9" t="s">
        <v>88</v>
      </c>
      <c r="G3" s="28" t="s">
        <v>2921</v>
      </c>
      <c r="H3" s="9" t="s">
        <v>90</v>
      </c>
      <c r="I3" s="9" t="s">
        <v>2922</v>
      </c>
      <c r="J3" s="9" t="s">
        <v>2923</v>
      </c>
      <c r="K3" s="9" t="s">
        <v>2924</v>
      </c>
      <c r="L3" s="9" t="s">
        <v>2925</v>
      </c>
      <c r="M3" s="9" t="s">
        <v>2926</v>
      </c>
      <c r="N3" s="9" t="s">
        <v>2927</v>
      </c>
      <c r="O3" s="9" t="s">
        <v>575</v>
      </c>
      <c r="P3" s="9" t="s">
        <v>2928</v>
      </c>
      <c r="Q3" s="9" t="s">
        <v>99</v>
      </c>
      <c r="R3" s="9" t="s">
        <v>2929</v>
      </c>
      <c r="S3" s="9" t="s">
        <v>2930</v>
      </c>
      <c r="T3" s="9" t="s">
        <v>2931</v>
      </c>
      <c r="U3" s="9" t="s">
        <v>2932</v>
      </c>
      <c r="V3" s="9" t="s">
        <v>2933</v>
      </c>
      <c r="W3" s="9" t="s">
        <v>2934</v>
      </c>
      <c r="X3" s="9" t="s">
        <v>2935</v>
      </c>
      <c r="Y3" s="9" t="s">
        <v>2936</v>
      </c>
      <c r="Z3" s="9" t="s">
        <v>2937</v>
      </c>
      <c r="AA3" s="9" t="s">
        <v>2938</v>
      </c>
      <c r="AB3" s="9" t="s">
        <v>2939</v>
      </c>
      <c r="AC3" s="9" t="s">
        <v>2940</v>
      </c>
      <c r="AD3" s="9" t="s">
        <v>2941</v>
      </c>
      <c r="AE3" s="9" t="s">
        <v>2942</v>
      </c>
      <c r="AF3" s="9" t="s">
        <v>2943</v>
      </c>
      <c r="AG3" s="9" t="s">
        <v>2944</v>
      </c>
      <c r="AH3" s="9" t="s">
        <v>2945</v>
      </c>
      <c r="AI3" s="9" t="s">
        <v>2946</v>
      </c>
      <c r="AJ3" s="9" t="s">
        <v>2947</v>
      </c>
      <c r="AK3" s="9" t="s">
        <v>2948</v>
      </c>
      <c r="AL3" s="9" t="s">
        <v>2949</v>
      </c>
      <c r="AM3" s="9" t="s">
        <v>2950</v>
      </c>
      <c r="AN3" s="9" t="s">
        <v>2951</v>
      </c>
      <c r="AO3" s="9" t="s">
        <v>2952</v>
      </c>
      <c r="AP3" s="9" t="s">
        <v>2953</v>
      </c>
      <c r="AQ3" s="9" t="s">
        <v>2954</v>
      </c>
      <c r="AR3" s="9" t="s">
        <v>2955</v>
      </c>
      <c r="AS3" s="9" t="s">
        <v>2956</v>
      </c>
      <c r="AT3" s="9" t="s">
        <v>128</v>
      </c>
      <c r="AU3" s="9" t="s">
        <v>2957</v>
      </c>
      <c r="AV3" s="9" t="s">
        <v>2958</v>
      </c>
      <c r="AW3" s="9" t="s">
        <v>131</v>
      </c>
      <c r="AX3" s="9" t="s">
        <v>2959</v>
      </c>
      <c r="AY3" s="9" t="s">
        <v>2960</v>
      </c>
      <c r="AZ3" s="9" t="s">
        <v>2961</v>
      </c>
      <c r="BA3" s="9" t="s">
        <v>2962</v>
      </c>
      <c r="BB3" s="9" t="s">
        <v>2963</v>
      </c>
      <c r="BC3" s="9" t="s">
        <v>2964</v>
      </c>
      <c r="BD3" s="9" t="s">
        <v>2965</v>
      </c>
      <c r="BE3" s="29"/>
      <c r="BF3" s="29"/>
      <c r="BG3" s="29"/>
      <c r="BH3" s="29"/>
      <c r="BI3" s="29"/>
      <c r="BJ3" s="29"/>
      <c r="BK3" s="29"/>
      <c r="BL3" s="29"/>
    </row>
    <row r="4" customFormat="false" ht="128.35" hidden="false" customHeight="false" outlineLevel="0" collapsed="false">
      <c r="A4" s="9" t="s">
        <v>2966</v>
      </c>
      <c r="B4" s="9" t="s">
        <v>2920</v>
      </c>
      <c r="C4" s="9" t="s">
        <v>85</v>
      </c>
      <c r="D4" s="9" t="s">
        <v>86</v>
      </c>
      <c r="E4" s="9" t="s">
        <v>87</v>
      </c>
      <c r="F4" s="9" t="s">
        <v>140</v>
      </c>
      <c r="G4" s="28" t="s">
        <v>2967</v>
      </c>
      <c r="H4" s="9" t="s">
        <v>90</v>
      </c>
      <c r="I4" s="9" t="s">
        <v>2968</v>
      </c>
      <c r="J4" s="9" t="s">
        <v>2969</v>
      </c>
      <c r="K4" s="9" t="s">
        <v>2970</v>
      </c>
      <c r="L4" s="9" t="s">
        <v>2971</v>
      </c>
      <c r="M4" s="9" t="s">
        <v>2972</v>
      </c>
      <c r="N4" s="9" t="s">
        <v>2973</v>
      </c>
      <c r="O4" s="9" t="s">
        <v>97</v>
      </c>
      <c r="P4" s="9" t="s">
        <v>2974</v>
      </c>
      <c r="Q4" s="9" t="s">
        <v>99</v>
      </c>
      <c r="R4" s="9" t="s">
        <v>2975</v>
      </c>
      <c r="S4" s="9" t="s">
        <v>2976</v>
      </c>
      <c r="T4" s="9" t="s">
        <v>2977</v>
      </c>
      <c r="U4" s="9" t="s">
        <v>2978</v>
      </c>
      <c r="V4" s="9" t="s">
        <v>2979</v>
      </c>
      <c r="W4" s="9" t="s">
        <v>2980</v>
      </c>
      <c r="X4" s="9" t="s">
        <v>2981</v>
      </c>
      <c r="Y4" s="9" t="s">
        <v>2982</v>
      </c>
      <c r="Z4" s="9" t="s">
        <v>2983</v>
      </c>
      <c r="AA4" s="9" t="s">
        <v>2984</v>
      </c>
      <c r="AB4" s="9" t="s">
        <v>2985</v>
      </c>
      <c r="AC4" s="9" t="s">
        <v>2986</v>
      </c>
      <c r="AD4" s="9" t="s">
        <v>2987</v>
      </c>
      <c r="AE4" s="9" t="s">
        <v>2988</v>
      </c>
      <c r="AF4" s="9" t="s">
        <v>2989</v>
      </c>
      <c r="AG4" s="9" t="s">
        <v>2990</v>
      </c>
      <c r="AH4" s="9" t="s">
        <v>2991</v>
      </c>
      <c r="AI4" s="9" t="s">
        <v>2992</v>
      </c>
      <c r="AJ4" s="9" t="s">
        <v>2993</v>
      </c>
      <c r="AK4" s="9" t="s">
        <v>2994</v>
      </c>
      <c r="AL4" s="9" t="s">
        <v>2995</v>
      </c>
      <c r="AM4" s="9" t="s">
        <v>2996</v>
      </c>
      <c r="AN4" s="9" t="s">
        <v>2997</v>
      </c>
      <c r="AO4" s="9" t="s">
        <v>2998</v>
      </c>
      <c r="AP4" s="9" t="s">
        <v>2999</v>
      </c>
      <c r="AQ4" s="9" t="s">
        <v>3000</v>
      </c>
      <c r="AR4" s="9" t="s">
        <v>3001</v>
      </c>
      <c r="AS4" s="9" t="s">
        <v>3002</v>
      </c>
      <c r="AT4" s="9" t="s">
        <v>128</v>
      </c>
      <c r="AU4" s="9" t="s">
        <v>3003</v>
      </c>
      <c r="AV4" s="9" t="s">
        <v>3004</v>
      </c>
      <c r="AW4" s="9" t="s">
        <v>3005</v>
      </c>
      <c r="AX4" s="9" t="s">
        <v>3006</v>
      </c>
      <c r="AY4" s="9" t="s">
        <v>3007</v>
      </c>
      <c r="AZ4" s="9" t="s">
        <v>3008</v>
      </c>
      <c r="BA4" s="9" t="s">
        <v>3009</v>
      </c>
      <c r="BB4" s="9" t="s">
        <v>3010</v>
      </c>
      <c r="BC4" s="9" t="s">
        <v>3011</v>
      </c>
      <c r="BD4" s="9" t="s">
        <v>3012</v>
      </c>
      <c r="BE4" s="29"/>
      <c r="BF4" s="29"/>
      <c r="BG4" s="29"/>
      <c r="BH4" s="29"/>
      <c r="BI4" s="29"/>
      <c r="BJ4" s="29"/>
      <c r="BK4" s="29"/>
      <c r="BL4" s="29"/>
    </row>
    <row r="5" customFormat="false" ht="90.25" hidden="false" customHeight="false" outlineLevel="0" collapsed="false">
      <c r="A5" s="9" t="s">
        <v>3013</v>
      </c>
      <c r="B5" s="9" t="s">
        <v>2920</v>
      </c>
      <c r="C5" s="9" t="s">
        <v>85</v>
      </c>
      <c r="D5" s="9" t="s">
        <v>86</v>
      </c>
      <c r="E5" s="9" t="s">
        <v>87</v>
      </c>
      <c r="F5" s="9" t="s">
        <v>331</v>
      </c>
      <c r="G5" s="28" t="s">
        <v>3014</v>
      </c>
      <c r="H5" s="9" t="s">
        <v>90</v>
      </c>
      <c r="I5" s="9" t="s">
        <v>3015</v>
      </c>
      <c r="J5" s="9" t="s">
        <v>3016</v>
      </c>
      <c r="K5" s="9" t="s">
        <v>3017</v>
      </c>
      <c r="L5" s="9" t="s">
        <v>3018</v>
      </c>
      <c r="M5" s="9" t="s">
        <v>3019</v>
      </c>
      <c r="N5" s="9" t="s">
        <v>3020</v>
      </c>
      <c r="O5" s="9" t="s">
        <v>97</v>
      </c>
      <c r="P5" s="9" t="s">
        <v>3021</v>
      </c>
      <c r="Q5" s="9" t="s">
        <v>99</v>
      </c>
      <c r="R5" s="9" t="s">
        <v>3022</v>
      </c>
      <c r="S5" s="9" t="s">
        <v>3023</v>
      </c>
      <c r="T5" s="9" t="s">
        <v>3024</v>
      </c>
      <c r="U5" s="9" t="s">
        <v>3025</v>
      </c>
      <c r="V5" s="9" t="s">
        <v>3026</v>
      </c>
      <c r="W5" s="9" t="s">
        <v>3027</v>
      </c>
      <c r="X5" s="9" t="s">
        <v>3028</v>
      </c>
      <c r="Y5" s="9" t="s">
        <v>3029</v>
      </c>
      <c r="Z5" s="9" t="s">
        <v>3030</v>
      </c>
      <c r="AA5" s="9" t="s">
        <v>3031</v>
      </c>
      <c r="AB5" s="9" t="s">
        <v>3032</v>
      </c>
      <c r="AC5" s="9" t="s">
        <v>3033</v>
      </c>
      <c r="AD5" s="9" t="s">
        <v>3034</v>
      </c>
      <c r="AE5" s="9" t="s">
        <v>3035</v>
      </c>
      <c r="AF5" s="9" t="s">
        <v>3036</v>
      </c>
      <c r="AG5" s="9" t="s">
        <v>3037</v>
      </c>
      <c r="AH5" s="9" t="s">
        <v>3038</v>
      </c>
      <c r="AI5" s="9" t="s">
        <v>3039</v>
      </c>
      <c r="AJ5" s="9" t="s">
        <v>3040</v>
      </c>
      <c r="AK5" s="9" t="s">
        <v>3041</v>
      </c>
      <c r="AL5" s="9" t="s">
        <v>3042</v>
      </c>
      <c r="AM5" s="9" t="s">
        <v>3043</v>
      </c>
      <c r="AN5" s="9" t="s">
        <v>3044</v>
      </c>
      <c r="AO5" s="9" t="s">
        <v>3045</v>
      </c>
      <c r="AP5" s="9" t="s">
        <v>3046</v>
      </c>
      <c r="AQ5" s="9" t="s">
        <v>3047</v>
      </c>
      <c r="AR5" s="9" t="s">
        <v>3048</v>
      </c>
      <c r="AS5" s="9" t="s">
        <v>3049</v>
      </c>
      <c r="AT5" s="9" t="s">
        <v>177</v>
      </c>
      <c r="AU5" s="9" t="s">
        <v>3050</v>
      </c>
      <c r="AV5" s="9" t="s">
        <v>3051</v>
      </c>
      <c r="AW5" s="9" t="s">
        <v>3052</v>
      </c>
      <c r="AX5" s="9" t="s">
        <v>3053</v>
      </c>
      <c r="AY5" s="9" t="s">
        <v>3054</v>
      </c>
      <c r="AZ5" s="9" t="s">
        <v>3055</v>
      </c>
      <c r="BA5" s="9" t="s">
        <v>3056</v>
      </c>
      <c r="BB5" s="9" t="s">
        <v>3057</v>
      </c>
      <c r="BC5" s="9" t="s">
        <v>3058</v>
      </c>
      <c r="BD5" s="9" t="s">
        <v>3059</v>
      </c>
      <c r="BE5" s="29"/>
      <c r="BF5" s="29"/>
      <c r="BG5" s="29"/>
      <c r="BH5" s="29"/>
      <c r="BI5" s="29"/>
      <c r="BJ5" s="29"/>
      <c r="BK5" s="29"/>
      <c r="BL5" s="29"/>
    </row>
    <row r="6" customFormat="false" ht="90.25" hidden="false" customHeight="false" outlineLevel="0" collapsed="false">
      <c r="A6" s="9" t="s">
        <v>3060</v>
      </c>
      <c r="B6" s="9" t="s">
        <v>2920</v>
      </c>
      <c r="C6" s="9" t="s">
        <v>85</v>
      </c>
      <c r="D6" s="9" t="s">
        <v>86</v>
      </c>
      <c r="E6" s="9" t="s">
        <v>87</v>
      </c>
      <c r="F6" s="9" t="s">
        <v>331</v>
      </c>
      <c r="G6" s="28" t="s">
        <v>3061</v>
      </c>
      <c r="H6" s="9" t="s">
        <v>90</v>
      </c>
      <c r="I6" s="9" t="s">
        <v>3062</v>
      </c>
      <c r="J6" s="9" t="s">
        <v>3063</v>
      </c>
      <c r="K6" s="9" t="s">
        <v>3064</v>
      </c>
      <c r="L6" s="9" t="s">
        <v>3065</v>
      </c>
      <c r="M6" s="9" t="s">
        <v>3066</v>
      </c>
      <c r="N6" s="9" t="s">
        <v>3067</v>
      </c>
      <c r="O6" s="9" t="s">
        <v>575</v>
      </c>
      <c r="P6" s="9" t="s">
        <v>3068</v>
      </c>
      <c r="Q6" s="9" t="s">
        <v>291</v>
      </c>
      <c r="R6" s="9" t="s">
        <v>3069</v>
      </c>
      <c r="S6" s="9" t="s">
        <v>3070</v>
      </c>
      <c r="T6" s="9" t="s">
        <v>3071</v>
      </c>
      <c r="U6" s="9" t="s">
        <v>3072</v>
      </c>
      <c r="V6" s="9" t="s">
        <v>3073</v>
      </c>
      <c r="W6" s="9" t="s">
        <v>3074</v>
      </c>
      <c r="X6" s="9" t="s">
        <v>3075</v>
      </c>
      <c r="Y6" s="9" t="s">
        <v>3076</v>
      </c>
      <c r="Z6" s="9" t="s">
        <v>3077</v>
      </c>
      <c r="AA6" s="9" t="s">
        <v>3078</v>
      </c>
      <c r="AB6" s="9" t="s">
        <v>3079</v>
      </c>
      <c r="AC6" s="9" t="s">
        <v>3080</v>
      </c>
      <c r="AD6" s="9" t="s">
        <v>3081</v>
      </c>
      <c r="AE6" s="9" t="s">
        <v>3082</v>
      </c>
      <c r="AF6" s="9" t="s">
        <v>3083</v>
      </c>
      <c r="AG6" s="9" t="s">
        <v>3084</v>
      </c>
      <c r="AH6" s="9" t="s">
        <v>3085</v>
      </c>
      <c r="AI6" s="9" t="s">
        <v>3086</v>
      </c>
      <c r="AJ6" s="9" t="s">
        <v>3087</v>
      </c>
      <c r="AK6" s="9" t="s">
        <v>3088</v>
      </c>
      <c r="AL6" s="9" t="s">
        <v>3089</v>
      </c>
      <c r="AM6" s="9" t="s">
        <v>3090</v>
      </c>
      <c r="AN6" s="9" t="s">
        <v>3091</v>
      </c>
      <c r="AO6" s="9" t="s">
        <v>3092</v>
      </c>
      <c r="AP6" s="9" t="s">
        <v>3093</v>
      </c>
      <c r="AQ6" s="9" t="s">
        <v>3094</v>
      </c>
      <c r="AR6" s="9" t="s">
        <v>3095</v>
      </c>
      <c r="AS6" s="9" t="s">
        <v>3096</v>
      </c>
      <c r="AT6" s="9" t="s">
        <v>699</v>
      </c>
      <c r="AU6" s="9" t="s">
        <v>3097</v>
      </c>
      <c r="AV6" s="9" t="s">
        <v>3098</v>
      </c>
      <c r="AW6" s="9" t="s">
        <v>3099</v>
      </c>
      <c r="AX6" s="9" t="s">
        <v>3100</v>
      </c>
      <c r="AY6" s="9" t="s">
        <v>3101</v>
      </c>
      <c r="AZ6" s="9" t="s">
        <v>3102</v>
      </c>
      <c r="BA6" s="9" t="s">
        <v>3103</v>
      </c>
      <c r="BB6" s="9" t="s">
        <v>3104</v>
      </c>
      <c r="BC6" s="9" t="s">
        <v>3105</v>
      </c>
      <c r="BD6" s="9" t="s">
        <v>3106</v>
      </c>
      <c r="BE6" s="29"/>
      <c r="BF6" s="29"/>
      <c r="BG6" s="29"/>
      <c r="BH6" s="29"/>
      <c r="BI6" s="29"/>
      <c r="BJ6" s="29"/>
      <c r="BK6" s="29"/>
      <c r="BL6" s="29"/>
    </row>
    <row r="7" customFormat="false" ht="115.65" hidden="false" customHeight="false" outlineLevel="0" collapsed="false">
      <c r="A7" s="9" t="s">
        <v>3107</v>
      </c>
      <c r="B7" s="9" t="s">
        <v>2920</v>
      </c>
      <c r="C7" s="9" t="s">
        <v>85</v>
      </c>
      <c r="D7" s="9" t="s">
        <v>86</v>
      </c>
      <c r="E7" s="9" t="s">
        <v>87</v>
      </c>
      <c r="F7" s="9" t="s">
        <v>426</v>
      </c>
      <c r="G7" s="28" t="s">
        <v>3108</v>
      </c>
      <c r="H7" s="9" t="s">
        <v>90</v>
      </c>
      <c r="I7" s="9" t="s">
        <v>3109</v>
      </c>
      <c r="J7" s="9" t="s">
        <v>3110</v>
      </c>
      <c r="K7" s="9" t="s">
        <v>3111</v>
      </c>
      <c r="L7" s="9" t="s">
        <v>3112</v>
      </c>
      <c r="M7" s="9" t="s">
        <v>3113</v>
      </c>
      <c r="N7" s="9" t="s">
        <v>3114</v>
      </c>
      <c r="O7" s="9" t="s">
        <v>97</v>
      </c>
      <c r="P7" s="9" t="s">
        <v>3115</v>
      </c>
      <c r="Q7" s="9" t="s">
        <v>99</v>
      </c>
      <c r="R7" s="9" t="s">
        <v>3116</v>
      </c>
      <c r="S7" s="9" t="s">
        <v>3117</v>
      </c>
      <c r="T7" s="9" t="s">
        <v>3118</v>
      </c>
      <c r="U7" s="9" t="s">
        <v>3119</v>
      </c>
      <c r="V7" s="9" t="s">
        <v>3120</v>
      </c>
      <c r="W7" s="9" t="s">
        <v>3121</v>
      </c>
      <c r="X7" s="9" t="s">
        <v>3122</v>
      </c>
      <c r="Y7" s="9" t="s">
        <v>3123</v>
      </c>
      <c r="Z7" s="9" t="s">
        <v>3124</v>
      </c>
      <c r="AA7" s="9" t="s">
        <v>3125</v>
      </c>
      <c r="AB7" s="9" t="s">
        <v>3126</v>
      </c>
      <c r="AC7" s="9" t="s">
        <v>3127</v>
      </c>
      <c r="AD7" s="9" t="s">
        <v>3128</v>
      </c>
      <c r="AE7" s="9" t="s">
        <v>3129</v>
      </c>
      <c r="AF7" s="9" t="s">
        <v>3130</v>
      </c>
      <c r="AG7" s="9" t="s">
        <v>3131</v>
      </c>
      <c r="AH7" s="9" t="s">
        <v>3132</v>
      </c>
      <c r="AI7" s="9" t="s">
        <v>3133</v>
      </c>
      <c r="AJ7" s="9" t="s">
        <v>3134</v>
      </c>
      <c r="AK7" s="9" t="s">
        <v>3135</v>
      </c>
      <c r="AL7" s="9" t="s">
        <v>3136</v>
      </c>
      <c r="AM7" s="9" t="s">
        <v>3137</v>
      </c>
      <c r="AN7" s="9" t="s">
        <v>3138</v>
      </c>
      <c r="AO7" s="9" t="s">
        <v>3139</v>
      </c>
      <c r="AP7" s="9" t="s">
        <v>3140</v>
      </c>
      <c r="AQ7" s="9" t="s">
        <v>270</v>
      </c>
      <c r="AR7" s="9" t="s">
        <v>3141</v>
      </c>
      <c r="AS7" s="9" t="s">
        <v>3142</v>
      </c>
      <c r="AT7" s="9" t="s">
        <v>177</v>
      </c>
      <c r="AU7" s="9" t="s">
        <v>3143</v>
      </c>
      <c r="AV7" s="9" t="s">
        <v>3144</v>
      </c>
      <c r="AW7" s="9" t="s">
        <v>3145</v>
      </c>
      <c r="AX7" s="9" t="s">
        <v>3146</v>
      </c>
      <c r="AY7" s="9" t="s">
        <v>3147</v>
      </c>
      <c r="AZ7" s="9" t="s">
        <v>3148</v>
      </c>
      <c r="BA7" s="9" t="s">
        <v>3149</v>
      </c>
      <c r="BB7" s="9" t="s">
        <v>3150</v>
      </c>
      <c r="BC7" s="9" t="s">
        <v>3151</v>
      </c>
      <c r="BD7" s="9" t="s">
        <v>3152</v>
      </c>
      <c r="BE7" s="29"/>
      <c r="BF7" s="29"/>
      <c r="BG7" s="29"/>
      <c r="BH7" s="29"/>
      <c r="BI7" s="29"/>
      <c r="BJ7" s="29"/>
      <c r="BK7" s="29"/>
      <c r="BL7" s="29"/>
    </row>
    <row r="8" customFormat="false" ht="102.95" hidden="false" customHeight="false" outlineLevel="0" collapsed="false">
      <c r="A8" s="9" t="s">
        <v>3153</v>
      </c>
      <c r="B8" s="9" t="s">
        <v>2920</v>
      </c>
      <c r="C8" s="9" t="s">
        <v>85</v>
      </c>
      <c r="D8" s="9" t="s">
        <v>86</v>
      </c>
      <c r="E8" s="9" t="s">
        <v>87</v>
      </c>
      <c r="F8" s="9" t="s">
        <v>236</v>
      </c>
      <c r="G8" s="28" t="s">
        <v>3154</v>
      </c>
      <c r="H8" s="9" t="s">
        <v>90</v>
      </c>
      <c r="I8" s="9" t="s">
        <v>3155</v>
      </c>
      <c r="J8" s="9" t="s">
        <v>3156</v>
      </c>
      <c r="K8" s="9" t="s">
        <v>3157</v>
      </c>
      <c r="L8" s="9" t="s">
        <v>3158</v>
      </c>
      <c r="M8" s="9" t="s">
        <v>3159</v>
      </c>
      <c r="N8" s="9" t="s">
        <v>3160</v>
      </c>
      <c r="O8" s="9" t="s">
        <v>97</v>
      </c>
      <c r="P8" s="9" t="s">
        <v>3161</v>
      </c>
      <c r="Q8" s="9" t="s">
        <v>291</v>
      </c>
      <c r="R8" s="9" t="s">
        <v>3162</v>
      </c>
      <c r="S8" s="9" t="s">
        <v>3163</v>
      </c>
      <c r="T8" s="9" t="s">
        <v>3164</v>
      </c>
      <c r="U8" s="9" t="s">
        <v>3165</v>
      </c>
      <c r="V8" s="9" t="s">
        <v>3166</v>
      </c>
      <c r="W8" s="9" t="s">
        <v>3167</v>
      </c>
      <c r="X8" s="9" t="s">
        <v>3168</v>
      </c>
      <c r="Y8" s="9" t="s">
        <v>3169</v>
      </c>
      <c r="Z8" s="9" t="s">
        <v>3170</v>
      </c>
      <c r="AA8" s="9" t="s">
        <v>3171</v>
      </c>
      <c r="AB8" s="9" t="s">
        <v>3172</v>
      </c>
      <c r="AC8" s="9" t="s">
        <v>3173</v>
      </c>
      <c r="AD8" s="9" t="s">
        <v>3174</v>
      </c>
      <c r="AE8" s="9" t="s">
        <v>3175</v>
      </c>
      <c r="AF8" s="9" t="s">
        <v>3176</v>
      </c>
      <c r="AG8" s="9" t="s">
        <v>3177</v>
      </c>
      <c r="AH8" s="9" t="s">
        <v>3178</v>
      </c>
      <c r="AI8" s="9" t="s">
        <v>3179</v>
      </c>
      <c r="AJ8" s="9" t="s">
        <v>3180</v>
      </c>
      <c r="AK8" s="9" t="s">
        <v>3181</v>
      </c>
      <c r="AL8" s="9" t="s">
        <v>3182</v>
      </c>
      <c r="AM8" s="9" t="s">
        <v>3183</v>
      </c>
      <c r="AN8" s="9" t="s">
        <v>3184</v>
      </c>
      <c r="AO8" s="9" t="s">
        <v>3185</v>
      </c>
      <c r="AP8" s="9" t="s">
        <v>3186</v>
      </c>
      <c r="AQ8" s="9" t="s">
        <v>3187</v>
      </c>
      <c r="AR8" s="9" t="s">
        <v>3188</v>
      </c>
      <c r="AS8" s="9" t="s">
        <v>3189</v>
      </c>
      <c r="AT8" s="9" t="s">
        <v>177</v>
      </c>
      <c r="AU8" s="9" t="s">
        <v>3190</v>
      </c>
      <c r="AV8" s="9" t="s">
        <v>3191</v>
      </c>
      <c r="AW8" s="9" t="s">
        <v>3192</v>
      </c>
      <c r="AX8" s="9" t="s">
        <v>3193</v>
      </c>
      <c r="AY8" s="9" t="s">
        <v>3194</v>
      </c>
      <c r="AZ8" s="9" t="s">
        <v>3195</v>
      </c>
      <c r="BA8" s="9" t="s">
        <v>3196</v>
      </c>
      <c r="BB8" s="9" t="s">
        <v>3197</v>
      </c>
      <c r="BC8" s="9" t="s">
        <v>3198</v>
      </c>
      <c r="BD8" s="9" t="s">
        <v>3199</v>
      </c>
      <c r="BE8" s="29"/>
      <c r="BF8" s="29"/>
      <c r="BG8" s="29"/>
      <c r="BH8" s="29"/>
      <c r="BI8" s="29"/>
      <c r="BJ8" s="29"/>
      <c r="BK8" s="29"/>
      <c r="BL8" s="29"/>
    </row>
    <row r="9" customFormat="false" ht="115.65" hidden="false" customHeight="false" outlineLevel="0" collapsed="false">
      <c r="A9" s="9" t="s">
        <v>3200</v>
      </c>
      <c r="B9" s="9" t="s">
        <v>2920</v>
      </c>
      <c r="C9" s="9" t="s">
        <v>85</v>
      </c>
      <c r="D9" s="9" t="s">
        <v>86</v>
      </c>
      <c r="E9" s="9" t="s">
        <v>87</v>
      </c>
      <c r="F9" s="9" t="s">
        <v>1140</v>
      </c>
      <c r="G9" s="28" t="s">
        <v>3201</v>
      </c>
      <c r="H9" s="9" t="s">
        <v>90</v>
      </c>
      <c r="I9" s="9" t="s">
        <v>3202</v>
      </c>
      <c r="J9" s="9" t="s">
        <v>3203</v>
      </c>
      <c r="K9" s="9" t="s">
        <v>3204</v>
      </c>
      <c r="L9" s="9" t="s">
        <v>3205</v>
      </c>
      <c r="M9" s="9" t="s">
        <v>3206</v>
      </c>
      <c r="N9" s="9" t="s">
        <v>3207</v>
      </c>
      <c r="O9" s="9" t="s">
        <v>97</v>
      </c>
      <c r="P9" s="9" t="s">
        <v>3208</v>
      </c>
      <c r="Q9" s="9" t="s">
        <v>291</v>
      </c>
      <c r="R9" s="9" t="s">
        <v>3209</v>
      </c>
      <c r="S9" s="9" t="s">
        <v>3210</v>
      </c>
      <c r="T9" s="9" t="s">
        <v>3211</v>
      </c>
      <c r="U9" s="9" t="s">
        <v>3212</v>
      </c>
      <c r="V9" s="9" t="s">
        <v>3213</v>
      </c>
      <c r="W9" s="9" t="s">
        <v>3214</v>
      </c>
      <c r="X9" s="9" t="s">
        <v>3215</v>
      </c>
      <c r="Y9" s="9" t="s">
        <v>3216</v>
      </c>
      <c r="Z9" s="9" t="s">
        <v>3217</v>
      </c>
      <c r="AA9" s="9" t="s">
        <v>3218</v>
      </c>
      <c r="AB9" s="9" t="s">
        <v>3219</v>
      </c>
      <c r="AC9" s="9" t="s">
        <v>3220</v>
      </c>
      <c r="AD9" s="9" t="s">
        <v>3221</v>
      </c>
      <c r="AE9" s="9" t="s">
        <v>3222</v>
      </c>
      <c r="AF9" s="9" t="s">
        <v>3223</v>
      </c>
      <c r="AG9" s="9" t="s">
        <v>3224</v>
      </c>
      <c r="AH9" s="9" t="s">
        <v>3225</v>
      </c>
      <c r="AI9" s="9" t="s">
        <v>3226</v>
      </c>
      <c r="AJ9" s="9" t="s">
        <v>3227</v>
      </c>
      <c r="AK9" s="9" t="s">
        <v>3228</v>
      </c>
      <c r="AL9" s="9" t="s">
        <v>3229</v>
      </c>
      <c r="AM9" s="9" t="s">
        <v>3230</v>
      </c>
      <c r="AN9" s="9" t="s">
        <v>3231</v>
      </c>
      <c r="AO9" s="9" t="s">
        <v>3232</v>
      </c>
      <c r="AP9" s="9" t="s">
        <v>3233</v>
      </c>
      <c r="AQ9" s="9" t="s">
        <v>3234</v>
      </c>
      <c r="AR9" s="9" t="s">
        <v>3235</v>
      </c>
      <c r="AS9" s="9" t="s">
        <v>3236</v>
      </c>
      <c r="AT9" s="9" t="s">
        <v>177</v>
      </c>
      <c r="AU9" s="9" t="s">
        <v>3237</v>
      </c>
      <c r="AV9" s="9" t="s">
        <v>3238</v>
      </c>
      <c r="AW9" s="9" t="s">
        <v>3239</v>
      </c>
      <c r="AX9" s="9" t="s">
        <v>3240</v>
      </c>
      <c r="AY9" s="9" t="s">
        <v>3241</v>
      </c>
      <c r="AZ9" s="9" t="s">
        <v>3242</v>
      </c>
      <c r="BA9" s="9" t="s">
        <v>3243</v>
      </c>
      <c r="BB9" s="9" t="s">
        <v>3244</v>
      </c>
      <c r="BC9" s="9" t="s">
        <v>3245</v>
      </c>
      <c r="BD9" s="9" t="s">
        <v>3246</v>
      </c>
      <c r="BE9" s="29"/>
      <c r="BF9" s="29"/>
      <c r="BG9" s="29"/>
      <c r="BH9" s="29"/>
      <c r="BI9" s="29"/>
      <c r="BJ9" s="29"/>
      <c r="BK9" s="29"/>
      <c r="BL9" s="29"/>
    </row>
    <row r="10" customFormat="false" ht="102.95" hidden="false" customHeight="false" outlineLevel="0" collapsed="false">
      <c r="A10" s="9" t="s">
        <v>3247</v>
      </c>
      <c r="B10" s="9" t="s">
        <v>2920</v>
      </c>
      <c r="C10" s="9" t="s">
        <v>85</v>
      </c>
      <c r="D10" s="9" t="s">
        <v>188</v>
      </c>
      <c r="E10" s="9" t="s">
        <v>87</v>
      </c>
      <c r="F10" s="9" t="s">
        <v>140</v>
      </c>
      <c r="G10" s="28" t="s">
        <v>3248</v>
      </c>
      <c r="H10" s="9" t="s">
        <v>90</v>
      </c>
      <c r="I10" s="9" t="s">
        <v>3249</v>
      </c>
      <c r="J10" s="9" t="s">
        <v>3250</v>
      </c>
      <c r="K10" s="9" t="s">
        <v>3251</v>
      </c>
      <c r="L10" s="9" t="s">
        <v>3252</v>
      </c>
      <c r="M10" s="9" t="s">
        <v>3253</v>
      </c>
      <c r="N10" s="9" t="s">
        <v>3254</v>
      </c>
      <c r="O10" s="9" t="s">
        <v>97</v>
      </c>
      <c r="P10" s="9" t="s">
        <v>3255</v>
      </c>
      <c r="Q10" s="9" t="s">
        <v>99</v>
      </c>
      <c r="R10" s="9" t="s">
        <v>3256</v>
      </c>
      <c r="S10" s="9" t="s">
        <v>3257</v>
      </c>
      <c r="T10" s="9" t="s">
        <v>3258</v>
      </c>
      <c r="U10" s="9" t="s">
        <v>3259</v>
      </c>
      <c r="V10" s="9" t="s">
        <v>3260</v>
      </c>
      <c r="W10" s="9" t="s">
        <v>3261</v>
      </c>
      <c r="X10" s="9" t="s">
        <v>3262</v>
      </c>
      <c r="Y10" s="9" t="s">
        <v>3263</v>
      </c>
      <c r="Z10" s="9" t="s">
        <v>3264</v>
      </c>
      <c r="AA10" s="9" t="s">
        <v>3265</v>
      </c>
      <c r="AB10" s="9" t="s">
        <v>3266</v>
      </c>
      <c r="AC10" s="9" t="s">
        <v>3267</v>
      </c>
      <c r="AD10" s="9" t="s">
        <v>3268</v>
      </c>
      <c r="AE10" s="9" t="s">
        <v>3269</v>
      </c>
      <c r="AF10" s="9" t="s">
        <v>3270</v>
      </c>
      <c r="AG10" s="9" t="s">
        <v>3271</v>
      </c>
      <c r="AH10" s="9" t="s">
        <v>3272</v>
      </c>
      <c r="AI10" s="9" t="s">
        <v>3273</v>
      </c>
      <c r="AJ10" s="9" t="s">
        <v>3274</v>
      </c>
      <c r="AK10" s="9" t="s">
        <v>3275</v>
      </c>
      <c r="AL10" s="9" t="s">
        <v>3276</v>
      </c>
      <c r="AM10" s="9" t="s">
        <v>3277</v>
      </c>
      <c r="AN10" s="9" t="s">
        <v>3278</v>
      </c>
      <c r="AO10" s="9" t="s">
        <v>3279</v>
      </c>
      <c r="AP10" s="9" t="s">
        <v>3280</v>
      </c>
      <c r="AQ10" s="9" t="s">
        <v>317</v>
      </c>
      <c r="AR10" s="9" t="s">
        <v>3281</v>
      </c>
      <c r="AS10" s="9" t="s">
        <v>3282</v>
      </c>
      <c r="AT10" s="9" t="s">
        <v>128</v>
      </c>
      <c r="AU10" s="9" t="s">
        <v>3283</v>
      </c>
      <c r="AV10" s="9" t="s">
        <v>3284</v>
      </c>
      <c r="AW10" s="9" t="s">
        <v>3285</v>
      </c>
      <c r="AX10" s="9" t="s">
        <v>3286</v>
      </c>
      <c r="AY10" s="9" t="s">
        <v>3287</v>
      </c>
      <c r="AZ10" s="9" t="s">
        <v>3288</v>
      </c>
      <c r="BA10" s="9" t="s">
        <v>3289</v>
      </c>
      <c r="BB10" s="9" t="s">
        <v>3290</v>
      </c>
      <c r="BC10" s="9" t="s">
        <v>3291</v>
      </c>
      <c r="BD10" s="9" t="s">
        <v>3292</v>
      </c>
      <c r="BE10" s="29"/>
      <c r="BF10" s="29"/>
      <c r="BG10" s="29"/>
      <c r="BH10" s="29"/>
      <c r="BI10" s="29"/>
      <c r="BJ10" s="29"/>
      <c r="BK10" s="29"/>
      <c r="BL10" s="29"/>
    </row>
    <row r="11" customFormat="false" ht="102.95" hidden="false" customHeight="false" outlineLevel="0" collapsed="false">
      <c r="A11" s="9" t="s">
        <v>3293</v>
      </c>
      <c r="B11" s="9" t="s">
        <v>2920</v>
      </c>
      <c r="C11" s="9" t="s">
        <v>85</v>
      </c>
      <c r="D11" s="9" t="s">
        <v>86</v>
      </c>
      <c r="E11" s="9" t="s">
        <v>87</v>
      </c>
      <c r="F11" s="9" t="s">
        <v>331</v>
      </c>
      <c r="G11" s="28" t="s">
        <v>3294</v>
      </c>
      <c r="H11" s="9" t="s">
        <v>90</v>
      </c>
      <c r="I11" s="9" t="s">
        <v>3295</v>
      </c>
      <c r="J11" s="9" t="s">
        <v>3296</v>
      </c>
      <c r="K11" s="9" t="s">
        <v>3297</v>
      </c>
      <c r="L11" s="9" t="s">
        <v>3298</v>
      </c>
      <c r="M11" s="9" t="s">
        <v>3299</v>
      </c>
      <c r="N11" s="9" t="s">
        <v>3300</v>
      </c>
      <c r="O11" s="9" t="s">
        <v>575</v>
      </c>
      <c r="P11" s="9" t="s">
        <v>3301</v>
      </c>
      <c r="Q11" s="9" t="s">
        <v>291</v>
      </c>
      <c r="R11" s="9" t="s">
        <v>3302</v>
      </c>
      <c r="S11" s="9" t="s">
        <v>3303</v>
      </c>
      <c r="T11" s="9" t="s">
        <v>3304</v>
      </c>
      <c r="U11" s="9" t="s">
        <v>3305</v>
      </c>
      <c r="V11" s="9" t="s">
        <v>3306</v>
      </c>
      <c r="W11" s="9" t="s">
        <v>3307</v>
      </c>
      <c r="X11" s="9" t="s">
        <v>3308</v>
      </c>
      <c r="Y11" s="9" t="s">
        <v>3309</v>
      </c>
      <c r="Z11" s="9" t="s">
        <v>3310</v>
      </c>
      <c r="AA11" s="9" t="s">
        <v>3311</v>
      </c>
      <c r="AB11" s="9" t="s">
        <v>3312</v>
      </c>
      <c r="AC11" s="9" t="s">
        <v>3313</v>
      </c>
      <c r="AD11" s="9" t="s">
        <v>3314</v>
      </c>
      <c r="AE11" s="9" t="s">
        <v>3315</v>
      </c>
      <c r="AF11" s="9" t="s">
        <v>3316</v>
      </c>
      <c r="AG11" s="9" t="s">
        <v>3317</v>
      </c>
      <c r="AH11" s="9" t="s">
        <v>3318</v>
      </c>
      <c r="AI11" s="9" t="s">
        <v>3319</v>
      </c>
      <c r="AJ11" s="9" t="s">
        <v>3320</v>
      </c>
      <c r="AK11" s="9" t="s">
        <v>3321</v>
      </c>
      <c r="AL11" s="9" t="s">
        <v>3322</v>
      </c>
      <c r="AM11" s="9" t="s">
        <v>3323</v>
      </c>
      <c r="AN11" s="9" t="s">
        <v>3324</v>
      </c>
      <c r="AO11" s="9" t="s">
        <v>3325</v>
      </c>
      <c r="AP11" s="9" t="s">
        <v>3326</v>
      </c>
      <c r="AQ11" s="9" t="s">
        <v>3327</v>
      </c>
      <c r="AR11" s="9" t="s">
        <v>3328</v>
      </c>
      <c r="AS11" s="9" t="s">
        <v>3329</v>
      </c>
      <c r="AT11" s="9" t="s">
        <v>177</v>
      </c>
      <c r="AU11" s="9" t="s">
        <v>3330</v>
      </c>
      <c r="AV11" s="9" t="s">
        <v>3331</v>
      </c>
      <c r="AW11" s="9" t="s">
        <v>3332</v>
      </c>
      <c r="AX11" s="9" t="s">
        <v>3333</v>
      </c>
      <c r="AY11" s="9" t="s">
        <v>3334</v>
      </c>
      <c r="AZ11" s="9" t="s">
        <v>3335</v>
      </c>
      <c r="BA11" s="9" t="s">
        <v>3336</v>
      </c>
      <c r="BB11" s="9" t="s">
        <v>3337</v>
      </c>
      <c r="BC11" s="9" t="s">
        <v>3338</v>
      </c>
      <c r="BD11" s="9" t="s">
        <v>3339</v>
      </c>
      <c r="BE11" s="29"/>
      <c r="BF11" s="29"/>
      <c r="BG11" s="29"/>
      <c r="BH11" s="29"/>
      <c r="BI11" s="29"/>
      <c r="BJ11" s="29"/>
      <c r="BK11" s="29"/>
      <c r="BL11" s="29"/>
    </row>
    <row r="12" customFormat="false" ht="141" hidden="false" customHeight="false" outlineLevel="0" collapsed="false">
      <c r="A12" s="9" t="s">
        <v>3340</v>
      </c>
      <c r="B12" s="9" t="s">
        <v>2920</v>
      </c>
      <c r="C12" s="9" t="s">
        <v>85</v>
      </c>
      <c r="D12" s="9" t="s">
        <v>86</v>
      </c>
      <c r="E12" s="9" t="s">
        <v>87</v>
      </c>
      <c r="F12" s="9" t="s">
        <v>662</v>
      </c>
      <c r="G12" s="28" t="s">
        <v>3341</v>
      </c>
      <c r="H12" s="9" t="s">
        <v>90</v>
      </c>
      <c r="I12" s="9" t="s">
        <v>3342</v>
      </c>
      <c r="J12" s="9" t="s">
        <v>3343</v>
      </c>
      <c r="K12" s="9" t="s">
        <v>3344</v>
      </c>
      <c r="L12" s="9" t="s">
        <v>3345</v>
      </c>
      <c r="M12" s="9" t="s">
        <v>3346</v>
      </c>
      <c r="N12" s="9" t="s">
        <v>3347</v>
      </c>
      <c r="O12" s="9" t="s">
        <v>575</v>
      </c>
      <c r="P12" s="9" t="s">
        <v>3348</v>
      </c>
      <c r="Q12" s="9" t="s">
        <v>291</v>
      </c>
      <c r="R12" s="9" t="s">
        <v>3349</v>
      </c>
      <c r="S12" s="9" t="s">
        <v>3350</v>
      </c>
      <c r="T12" s="9" t="s">
        <v>3351</v>
      </c>
      <c r="U12" s="9" t="s">
        <v>3352</v>
      </c>
      <c r="V12" s="9" t="s">
        <v>3353</v>
      </c>
      <c r="W12" s="9" t="s">
        <v>3354</v>
      </c>
      <c r="X12" s="9" t="s">
        <v>3355</v>
      </c>
      <c r="Y12" s="9" t="s">
        <v>3356</v>
      </c>
      <c r="Z12" s="9" t="s">
        <v>727</v>
      </c>
      <c r="AA12" s="9" t="s">
        <v>3357</v>
      </c>
      <c r="AB12" s="9" t="s">
        <v>3358</v>
      </c>
      <c r="AC12" s="9" t="s">
        <v>3359</v>
      </c>
      <c r="AD12" s="9" t="s">
        <v>3360</v>
      </c>
      <c r="AE12" s="9" t="s">
        <v>3361</v>
      </c>
      <c r="AF12" s="9" t="s">
        <v>3362</v>
      </c>
      <c r="AG12" s="9" t="s">
        <v>3363</v>
      </c>
      <c r="AH12" s="9" t="s">
        <v>3364</v>
      </c>
      <c r="AI12" s="9" t="s">
        <v>3365</v>
      </c>
      <c r="AJ12" s="9" t="s">
        <v>3366</v>
      </c>
      <c r="AK12" s="9" t="s">
        <v>3367</v>
      </c>
      <c r="AL12" s="9" t="s">
        <v>3368</v>
      </c>
      <c r="AM12" s="9" t="s">
        <v>3369</v>
      </c>
      <c r="AN12" s="9" t="s">
        <v>3370</v>
      </c>
      <c r="AO12" s="9" t="s">
        <v>3371</v>
      </c>
      <c r="AP12" s="9" t="s">
        <v>3372</v>
      </c>
      <c r="AQ12" s="9" t="s">
        <v>3373</v>
      </c>
      <c r="AR12" s="9" t="s">
        <v>3374</v>
      </c>
      <c r="AS12" s="9" t="s">
        <v>3375</v>
      </c>
      <c r="AT12" s="9" t="s">
        <v>414</v>
      </c>
      <c r="AU12" s="9" t="s">
        <v>3376</v>
      </c>
      <c r="AV12" s="9" t="s">
        <v>3377</v>
      </c>
      <c r="AW12" s="9" t="s">
        <v>3378</v>
      </c>
      <c r="AX12" s="9" t="s">
        <v>3379</v>
      </c>
      <c r="AY12" s="9" t="s">
        <v>3380</v>
      </c>
      <c r="AZ12" s="9" t="s">
        <v>3381</v>
      </c>
      <c r="BA12" s="9" t="s">
        <v>3382</v>
      </c>
      <c r="BB12" s="9" t="s">
        <v>3383</v>
      </c>
      <c r="BC12" s="9" t="s">
        <v>3384</v>
      </c>
      <c r="BD12" s="9" t="s">
        <v>3385</v>
      </c>
      <c r="BE12" s="29"/>
      <c r="BF12" s="29"/>
      <c r="BG12" s="29"/>
      <c r="BH12" s="29"/>
      <c r="BI12" s="29"/>
      <c r="BJ12" s="29"/>
      <c r="BK12" s="29"/>
      <c r="BL12" s="29"/>
    </row>
    <row r="13" customFormat="false" ht="77.6" hidden="false" customHeight="false" outlineLevel="0" collapsed="false">
      <c r="A13" s="9" t="s">
        <v>3386</v>
      </c>
      <c r="B13" s="9" t="s">
        <v>2920</v>
      </c>
      <c r="C13" s="9" t="s">
        <v>85</v>
      </c>
      <c r="D13" s="9" t="s">
        <v>86</v>
      </c>
      <c r="E13" s="9" t="s">
        <v>87</v>
      </c>
      <c r="F13" s="9" t="s">
        <v>662</v>
      </c>
      <c r="G13" s="28" t="s">
        <v>3387</v>
      </c>
      <c r="H13" s="9" t="s">
        <v>90</v>
      </c>
      <c r="I13" s="9" t="s">
        <v>3388</v>
      </c>
      <c r="J13" s="9" t="s">
        <v>3389</v>
      </c>
      <c r="K13" s="9" t="s">
        <v>3390</v>
      </c>
      <c r="L13" s="9" t="s">
        <v>3391</v>
      </c>
      <c r="M13" s="9" t="s">
        <v>3392</v>
      </c>
      <c r="N13" s="9" t="s">
        <v>3393</v>
      </c>
      <c r="O13" s="9" t="s">
        <v>575</v>
      </c>
      <c r="P13" s="9" t="s">
        <v>3394</v>
      </c>
      <c r="Q13" s="9" t="s">
        <v>99</v>
      </c>
      <c r="R13" s="9" t="s">
        <v>3395</v>
      </c>
      <c r="S13" s="9" t="s">
        <v>3396</v>
      </c>
      <c r="T13" s="9" t="s">
        <v>3397</v>
      </c>
      <c r="U13" s="9" t="s">
        <v>3398</v>
      </c>
      <c r="V13" s="9" t="s">
        <v>3399</v>
      </c>
      <c r="W13" s="9" t="s">
        <v>3400</v>
      </c>
      <c r="X13" s="9" t="s">
        <v>3401</v>
      </c>
      <c r="Y13" s="9" t="s">
        <v>3402</v>
      </c>
      <c r="Z13" s="9" t="s">
        <v>3403</v>
      </c>
      <c r="AA13" s="9" t="s">
        <v>3404</v>
      </c>
      <c r="AB13" s="9" t="s">
        <v>3405</v>
      </c>
      <c r="AC13" s="9" t="s">
        <v>3406</v>
      </c>
      <c r="AD13" s="9" t="s">
        <v>3407</v>
      </c>
      <c r="AE13" s="9" t="s">
        <v>3408</v>
      </c>
      <c r="AF13" s="9" t="s">
        <v>3409</v>
      </c>
      <c r="AG13" s="9" t="s">
        <v>3410</v>
      </c>
      <c r="AH13" s="9" t="s">
        <v>3411</v>
      </c>
      <c r="AI13" s="9" t="s">
        <v>3412</v>
      </c>
      <c r="AJ13" s="9" t="s">
        <v>3413</v>
      </c>
      <c r="AK13" s="9" t="s">
        <v>3414</v>
      </c>
      <c r="AL13" s="9" t="s">
        <v>3415</v>
      </c>
      <c r="AM13" s="9" t="s">
        <v>3416</v>
      </c>
      <c r="AN13" s="9" t="s">
        <v>3417</v>
      </c>
      <c r="AO13" s="9" t="s">
        <v>3418</v>
      </c>
      <c r="AP13" s="9" t="s">
        <v>3419</v>
      </c>
      <c r="AQ13" s="9" t="s">
        <v>602</v>
      </c>
      <c r="AR13" s="9" t="s">
        <v>3420</v>
      </c>
      <c r="AS13" s="9" t="s">
        <v>3421</v>
      </c>
      <c r="AT13" s="9" t="s">
        <v>414</v>
      </c>
      <c r="AU13" s="9" t="s">
        <v>3422</v>
      </c>
      <c r="AV13" s="9" t="s">
        <v>3423</v>
      </c>
      <c r="AW13" s="9" t="s">
        <v>3424</v>
      </c>
      <c r="AX13" s="9" t="s">
        <v>3425</v>
      </c>
      <c r="AY13" s="9" t="s">
        <v>3426</v>
      </c>
      <c r="AZ13" s="9" t="s">
        <v>3427</v>
      </c>
      <c r="BA13" s="9" t="s">
        <v>3428</v>
      </c>
      <c r="BB13" s="9" t="s">
        <v>3429</v>
      </c>
      <c r="BC13" s="9" t="s">
        <v>3430</v>
      </c>
      <c r="BD13" s="9" t="s">
        <v>3431</v>
      </c>
      <c r="BE13" s="29"/>
      <c r="BF13" s="29"/>
      <c r="BG13" s="29"/>
      <c r="BH13" s="29"/>
      <c r="BI13" s="29"/>
      <c r="BJ13" s="29"/>
      <c r="BK13" s="29"/>
      <c r="BL13" s="29"/>
    </row>
    <row r="14" customFormat="false" ht="166.4" hidden="false" customHeight="false" outlineLevel="0" collapsed="false">
      <c r="A14" s="9" t="s">
        <v>3432</v>
      </c>
      <c r="B14" s="9" t="s">
        <v>2920</v>
      </c>
      <c r="C14" s="9" t="s">
        <v>85</v>
      </c>
      <c r="D14" s="9" t="s">
        <v>188</v>
      </c>
      <c r="E14" s="9" t="s">
        <v>87</v>
      </c>
      <c r="F14" s="9" t="s">
        <v>1282</v>
      </c>
      <c r="G14" s="28" t="s">
        <v>3433</v>
      </c>
      <c r="H14" s="9" t="s">
        <v>90</v>
      </c>
      <c r="I14" s="9" t="s">
        <v>3434</v>
      </c>
      <c r="J14" s="9" t="s">
        <v>3435</v>
      </c>
      <c r="K14" s="9" t="s">
        <v>3436</v>
      </c>
      <c r="L14" s="9" t="s">
        <v>3437</v>
      </c>
      <c r="M14" s="9" t="s">
        <v>3438</v>
      </c>
      <c r="N14" s="9" t="s">
        <v>3439</v>
      </c>
      <c r="O14" s="9" t="s">
        <v>97</v>
      </c>
      <c r="P14" s="9" t="s">
        <v>3440</v>
      </c>
      <c r="Q14" s="9" t="s">
        <v>99</v>
      </c>
      <c r="R14" s="9" t="s">
        <v>3441</v>
      </c>
      <c r="S14" s="9" t="s">
        <v>3442</v>
      </c>
      <c r="T14" s="9" t="s">
        <v>3443</v>
      </c>
      <c r="U14" s="9" t="s">
        <v>3444</v>
      </c>
      <c r="V14" s="9" t="s">
        <v>3445</v>
      </c>
      <c r="W14" s="9" t="s">
        <v>3446</v>
      </c>
      <c r="X14" s="9" t="s">
        <v>3447</v>
      </c>
      <c r="Y14" s="9" t="s">
        <v>3448</v>
      </c>
      <c r="Z14" s="9" t="s">
        <v>3449</v>
      </c>
      <c r="AA14" s="9" t="s">
        <v>3450</v>
      </c>
      <c r="AB14" s="9" t="s">
        <v>3451</v>
      </c>
      <c r="AC14" s="9" t="s">
        <v>3452</v>
      </c>
      <c r="AD14" s="9" t="s">
        <v>3453</v>
      </c>
      <c r="AE14" s="9" t="s">
        <v>3454</v>
      </c>
      <c r="AF14" s="9" t="s">
        <v>3455</v>
      </c>
      <c r="AG14" s="9" t="s">
        <v>3456</v>
      </c>
      <c r="AH14" s="9" t="s">
        <v>3457</v>
      </c>
      <c r="AI14" s="9" t="s">
        <v>3458</v>
      </c>
      <c r="AJ14" s="9" t="s">
        <v>3459</v>
      </c>
      <c r="AK14" s="9" t="s">
        <v>3460</v>
      </c>
      <c r="AL14" s="9" t="s">
        <v>3461</v>
      </c>
      <c r="AM14" s="9" t="s">
        <v>3462</v>
      </c>
      <c r="AN14" s="9" t="s">
        <v>3463</v>
      </c>
      <c r="AO14" s="9" t="s">
        <v>3464</v>
      </c>
      <c r="AP14" s="9" t="s">
        <v>3465</v>
      </c>
      <c r="AQ14" s="9" t="s">
        <v>3466</v>
      </c>
      <c r="AR14" s="9" t="s">
        <v>3467</v>
      </c>
      <c r="AS14" s="9" t="s">
        <v>3468</v>
      </c>
      <c r="AT14" s="9" t="s">
        <v>128</v>
      </c>
      <c r="AU14" s="9" t="s">
        <v>3469</v>
      </c>
      <c r="AV14" s="9" t="s">
        <v>3470</v>
      </c>
      <c r="AW14" s="9" t="s">
        <v>3471</v>
      </c>
      <c r="AX14" s="9" t="s">
        <v>3472</v>
      </c>
      <c r="AY14" s="9" t="s">
        <v>3473</v>
      </c>
      <c r="AZ14" s="9" t="s">
        <v>3474</v>
      </c>
      <c r="BA14" s="9" t="s">
        <v>3475</v>
      </c>
      <c r="BB14" s="9" t="s">
        <v>3476</v>
      </c>
      <c r="BC14" s="9" t="s">
        <v>3477</v>
      </c>
      <c r="BD14" s="9" t="s">
        <v>3478</v>
      </c>
      <c r="BE14" s="29"/>
      <c r="BF14" s="29"/>
      <c r="BG14" s="29"/>
      <c r="BH14" s="29"/>
      <c r="BI14" s="29"/>
      <c r="BJ14" s="29"/>
      <c r="BK14" s="29"/>
      <c r="BL14" s="29"/>
    </row>
    <row r="15" customFormat="false" ht="115.65" hidden="false" customHeight="false" outlineLevel="0" collapsed="false">
      <c r="A15" s="9" t="s">
        <v>3479</v>
      </c>
      <c r="B15" s="9" t="s">
        <v>2920</v>
      </c>
      <c r="C15" s="9" t="s">
        <v>85</v>
      </c>
      <c r="D15" s="9" t="s">
        <v>188</v>
      </c>
      <c r="E15" s="9" t="s">
        <v>87</v>
      </c>
      <c r="F15" s="9" t="s">
        <v>236</v>
      </c>
      <c r="G15" s="28" t="s">
        <v>3480</v>
      </c>
      <c r="H15" s="9" t="s">
        <v>90</v>
      </c>
      <c r="I15" s="9" t="s">
        <v>3481</v>
      </c>
      <c r="J15" s="9" t="s">
        <v>3482</v>
      </c>
      <c r="K15" s="9" t="s">
        <v>3483</v>
      </c>
      <c r="L15" s="9" t="s">
        <v>3484</v>
      </c>
      <c r="M15" s="9" t="s">
        <v>3485</v>
      </c>
      <c r="N15" s="9" t="s">
        <v>3486</v>
      </c>
      <c r="O15" s="9" t="s">
        <v>97</v>
      </c>
      <c r="P15" s="9" t="s">
        <v>3487</v>
      </c>
      <c r="Q15" s="9" t="s">
        <v>291</v>
      </c>
      <c r="R15" s="9" t="s">
        <v>3488</v>
      </c>
      <c r="S15" s="9" t="s">
        <v>3489</v>
      </c>
      <c r="T15" s="9" t="s">
        <v>3490</v>
      </c>
      <c r="U15" s="9" t="s">
        <v>3491</v>
      </c>
      <c r="V15" s="9" t="s">
        <v>3492</v>
      </c>
      <c r="W15" s="9" t="s">
        <v>3493</v>
      </c>
      <c r="X15" s="9" t="s">
        <v>3494</v>
      </c>
      <c r="Y15" s="9" t="s">
        <v>3495</v>
      </c>
      <c r="Z15" s="9" t="s">
        <v>3496</v>
      </c>
      <c r="AA15" s="9" t="s">
        <v>3497</v>
      </c>
      <c r="AB15" s="9" t="s">
        <v>3498</v>
      </c>
      <c r="AC15" s="9" t="s">
        <v>3499</v>
      </c>
      <c r="AD15" s="9" t="s">
        <v>3500</v>
      </c>
      <c r="AE15" s="9" t="s">
        <v>3501</v>
      </c>
      <c r="AF15" s="9" t="s">
        <v>3502</v>
      </c>
      <c r="AG15" s="9" t="s">
        <v>3503</v>
      </c>
      <c r="AH15" s="9" t="s">
        <v>3504</v>
      </c>
      <c r="AI15" s="9" t="s">
        <v>3505</v>
      </c>
      <c r="AJ15" s="9" t="s">
        <v>3506</v>
      </c>
      <c r="AK15" s="9" t="s">
        <v>3507</v>
      </c>
      <c r="AL15" s="9" t="s">
        <v>3508</v>
      </c>
      <c r="AM15" s="9" t="s">
        <v>3509</v>
      </c>
      <c r="AN15" s="9" t="s">
        <v>3510</v>
      </c>
      <c r="AO15" s="9" t="s">
        <v>3511</v>
      </c>
      <c r="AP15" s="9" t="s">
        <v>3512</v>
      </c>
      <c r="AQ15" s="9" t="s">
        <v>3513</v>
      </c>
      <c r="AR15" s="9" t="s">
        <v>3514</v>
      </c>
      <c r="AS15" s="9" t="s">
        <v>3515</v>
      </c>
      <c r="AT15" s="9" t="s">
        <v>128</v>
      </c>
      <c r="AU15" s="9" t="s">
        <v>3516</v>
      </c>
      <c r="AV15" s="9" t="s">
        <v>3517</v>
      </c>
      <c r="AW15" s="9" t="s">
        <v>3518</v>
      </c>
      <c r="AX15" s="9" t="s">
        <v>3519</v>
      </c>
      <c r="AY15" s="9" t="s">
        <v>3520</v>
      </c>
      <c r="AZ15" s="9" t="s">
        <v>3521</v>
      </c>
      <c r="BA15" s="9" t="s">
        <v>3522</v>
      </c>
      <c r="BB15" s="9" t="s">
        <v>3523</v>
      </c>
      <c r="BC15" s="9" t="s">
        <v>3524</v>
      </c>
      <c r="BD15" s="9" t="s">
        <v>3525</v>
      </c>
      <c r="BE15" s="29"/>
      <c r="BF15" s="29"/>
      <c r="BG15" s="29"/>
      <c r="BH15" s="29"/>
      <c r="BI15" s="29"/>
      <c r="BJ15" s="29"/>
      <c r="BK15" s="29"/>
      <c r="BL15" s="29"/>
    </row>
    <row r="16" customFormat="false" ht="90.25" hidden="false" customHeight="false" outlineLevel="0" collapsed="false">
      <c r="A16" s="9" t="s">
        <v>3526</v>
      </c>
      <c r="B16" s="9" t="s">
        <v>2920</v>
      </c>
      <c r="C16" s="9" t="s">
        <v>85</v>
      </c>
      <c r="D16" s="9" t="s">
        <v>86</v>
      </c>
      <c r="E16" s="9" t="s">
        <v>87</v>
      </c>
      <c r="F16" s="9" t="s">
        <v>662</v>
      </c>
      <c r="G16" s="28" t="s">
        <v>3527</v>
      </c>
      <c r="H16" s="9" t="s">
        <v>90</v>
      </c>
      <c r="I16" s="9" t="s">
        <v>3528</v>
      </c>
      <c r="J16" s="9" t="s">
        <v>3529</v>
      </c>
      <c r="K16" s="9" t="s">
        <v>3530</v>
      </c>
      <c r="L16" s="9" t="s">
        <v>3531</v>
      </c>
      <c r="M16" s="9" t="s">
        <v>3532</v>
      </c>
      <c r="N16" s="9" t="s">
        <v>3533</v>
      </c>
      <c r="O16" s="9" t="s">
        <v>575</v>
      </c>
      <c r="P16" s="9" t="s">
        <v>3534</v>
      </c>
      <c r="Q16" s="9" t="s">
        <v>291</v>
      </c>
      <c r="R16" s="9" t="s">
        <v>3535</v>
      </c>
      <c r="S16" s="9" t="s">
        <v>3536</v>
      </c>
      <c r="T16" s="9" t="s">
        <v>3537</v>
      </c>
      <c r="U16" s="9" t="s">
        <v>3538</v>
      </c>
      <c r="V16" s="9" t="s">
        <v>3539</v>
      </c>
      <c r="W16" s="9" t="s">
        <v>3540</v>
      </c>
      <c r="X16" s="9" t="s">
        <v>3541</v>
      </c>
      <c r="Y16" s="9" t="s">
        <v>3542</v>
      </c>
      <c r="Z16" s="9" t="s">
        <v>3543</v>
      </c>
      <c r="AA16" s="9" t="s">
        <v>3544</v>
      </c>
      <c r="AB16" s="9" t="s">
        <v>3545</v>
      </c>
      <c r="AC16" s="9" t="s">
        <v>3546</v>
      </c>
      <c r="AD16" s="9" t="s">
        <v>3547</v>
      </c>
      <c r="AE16" s="9" t="s">
        <v>3548</v>
      </c>
      <c r="AF16" s="9" t="s">
        <v>3549</v>
      </c>
      <c r="AG16" s="9" t="s">
        <v>3550</v>
      </c>
      <c r="AH16" s="9" t="s">
        <v>3551</v>
      </c>
      <c r="AI16" s="9" t="s">
        <v>3552</v>
      </c>
      <c r="AJ16" s="9" t="s">
        <v>3553</v>
      </c>
      <c r="AK16" s="9" t="s">
        <v>3554</v>
      </c>
      <c r="AL16" s="9" t="s">
        <v>3555</v>
      </c>
      <c r="AM16" s="9" t="s">
        <v>3556</v>
      </c>
      <c r="AN16" s="9" t="s">
        <v>3557</v>
      </c>
      <c r="AO16" s="9" t="s">
        <v>3558</v>
      </c>
      <c r="AP16" s="9" t="s">
        <v>3559</v>
      </c>
      <c r="AQ16" s="9" t="s">
        <v>3560</v>
      </c>
      <c r="AR16" s="9" t="s">
        <v>3561</v>
      </c>
      <c r="AS16" s="9" t="s">
        <v>3562</v>
      </c>
      <c r="AT16" s="9" t="s">
        <v>414</v>
      </c>
      <c r="AU16" s="9" t="s">
        <v>3563</v>
      </c>
      <c r="AV16" s="9" t="s">
        <v>3564</v>
      </c>
      <c r="AW16" s="9" t="s">
        <v>3565</v>
      </c>
      <c r="AX16" s="9" t="s">
        <v>3566</v>
      </c>
      <c r="AY16" s="9" t="s">
        <v>3567</v>
      </c>
      <c r="AZ16" s="9" t="s">
        <v>3568</v>
      </c>
      <c r="BA16" s="9" t="s">
        <v>3569</v>
      </c>
      <c r="BB16" s="9" t="s">
        <v>3570</v>
      </c>
      <c r="BC16" s="9" t="s">
        <v>3571</v>
      </c>
      <c r="BD16" s="9" t="s">
        <v>3572</v>
      </c>
      <c r="BE16" s="29"/>
      <c r="BF16" s="29"/>
      <c r="BG16" s="29"/>
      <c r="BH16" s="29"/>
      <c r="BI16" s="29"/>
      <c r="BJ16" s="29"/>
      <c r="BK16" s="29"/>
      <c r="BL16" s="29"/>
    </row>
    <row r="17" customFormat="false" ht="115.65" hidden="false" customHeight="false" outlineLevel="0" collapsed="false">
      <c r="A17" s="9" t="s">
        <v>3573</v>
      </c>
      <c r="B17" s="9" t="s">
        <v>2920</v>
      </c>
      <c r="C17" s="9" t="s">
        <v>85</v>
      </c>
      <c r="D17" s="9" t="s">
        <v>86</v>
      </c>
      <c r="E17" s="9" t="s">
        <v>758</v>
      </c>
      <c r="F17" s="9" t="s">
        <v>88</v>
      </c>
      <c r="G17" s="28" t="s">
        <v>3574</v>
      </c>
      <c r="H17" s="9" t="s">
        <v>760</v>
      </c>
      <c r="I17" s="9" t="s">
        <v>3575</v>
      </c>
      <c r="J17" s="9" t="s">
        <v>3576</v>
      </c>
      <c r="K17" s="9" t="s">
        <v>3577</v>
      </c>
      <c r="L17" s="9" t="s">
        <v>3578</v>
      </c>
      <c r="M17" s="9" t="s">
        <v>3579</v>
      </c>
      <c r="N17" s="9" t="s">
        <v>3580</v>
      </c>
      <c r="O17" s="9" t="s">
        <v>575</v>
      </c>
      <c r="P17" s="9" t="s">
        <v>3581</v>
      </c>
      <c r="Q17" s="9" t="s">
        <v>291</v>
      </c>
      <c r="R17" s="9" t="s">
        <v>3582</v>
      </c>
      <c r="S17" s="9" t="s">
        <v>3583</v>
      </c>
      <c r="T17" s="9" t="s">
        <v>3584</v>
      </c>
      <c r="U17" s="9" t="s">
        <v>3585</v>
      </c>
      <c r="V17" s="9" t="s">
        <v>3586</v>
      </c>
      <c r="W17" s="9" t="s">
        <v>3587</v>
      </c>
      <c r="X17" s="9" t="s">
        <v>3588</v>
      </c>
      <c r="Y17" s="9" t="s">
        <v>3589</v>
      </c>
      <c r="Z17" s="9" t="s">
        <v>3590</v>
      </c>
      <c r="AA17" s="9" t="s">
        <v>3591</v>
      </c>
      <c r="AB17" s="9" t="s">
        <v>3592</v>
      </c>
      <c r="AC17" s="9" t="s">
        <v>3593</v>
      </c>
      <c r="AD17" s="9" t="s">
        <v>3594</v>
      </c>
      <c r="AE17" s="9" t="s">
        <v>3595</v>
      </c>
      <c r="AF17" s="9" t="s">
        <v>3596</v>
      </c>
      <c r="AG17" s="9" t="s">
        <v>3597</v>
      </c>
      <c r="AH17" s="9" t="s">
        <v>3598</v>
      </c>
      <c r="AI17" s="9" t="s">
        <v>3599</v>
      </c>
      <c r="AJ17" s="9" t="s">
        <v>3600</v>
      </c>
      <c r="AK17" s="9" t="s">
        <v>3601</v>
      </c>
      <c r="AL17" s="9" t="s">
        <v>3602</v>
      </c>
      <c r="AM17" s="9" t="s">
        <v>3603</v>
      </c>
      <c r="AN17" s="9" t="s">
        <v>3604</v>
      </c>
      <c r="AO17" s="9" t="s">
        <v>3605</v>
      </c>
      <c r="AP17" s="9" t="s">
        <v>3606</v>
      </c>
      <c r="AQ17" s="9" t="s">
        <v>3607</v>
      </c>
      <c r="AR17" s="9" t="s">
        <v>3608</v>
      </c>
      <c r="AS17" s="9" t="s">
        <v>3609</v>
      </c>
      <c r="AT17" s="9" t="s">
        <v>699</v>
      </c>
      <c r="AU17" s="9" t="s">
        <v>3610</v>
      </c>
      <c r="AV17" s="9" t="s">
        <v>3611</v>
      </c>
      <c r="AW17" s="9" t="s">
        <v>3612</v>
      </c>
      <c r="AX17" s="9" t="s">
        <v>3613</v>
      </c>
      <c r="AY17" s="9" t="s">
        <v>3598</v>
      </c>
      <c r="AZ17" s="9" t="s">
        <v>3614</v>
      </c>
      <c r="BA17" s="9" t="s">
        <v>3615</v>
      </c>
      <c r="BB17" s="9" t="s">
        <v>3616</v>
      </c>
      <c r="BC17" s="9" t="s">
        <v>3617</v>
      </c>
      <c r="BD17" s="9" t="s">
        <v>3618</v>
      </c>
      <c r="BE17" s="29"/>
      <c r="BF17" s="29"/>
      <c r="BG17" s="29"/>
      <c r="BH17" s="29"/>
      <c r="BI17" s="29"/>
      <c r="BJ17" s="29"/>
      <c r="BK17" s="29"/>
      <c r="BL17" s="29"/>
    </row>
    <row r="18" customFormat="false" ht="128.35" hidden="false" customHeight="false" outlineLevel="0" collapsed="false">
      <c r="A18" s="9" t="s">
        <v>3619</v>
      </c>
      <c r="B18" s="9" t="s">
        <v>2920</v>
      </c>
      <c r="C18" s="9" t="s">
        <v>85</v>
      </c>
      <c r="D18" s="9" t="s">
        <v>86</v>
      </c>
      <c r="E18" s="9" t="s">
        <v>758</v>
      </c>
      <c r="F18" s="9" t="s">
        <v>88</v>
      </c>
      <c r="G18" s="28" t="s">
        <v>3620</v>
      </c>
      <c r="H18" s="9" t="s">
        <v>760</v>
      </c>
      <c r="I18" s="9" t="s">
        <v>3621</v>
      </c>
      <c r="J18" s="9" t="s">
        <v>3622</v>
      </c>
      <c r="K18" s="9" t="s">
        <v>3623</v>
      </c>
      <c r="L18" s="9" t="s">
        <v>3624</v>
      </c>
      <c r="M18" s="9" t="s">
        <v>3625</v>
      </c>
      <c r="N18" s="9" t="s">
        <v>3626</v>
      </c>
      <c r="O18" s="9" t="s">
        <v>97</v>
      </c>
      <c r="P18" s="9" t="s">
        <v>3627</v>
      </c>
      <c r="Q18" s="9" t="s">
        <v>291</v>
      </c>
      <c r="R18" s="9" t="s">
        <v>3628</v>
      </c>
      <c r="S18" s="9" t="s">
        <v>3629</v>
      </c>
      <c r="T18" s="9" t="s">
        <v>3630</v>
      </c>
      <c r="U18" s="9" t="s">
        <v>3631</v>
      </c>
      <c r="V18" s="9" t="s">
        <v>3632</v>
      </c>
      <c r="W18" s="9" t="s">
        <v>3633</v>
      </c>
      <c r="X18" s="9" t="s">
        <v>3634</v>
      </c>
      <c r="Y18" s="9" t="s">
        <v>3635</v>
      </c>
      <c r="Z18" s="9" t="s">
        <v>3636</v>
      </c>
      <c r="AA18" s="9" t="s">
        <v>3637</v>
      </c>
      <c r="AB18" s="9" t="s">
        <v>3638</v>
      </c>
      <c r="AC18" s="9" t="s">
        <v>3639</v>
      </c>
      <c r="AD18" s="9" t="s">
        <v>3640</v>
      </c>
      <c r="AE18" s="9" t="s">
        <v>3641</v>
      </c>
      <c r="AF18" s="9" t="s">
        <v>3642</v>
      </c>
      <c r="AG18" s="9" t="s">
        <v>3643</v>
      </c>
      <c r="AH18" s="9" t="s">
        <v>3644</v>
      </c>
      <c r="AI18" s="9" t="s">
        <v>3645</v>
      </c>
      <c r="AJ18" s="9" t="s">
        <v>3646</v>
      </c>
      <c r="AK18" s="9" t="s">
        <v>3647</v>
      </c>
      <c r="AL18" s="9" t="s">
        <v>3648</v>
      </c>
      <c r="AM18" s="9" t="s">
        <v>3649</v>
      </c>
      <c r="AN18" s="9" t="s">
        <v>3650</v>
      </c>
      <c r="AO18" s="9" t="s">
        <v>3651</v>
      </c>
      <c r="AP18" s="9" t="s">
        <v>3652</v>
      </c>
      <c r="AQ18" s="9" t="s">
        <v>3653</v>
      </c>
      <c r="AR18" s="9" t="s">
        <v>3654</v>
      </c>
      <c r="AS18" s="9" t="s">
        <v>3655</v>
      </c>
      <c r="AT18" s="9" t="s">
        <v>699</v>
      </c>
      <c r="AU18" s="9" t="s">
        <v>3656</v>
      </c>
      <c r="AV18" s="9" t="s">
        <v>3657</v>
      </c>
      <c r="AW18" s="9" t="s">
        <v>3658</v>
      </c>
      <c r="AX18" s="9" t="s">
        <v>3659</v>
      </c>
      <c r="AY18" s="9" t="s">
        <v>3615</v>
      </c>
      <c r="AZ18" s="9" t="s">
        <v>3660</v>
      </c>
      <c r="BA18" s="9" t="s">
        <v>3661</v>
      </c>
      <c r="BB18" s="9" t="s">
        <v>3662</v>
      </c>
      <c r="BC18" s="9" t="s">
        <v>3663</v>
      </c>
      <c r="BD18" s="9" t="s">
        <v>3664</v>
      </c>
      <c r="BE18" s="29"/>
      <c r="BF18" s="29"/>
      <c r="BG18" s="29"/>
      <c r="BH18" s="29"/>
      <c r="BI18" s="29"/>
      <c r="BJ18" s="29"/>
      <c r="BK18" s="29"/>
      <c r="BL18" s="29"/>
    </row>
    <row r="19" customFormat="false" ht="128.35" hidden="false" customHeight="false" outlineLevel="0" collapsed="false">
      <c r="A19" s="9" t="s">
        <v>3665</v>
      </c>
      <c r="B19" s="9" t="s">
        <v>2920</v>
      </c>
      <c r="C19" s="9" t="s">
        <v>85</v>
      </c>
      <c r="D19" s="9" t="s">
        <v>86</v>
      </c>
      <c r="E19" s="9" t="s">
        <v>758</v>
      </c>
      <c r="F19" s="9" t="s">
        <v>236</v>
      </c>
      <c r="G19" s="28" t="s">
        <v>3666</v>
      </c>
      <c r="H19" s="9" t="s">
        <v>760</v>
      </c>
      <c r="I19" s="9" t="s">
        <v>3667</v>
      </c>
      <c r="J19" s="9" t="s">
        <v>3668</v>
      </c>
      <c r="K19" s="9" t="s">
        <v>3669</v>
      </c>
      <c r="L19" s="9" t="s">
        <v>3670</v>
      </c>
      <c r="M19" s="9" t="s">
        <v>3671</v>
      </c>
      <c r="N19" s="9" t="s">
        <v>3672</v>
      </c>
      <c r="O19" s="9" t="s">
        <v>97</v>
      </c>
      <c r="P19" s="9" t="s">
        <v>3673</v>
      </c>
      <c r="Q19" s="9" t="s">
        <v>99</v>
      </c>
      <c r="R19" s="9" t="s">
        <v>3674</v>
      </c>
      <c r="S19" s="9" t="s">
        <v>3675</v>
      </c>
      <c r="T19" s="9" t="s">
        <v>3676</v>
      </c>
      <c r="U19" s="9" t="s">
        <v>3677</v>
      </c>
      <c r="V19" s="9" t="s">
        <v>3678</v>
      </c>
      <c r="W19" s="9" t="s">
        <v>3679</v>
      </c>
      <c r="X19" s="9" t="s">
        <v>3680</v>
      </c>
      <c r="Y19" s="9" t="s">
        <v>3681</v>
      </c>
      <c r="Z19" s="9" t="s">
        <v>3682</v>
      </c>
      <c r="AA19" s="9" t="s">
        <v>3683</v>
      </c>
      <c r="AB19" s="9" t="s">
        <v>3684</v>
      </c>
      <c r="AC19" s="9" t="s">
        <v>3685</v>
      </c>
      <c r="AD19" s="9" t="s">
        <v>3686</v>
      </c>
      <c r="AE19" s="9" t="s">
        <v>3687</v>
      </c>
      <c r="AF19" s="9" t="s">
        <v>3688</v>
      </c>
      <c r="AG19" s="9" t="s">
        <v>3689</v>
      </c>
      <c r="AH19" s="9" t="s">
        <v>3690</v>
      </c>
      <c r="AI19" s="9" t="s">
        <v>3691</v>
      </c>
      <c r="AJ19" s="9" t="s">
        <v>3692</v>
      </c>
      <c r="AK19" s="9" t="s">
        <v>3693</v>
      </c>
      <c r="AL19" s="9" t="s">
        <v>3694</v>
      </c>
      <c r="AM19" s="9" t="s">
        <v>3695</v>
      </c>
      <c r="AN19" s="9" t="s">
        <v>3696</v>
      </c>
      <c r="AO19" s="9" t="s">
        <v>3697</v>
      </c>
      <c r="AP19" s="9" t="s">
        <v>3698</v>
      </c>
      <c r="AQ19" s="9" t="s">
        <v>3699</v>
      </c>
      <c r="AR19" s="9" t="s">
        <v>3700</v>
      </c>
      <c r="AS19" s="9" t="s">
        <v>3701</v>
      </c>
      <c r="AT19" s="9" t="s">
        <v>414</v>
      </c>
      <c r="AU19" s="9" t="s">
        <v>3702</v>
      </c>
      <c r="AV19" s="9" t="s">
        <v>3703</v>
      </c>
      <c r="AW19" s="9" t="s">
        <v>3704</v>
      </c>
      <c r="AX19" s="9" t="s">
        <v>3705</v>
      </c>
      <c r="AY19" s="9" t="s">
        <v>3706</v>
      </c>
      <c r="AZ19" s="9" t="s">
        <v>3707</v>
      </c>
      <c r="BA19" s="9" t="s">
        <v>3708</v>
      </c>
      <c r="BB19" s="9" t="s">
        <v>3709</v>
      </c>
      <c r="BC19" s="9" t="s">
        <v>3710</v>
      </c>
      <c r="BD19" s="9" t="s">
        <v>3711</v>
      </c>
      <c r="BE19" s="29"/>
      <c r="BF19" s="29"/>
      <c r="BG19" s="29"/>
      <c r="BH19" s="29"/>
      <c r="BI19" s="29"/>
      <c r="BJ19" s="29"/>
      <c r="BK19" s="29"/>
      <c r="BL19" s="29"/>
    </row>
    <row r="20" customFormat="false" ht="102.95" hidden="false" customHeight="false" outlineLevel="0" collapsed="false">
      <c r="A20" s="9" t="s">
        <v>3712</v>
      </c>
      <c r="B20" s="9" t="s">
        <v>2920</v>
      </c>
      <c r="C20" s="9" t="s">
        <v>85</v>
      </c>
      <c r="D20" s="9" t="s">
        <v>86</v>
      </c>
      <c r="E20" s="9" t="s">
        <v>758</v>
      </c>
      <c r="F20" s="9" t="s">
        <v>997</v>
      </c>
      <c r="G20" s="28" t="s">
        <v>3713</v>
      </c>
      <c r="H20" s="9" t="s">
        <v>760</v>
      </c>
      <c r="I20" s="9" t="s">
        <v>3714</v>
      </c>
      <c r="J20" s="9" t="s">
        <v>3715</v>
      </c>
      <c r="K20" s="9" t="s">
        <v>3716</v>
      </c>
      <c r="L20" s="9" t="s">
        <v>3717</v>
      </c>
      <c r="M20" s="9" t="s">
        <v>3718</v>
      </c>
      <c r="N20" s="9" t="s">
        <v>3719</v>
      </c>
      <c r="O20" s="9" t="s">
        <v>97</v>
      </c>
      <c r="P20" s="9" t="s">
        <v>3720</v>
      </c>
      <c r="Q20" s="9" t="s">
        <v>99</v>
      </c>
      <c r="R20" s="9" t="s">
        <v>3721</v>
      </c>
      <c r="S20" s="9" t="s">
        <v>3722</v>
      </c>
      <c r="T20" s="9" t="s">
        <v>3723</v>
      </c>
      <c r="U20" s="9" t="s">
        <v>3724</v>
      </c>
      <c r="V20" s="9" t="s">
        <v>3725</v>
      </c>
      <c r="W20" s="9" t="s">
        <v>3726</v>
      </c>
      <c r="X20" s="9" t="s">
        <v>3727</v>
      </c>
      <c r="Y20" s="9" t="s">
        <v>3728</v>
      </c>
      <c r="Z20" s="9" t="s">
        <v>3729</v>
      </c>
      <c r="AA20" s="9" t="s">
        <v>3730</v>
      </c>
      <c r="AB20" s="9" t="s">
        <v>3731</v>
      </c>
      <c r="AC20" s="9" t="s">
        <v>3732</v>
      </c>
      <c r="AD20" s="9" t="s">
        <v>3733</v>
      </c>
      <c r="AE20" s="9" t="s">
        <v>3734</v>
      </c>
      <c r="AF20" s="9" t="s">
        <v>3735</v>
      </c>
      <c r="AG20" s="9" t="s">
        <v>3736</v>
      </c>
      <c r="AH20" s="9" t="s">
        <v>3737</v>
      </c>
      <c r="AI20" s="9" t="s">
        <v>3738</v>
      </c>
      <c r="AJ20" s="9" t="s">
        <v>3739</v>
      </c>
      <c r="AK20" s="9" t="s">
        <v>3740</v>
      </c>
      <c r="AL20" s="9" t="s">
        <v>3741</v>
      </c>
      <c r="AM20" s="9" t="s">
        <v>3742</v>
      </c>
      <c r="AN20" s="9" t="s">
        <v>3743</v>
      </c>
      <c r="AO20" s="9" t="s">
        <v>3744</v>
      </c>
      <c r="AP20" s="9" t="s">
        <v>3745</v>
      </c>
      <c r="AQ20" s="9" t="s">
        <v>3746</v>
      </c>
      <c r="AR20" s="9" t="s">
        <v>3747</v>
      </c>
      <c r="AS20" s="9" t="s">
        <v>3748</v>
      </c>
      <c r="AT20" s="9" t="s">
        <v>414</v>
      </c>
      <c r="AU20" s="9" t="s">
        <v>3749</v>
      </c>
      <c r="AV20" s="9" t="s">
        <v>3750</v>
      </c>
      <c r="AW20" s="9" t="s">
        <v>3751</v>
      </c>
      <c r="AX20" s="9" t="s">
        <v>3752</v>
      </c>
      <c r="AY20" s="9" t="s">
        <v>3753</v>
      </c>
      <c r="AZ20" s="9" t="s">
        <v>3754</v>
      </c>
      <c r="BA20" s="9" t="s">
        <v>3755</v>
      </c>
      <c r="BB20" s="9" t="s">
        <v>3756</v>
      </c>
      <c r="BC20" s="9" t="s">
        <v>3757</v>
      </c>
      <c r="BD20" s="9" t="s">
        <v>3758</v>
      </c>
      <c r="BE20" s="29"/>
      <c r="BF20" s="29"/>
      <c r="BG20" s="29"/>
      <c r="BH20" s="29"/>
      <c r="BI20" s="29"/>
      <c r="BJ20" s="29"/>
      <c r="BK20" s="29"/>
      <c r="BL20" s="29"/>
    </row>
    <row r="21" customFormat="false" ht="115.65" hidden="false" customHeight="false" outlineLevel="0" collapsed="false">
      <c r="A21" s="9" t="s">
        <v>3759</v>
      </c>
      <c r="B21" s="9" t="s">
        <v>2920</v>
      </c>
      <c r="C21" s="9" t="s">
        <v>85</v>
      </c>
      <c r="D21" s="9" t="s">
        <v>86</v>
      </c>
      <c r="E21" s="9" t="s">
        <v>758</v>
      </c>
      <c r="F21" s="9" t="s">
        <v>662</v>
      </c>
      <c r="G21" s="28" t="s">
        <v>3760</v>
      </c>
      <c r="H21" s="9" t="s">
        <v>760</v>
      </c>
      <c r="I21" s="9" t="s">
        <v>3761</v>
      </c>
      <c r="J21" s="9" t="s">
        <v>3762</v>
      </c>
      <c r="K21" s="9" t="s">
        <v>3763</v>
      </c>
      <c r="L21" s="9" t="s">
        <v>3764</v>
      </c>
      <c r="M21" s="9" t="s">
        <v>3765</v>
      </c>
      <c r="N21" s="9" t="s">
        <v>3766</v>
      </c>
      <c r="O21" s="9" t="s">
        <v>575</v>
      </c>
      <c r="P21" s="9" t="s">
        <v>3767</v>
      </c>
      <c r="Q21" s="9" t="s">
        <v>957</v>
      </c>
      <c r="R21" s="9" t="s">
        <v>3768</v>
      </c>
      <c r="S21" s="9" t="s">
        <v>3769</v>
      </c>
      <c r="T21" s="9" t="s">
        <v>3770</v>
      </c>
      <c r="U21" s="9" t="s">
        <v>3771</v>
      </c>
      <c r="V21" s="9" t="s">
        <v>3772</v>
      </c>
      <c r="W21" s="9" t="s">
        <v>3773</v>
      </c>
      <c r="X21" s="9" t="s">
        <v>3774</v>
      </c>
      <c r="Y21" s="9" t="s">
        <v>3775</v>
      </c>
      <c r="Z21" s="9" t="s">
        <v>3776</v>
      </c>
      <c r="AA21" s="9" t="s">
        <v>3777</v>
      </c>
      <c r="AB21" s="9" t="s">
        <v>3778</v>
      </c>
      <c r="AC21" s="9" t="s">
        <v>3779</v>
      </c>
      <c r="AD21" s="9" t="s">
        <v>3780</v>
      </c>
      <c r="AE21" s="9" t="s">
        <v>3781</v>
      </c>
      <c r="AF21" s="9" t="s">
        <v>3782</v>
      </c>
      <c r="AG21" s="9" t="s">
        <v>3783</v>
      </c>
      <c r="AH21" s="9" t="s">
        <v>3784</v>
      </c>
      <c r="AI21" s="9" t="s">
        <v>3785</v>
      </c>
      <c r="AJ21" s="9" t="s">
        <v>3786</v>
      </c>
      <c r="AK21" s="9" t="s">
        <v>3787</v>
      </c>
      <c r="AL21" s="9" t="s">
        <v>3788</v>
      </c>
      <c r="AM21" s="9" t="s">
        <v>3789</v>
      </c>
      <c r="AN21" s="9" t="s">
        <v>3790</v>
      </c>
      <c r="AO21" s="9" t="s">
        <v>3371</v>
      </c>
      <c r="AP21" s="9" t="s">
        <v>3791</v>
      </c>
      <c r="AQ21" s="9" t="s">
        <v>3792</v>
      </c>
      <c r="AR21" s="9" t="s">
        <v>3793</v>
      </c>
      <c r="AS21" s="9" t="s">
        <v>3794</v>
      </c>
      <c r="AT21" s="9" t="s">
        <v>699</v>
      </c>
      <c r="AU21" s="9" t="s">
        <v>3795</v>
      </c>
      <c r="AV21" s="9" t="s">
        <v>3796</v>
      </c>
      <c r="AW21" s="9" t="s">
        <v>3797</v>
      </c>
      <c r="AX21" s="9" t="s">
        <v>3798</v>
      </c>
      <c r="AY21" s="9" t="s">
        <v>3799</v>
      </c>
      <c r="AZ21" s="9" t="s">
        <v>3800</v>
      </c>
      <c r="BA21" s="9" t="s">
        <v>3801</v>
      </c>
      <c r="BB21" s="9" t="s">
        <v>3802</v>
      </c>
      <c r="BC21" s="9" t="s">
        <v>3803</v>
      </c>
      <c r="BD21" s="9" t="s">
        <v>3804</v>
      </c>
      <c r="BE21" s="29"/>
      <c r="BF21" s="29"/>
      <c r="BG21" s="29"/>
      <c r="BH21" s="29"/>
      <c r="BI21" s="29"/>
      <c r="BJ21" s="29"/>
      <c r="BK21" s="29"/>
      <c r="BL21" s="29"/>
    </row>
    <row r="22" customFormat="false" ht="90.25" hidden="false" customHeight="false" outlineLevel="0" collapsed="false">
      <c r="A22" s="9" t="s">
        <v>3805</v>
      </c>
      <c r="B22" s="9" t="s">
        <v>2920</v>
      </c>
      <c r="C22" s="9" t="s">
        <v>85</v>
      </c>
      <c r="D22" s="9" t="s">
        <v>86</v>
      </c>
      <c r="E22" s="9" t="s">
        <v>758</v>
      </c>
      <c r="F22" s="9" t="s">
        <v>997</v>
      </c>
      <c r="G22" s="28" t="s">
        <v>3806</v>
      </c>
      <c r="H22" s="9" t="s">
        <v>760</v>
      </c>
      <c r="I22" s="9" t="s">
        <v>3807</v>
      </c>
      <c r="J22" s="9" t="s">
        <v>3808</v>
      </c>
      <c r="K22" s="9" t="s">
        <v>3809</v>
      </c>
      <c r="L22" s="9" t="s">
        <v>3810</v>
      </c>
      <c r="M22" s="9" t="s">
        <v>3811</v>
      </c>
      <c r="N22" s="9" t="s">
        <v>3812</v>
      </c>
      <c r="O22" s="9" t="s">
        <v>97</v>
      </c>
      <c r="P22" s="9" t="s">
        <v>3813</v>
      </c>
      <c r="Q22" s="9" t="s">
        <v>99</v>
      </c>
      <c r="R22" s="9" t="s">
        <v>3814</v>
      </c>
      <c r="S22" s="9" t="s">
        <v>3815</v>
      </c>
      <c r="T22" s="9" t="s">
        <v>3816</v>
      </c>
      <c r="U22" s="9" t="s">
        <v>3817</v>
      </c>
      <c r="V22" s="9" t="s">
        <v>3818</v>
      </c>
      <c r="W22" s="9" t="s">
        <v>3819</v>
      </c>
      <c r="X22" s="9" t="s">
        <v>3806</v>
      </c>
      <c r="Y22" s="9" t="s">
        <v>3820</v>
      </c>
      <c r="Z22" s="9" t="s">
        <v>3821</v>
      </c>
      <c r="AA22" s="9" t="s">
        <v>3822</v>
      </c>
      <c r="AB22" s="9" t="s">
        <v>3823</v>
      </c>
      <c r="AC22" s="9" t="s">
        <v>3824</v>
      </c>
      <c r="AD22" s="9" t="s">
        <v>3825</v>
      </c>
      <c r="AE22" s="9" t="s">
        <v>3826</v>
      </c>
      <c r="AF22" s="9" t="s">
        <v>3827</v>
      </c>
      <c r="AG22" s="9" t="s">
        <v>3828</v>
      </c>
      <c r="AH22" s="9" t="s">
        <v>3829</v>
      </c>
      <c r="AI22" s="9" t="s">
        <v>3830</v>
      </c>
      <c r="AJ22" s="9" t="s">
        <v>3831</v>
      </c>
      <c r="AK22" s="9" t="s">
        <v>3832</v>
      </c>
      <c r="AL22" s="9" t="s">
        <v>3833</v>
      </c>
      <c r="AM22" s="9" t="s">
        <v>3834</v>
      </c>
      <c r="AN22" s="9" t="s">
        <v>3835</v>
      </c>
      <c r="AO22" s="9" t="s">
        <v>3836</v>
      </c>
      <c r="AP22" s="9" t="s">
        <v>3837</v>
      </c>
      <c r="AQ22" s="9" t="s">
        <v>2487</v>
      </c>
      <c r="AR22" s="9" t="s">
        <v>3838</v>
      </c>
      <c r="AS22" s="9" t="s">
        <v>3839</v>
      </c>
      <c r="AT22" s="9" t="s">
        <v>699</v>
      </c>
      <c r="AU22" s="9" t="s">
        <v>3840</v>
      </c>
      <c r="AV22" s="9" t="s">
        <v>3841</v>
      </c>
      <c r="AW22" s="9" t="s">
        <v>3842</v>
      </c>
      <c r="AX22" s="9" t="s">
        <v>3843</v>
      </c>
      <c r="AY22" s="9" t="s">
        <v>3844</v>
      </c>
      <c r="AZ22" s="9" t="s">
        <v>3845</v>
      </c>
      <c r="BA22" s="9" t="s">
        <v>3846</v>
      </c>
      <c r="BB22" s="9" t="s">
        <v>3847</v>
      </c>
      <c r="BC22" s="9" t="s">
        <v>3848</v>
      </c>
      <c r="BD22" s="9" t="s">
        <v>3849</v>
      </c>
      <c r="BE22" s="29"/>
      <c r="BF22" s="29"/>
      <c r="BG22" s="29"/>
      <c r="BH22" s="29"/>
      <c r="BI22" s="29"/>
      <c r="BJ22" s="29"/>
      <c r="BK22" s="29"/>
      <c r="BL22" s="29"/>
    </row>
    <row r="23" customFormat="false" ht="115.65" hidden="false" customHeight="false" outlineLevel="0" collapsed="false">
      <c r="A23" s="9" t="s">
        <v>3850</v>
      </c>
      <c r="B23" s="9" t="s">
        <v>2920</v>
      </c>
      <c r="C23" s="9" t="s">
        <v>1044</v>
      </c>
      <c r="D23" s="9" t="s">
        <v>188</v>
      </c>
      <c r="E23" s="9" t="s">
        <v>87</v>
      </c>
      <c r="F23" s="9" t="s">
        <v>88</v>
      </c>
      <c r="G23" s="28" t="s">
        <v>3851</v>
      </c>
      <c r="H23" s="9" t="s">
        <v>90</v>
      </c>
      <c r="I23" s="9" t="s">
        <v>3852</v>
      </c>
      <c r="J23" s="9" t="s">
        <v>3853</v>
      </c>
      <c r="K23" s="9" t="s">
        <v>3854</v>
      </c>
      <c r="L23" s="9" t="s">
        <v>3855</v>
      </c>
      <c r="M23" s="9" t="s">
        <v>3856</v>
      </c>
      <c r="N23" s="9" t="s">
        <v>3857</v>
      </c>
      <c r="O23" s="9" t="s">
        <v>575</v>
      </c>
      <c r="P23" s="9" t="s">
        <v>3858</v>
      </c>
      <c r="Q23" s="9" t="s">
        <v>99</v>
      </c>
      <c r="R23" s="9" t="s">
        <v>3859</v>
      </c>
      <c r="S23" s="9" t="s">
        <v>3860</v>
      </c>
      <c r="T23" s="9" t="s">
        <v>3861</v>
      </c>
      <c r="U23" s="9" t="s">
        <v>3862</v>
      </c>
      <c r="V23" s="9" t="s">
        <v>3863</v>
      </c>
      <c r="W23" s="9" t="s">
        <v>3864</v>
      </c>
      <c r="X23" s="9" t="s">
        <v>3865</v>
      </c>
      <c r="Y23" s="9" t="s">
        <v>3866</v>
      </c>
      <c r="Z23" s="9" t="s">
        <v>3867</v>
      </c>
      <c r="AA23" s="9" t="s">
        <v>3868</v>
      </c>
      <c r="AB23" s="9" t="s">
        <v>3869</v>
      </c>
      <c r="AC23" s="9" t="s">
        <v>3870</v>
      </c>
      <c r="AD23" s="9" t="s">
        <v>3871</v>
      </c>
      <c r="AE23" s="9" t="s">
        <v>3872</v>
      </c>
      <c r="AF23" s="9" t="s">
        <v>3873</v>
      </c>
      <c r="AG23" s="9" t="s">
        <v>3874</v>
      </c>
      <c r="AH23" s="9" t="s">
        <v>3875</v>
      </c>
      <c r="AI23" s="9" t="s">
        <v>3876</v>
      </c>
      <c r="AJ23" s="9" t="s">
        <v>3877</v>
      </c>
      <c r="AK23" s="9" t="s">
        <v>3878</v>
      </c>
      <c r="AL23" s="9" t="s">
        <v>3879</v>
      </c>
      <c r="AM23" s="9" t="s">
        <v>3880</v>
      </c>
      <c r="AN23" s="9" t="s">
        <v>3881</v>
      </c>
      <c r="AO23" s="9" t="s">
        <v>3882</v>
      </c>
      <c r="AP23" s="9" t="s">
        <v>3883</v>
      </c>
      <c r="AQ23" s="9" t="s">
        <v>3884</v>
      </c>
      <c r="AR23" s="9" t="s">
        <v>3885</v>
      </c>
      <c r="AS23" s="9" t="s">
        <v>3886</v>
      </c>
      <c r="AT23" s="9" t="s">
        <v>177</v>
      </c>
      <c r="AU23" s="9" t="s">
        <v>3887</v>
      </c>
      <c r="AV23" s="9" t="s">
        <v>3888</v>
      </c>
      <c r="AW23" s="9" t="s">
        <v>3889</v>
      </c>
      <c r="AX23" s="9" t="s">
        <v>3890</v>
      </c>
      <c r="AY23" s="9" t="s">
        <v>3891</v>
      </c>
      <c r="AZ23" s="9" t="s">
        <v>3892</v>
      </c>
      <c r="BA23" s="9" t="s">
        <v>3893</v>
      </c>
      <c r="BB23" s="9" t="s">
        <v>3894</v>
      </c>
      <c r="BC23" s="9" t="s">
        <v>3895</v>
      </c>
      <c r="BD23" s="9" t="s">
        <v>3896</v>
      </c>
      <c r="BE23" s="29"/>
      <c r="BF23" s="29"/>
      <c r="BG23" s="29"/>
      <c r="BH23" s="29"/>
      <c r="BI23" s="29"/>
      <c r="BJ23" s="29"/>
      <c r="BK23" s="29"/>
      <c r="BL23" s="29"/>
    </row>
    <row r="24" customFormat="false" ht="128.35" hidden="false" customHeight="false" outlineLevel="0" collapsed="false">
      <c r="A24" s="9" t="s">
        <v>3897</v>
      </c>
      <c r="B24" s="9" t="s">
        <v>2920</v>
      </c>
      <c r="C24" s="9" t="s">
        <v>1044</v>
      </c>
      <c r="D24" s="9" t="s">
        <v>188</v>
      </c>
      <c r="E24" s="9" t="s">
        <v>87</v>
      </c>
      <c r="F24" s="9" t="s">
        <v>1140</v>
      </c>
      <c r="G24" s="28" t="s">
        <v>3898</v>
      </c>
      <c r="H24" s="9" t="s">
        <v>90</v>
      </c>
      <c r="I24" s="9" t="s">
        <v>3899</v>
      </c>
      <c r="J24" s="9" t="s">
        <v>3900</v>
      </c>
      <c r="K24" s="9" t="s">
        <v>3901</v>
      </c>
      <c r="L24" s="9" t="s">
        <v>3902</v>
      </c>
      <c r="M24" s="9" t="s">
        <v>3903</v>
      </c>
      <c r="N24" s="9" t="s">
        <v>3904</v>
      </c>
      <c r="O24" s="9" t="s">
        <v>97</v>
      </c>
      <c r="P24" s="9" t="s">
        <v>3905</v>
      </c>
      <c r="Q24" s="9" t="s">
        <v>99</v>
      </c>
      <c r="R24" s="9" t="s">
        <v>3906</v>
      </c>
      <c r="S24" s="9" t="s">
        <v>3907</v>
      </c>
      <c r="T24" s="9" t="s">
        <v>3908</v>
      </c>
      <c r="U24" s="9" t="s">
        <v>3909</v>
      </c>
      <c r="V24" s="9" t="s">
        <v>3910</v>
      </c>
      <c r="W24" s="9" t="s">
        <v>3911</v>
      </c>
      <c r="X24" s="9" t="s">
        <v>3912</v>
      </c>
      <c r="Y24" s="9" t="s">
        <v>3913</v>
      </c>
      <c r="Z24" s="9" t="s">
        <v>3914</v>
      </c>
      <c r="AA24" s="9" t="s">
        <v>3915</v>
      </c>
      <c r="AB24" s="9" t="s">
        <v>3916</v>
      </c>
      <c r="AC24" s="9" t="s">
        <v>3917</v>
      </c>
      <c r="AD24" s="9" t="s">
        <v>3918</v>
      </c>
      <c r="AE24" s="9" t="s">
        <v>3919</v>
      </c>
      <c r="AF24" s="9" t="s">
        <v>3920</v>
      </c>
      <c r="AG24" s="9" t="s">
        <v>3921</v>
      </c>
      <c r="AH24" s="9" t="s">
        <v>3922</v>
      </c>
      <c r="AI24" s="9" t="s">
        <v>3923</v>
      </c>
      <c r="AJ24" s="9" t="s">
        <v>3924</v>
      </c>
      <c r="AK24" s="9" t="s">
        <v>3925</v>
      </c>
      <c r="AL24" s="9" t="s">
        <v>3926</v>
      </c>
      <c r="AM24" s="9" t="s">
        <v>3927</v>
      </c>
      <c r="AN24" s="9" t="s">
        <v>3928</v>
      </c>
      <c r="AO24" s="9" t="s">
        <v>3929</v>
      </c>
      <c r="AP24" s="9" t="s">
        <v>3930</v>
      </c>
      <c r="AQ24" s="9" t="s">
        <v>3931</v>
      </c>
      <c r="AR24" s="9" t="s">
        <v>3932</v>
      </c>
      <c r="AS24" s="9" t="s">
        <v>3933</v>
      </c>
      <c r="AT24" s="9" t="s">
        <v>128</v>
      </c>
      <c r="AU24" s="9" t="s">
        <v>3934</v>
      </c>
      <c r="AV24" s="9" t="s">
        <v>3935</v>
      </c>
      <c r="AW24" s="9" t="s">
        <v>3936</v>
      </c>
      <c r="AX24" s="9" t="s">
        <v>3937</v>
      </c>
      <c r="AY24" s="9" t="s">
        <v>3938</v>
      </c>
      <c r="AZ24" s="9" t="s">
        <v>3939</v>
      </c>
      <c r="BA24" s="9" t="s">
        <v>3940</v>
      </c>
      <c r="BB24" s="9" t="s">
        <v>3941</v>
      </c>
      <c r="BC24" s="9" t="s">
        <v>3942</v>
      </c>
      <c r="BD24" s="9" t="s">
        <v>3943</v>
      </c>
      <c r="BE24" s="29"/>
      <c r="BF24" s="29"/>
      <c r="BG24" s="29"/>
      <c r="BH24" s="29"/>
      <c r="BI24" s="29"/>
      <c r="BJ24" s="29"/>
      <c r="BK24" s="29"/>
      <c r="BL24" s="29"/>
    </row>
    <row r="25" customFormat="false" ht="128.35" hidden="false" customHeight="false" outlineLevel="0" collapsed="false">
      <c r="A25" s="9" t="s">
        <v>3944</v>
      </c>
      <c r="B25" s="9" t="s">
        <v>2920</v>
      </c>
      <c r="C25" s="9" t="s">
        <v>1044</v>
      </c>
      <c r="D25" s="9" t="s">
        <v>188</v>
      </c>
      <c r="E25" s="9" t="s">
        <v>87</v>
      </c>
      <c r="F25" s="9" t="s">
        <v>1330</v>
      </c>
      <c r="G25" s="28" t="s">
        <v>3945</v>
      </c>
      <c r="H25" s="9" t="s">
        <v>90</v>
      </c>
      <c r="I25" s="9" t="s">
        <v>3946</v>
      </c>
      <c r="J25" s="9" t="s">
        <v>3947</v>
      </c>
      <c r="K25" s="9" t="s">
        <v>3948</v>
      </c>
      <c r="L25" s="9" t="s">
        <v>3949</v>
      </c>
      <c r="M25" s="9" t="s">
        <v>3950</v>
      </c>
      <c r="N25" s="9" t="s">
        <v>3951</v>
      </c>
      <c r="O25" s="9" t="s">
        <v>97</v>
      </c>
      <c r="P25" s="9" t="s">
        <v>3952</v>
      </c>
      <c r="Q25" s="9" t="s">
        <v>99</v>
      </c>
      <c r="R25" s="9" t="s">
        <v>3953</v>
      </c>
      <c r="S25" s="9" t="s">
        <v>3954</v>
      </c>
      <c r="T25" s="9" t="s">
        <v>3955</v>
      </c>
      <c r="U25" s="9" t="s">
        <v>3956</v>
      </c>
      <c r="V25" s="9" t="s">
        <v>3957</v>
      </c>
      <c r="W25" s="9" t="s">
        <v>3958</v>
      </c>
      <c r="X25" s="9" t="s">
        <v>3959</v>
      </c>
      <c r="Y25" s="9" t="s">
        <v>3960</v>
      </c>
      <c r="Z25" s="9" t="s">
        <v>3961</v>
      </c>
      <c r="AA25" s="9" t="s">
        <v>3962</v>
      </c>
      <c r="AB25" s="9" t="s">
        <v>3963</v>
      </c>
      <c r="AC25" s="9" t="s">
        <v>3964</v>
      </c>
      <c r="AD25" s="9" t="s">
        <v>3965</v>
      </c>
      <c r="AE25" s="9" t="s">
        <v>3966</v>
      </c>
      <c r="AF25" s="9" t="s">
        <v>3967</v>
      </c>
      <c r="AG25" s="9" t="s">
        <v>3968</v>
      </c>
      <c r="AH25" s="9" t="s">
        <v>3969</v>
      </c>
      <c r="AI25" s="9" t="s">
        <v>3970</v>
      </c>
      <c r="AJ25" s="9" t="s">
        <v>3971</v>
      </c>
      <c r="AK25" s="9" t="s">
        <v>3972</v>
      </c>
      <c r="AL25" s="9" t="s">
        <v>3973</v>
      </c>
      <c r="AM25" s="9" t="s">
        <v>3974</v>
      </c>
      <c r="AN25" s="9" t="s">
        <v>3975</v>
      </c>
      <c r="AO25" s="9" t="s">
        <v>3976</v>
      </c>
      <c r="AP25" s="9" t="s">
        <v>3977</v>
      </c>
      <c r="AQ25" s="9" t="s">
        <v>3978</v>
      </c>
      <c r="AR25" s="9" t="s">
        <v>3979</v>
      </c>
      <c r="AS25" s="9" t="s">
        <v>3980</v>
      </c>
      <c r="AT25" s="9" t="s">
        <v>177</v>
      </c>
      <c r="AU25" s="9" t="s">
        <v>3981</v>
      </c>
      <c r="AV25" s="9" t="s">
        <v>3982</v>
      </c>
      <c r="AW25" s="9" t="s">
        <v>3983</v>
      </c>
      <c r="AX25" s="9" t="s">
        <v>3984</v>
      </c>
      <c r="AY25" s="9" t="s">
        <v>3985</v>
      </c>
      <c r="AZ25" s="9" t="s">
        <v>3986</v>
      </c>
      <c r="BA25" s="9" t="s">
        <v>3987</v>
      </c>
      <c r="BB25" s="9" t="s">
        <v>3988</v>
      </c>
      <c r="BC25" s="9" t="s">
        <v>3989</v>
      </c>
      <c r="BD25" s="9" t="s">
        <v>3990</v>
      </c>
      <c r="BE25" s="29"/>
      <c r="BF25" s="29"/>
      <c r="BG25" s="29"/>
      <c r="BH25" s="29"/>
      <c r="BI25" s="29"/>
      <c r="BJ25" s="29"/>
      <c r="BK25" s="29"/>
      <c r="BL25" s="29"/>
    </row>
    <row r="26" customFormat="false" ht="128.35" hidden="false" customHeight="false" outlineLevel="0" collapsed="false">
      <c r="A26" s="9" t="s">
        <v>3991</v>
      </c>
      <c r="B26" s="9" t="s">
        <v>2920</v>
      </c>
      <c r="C26" s="9" t="s">
        <v>1044</v>
      </c>
      <c r="D26" s="9" t="s">
        <v>188</v>
      </c>
      <c r="E26" s="9" t="s">
        <v>87</v>
      </c>
      <c r="F26" s="9" t="s">
        <v>1140</v>
      </c>
      <c r="G26" s="28" t="s">
        <v>3992</v>
      </c>
      <c r="H26" s="9" t="s">
        <v>90</v>
      </c>
      <c r="I26" s="9" t="s">
        <v>3993</v>
      </c>
      <c r="J26" s="9" t="s">
        <v>3994</v>
      </c>
      <c r="K26" s="9" t="s">
        <v>3995</v>
      </c>
      <c r="L26" s="9" t="s">
        <v>3996</v>
      </c>
      <c r="M26" s="9" t="s">
        <v>3997</v>
      </c>
      <c r="N26" s="9" t="s">
        <v>3998</v>
      </c>
      <c r="O26" s="9" t="s">
        <v>97</v>
      </c>
      <c r="P26" s="9" t="s">
        <v>3999</v>
      </c>
      <c r="Q26" s="9" t="s">
        <v>291</v>
      </c>
      <c r="R26" s="9" t="s">
        <v>4000</v>
      </c>
      <c r="S26" s="9" t="s">
        <v>4001</v>
      </c>
      <c r="T26" s="9" t="s">
        <v>4002</v>
      </c>
      <c r="U26" s="9" t="s">
        <v>4003</v>
      </c>
      <c r="V26" s="9" t="s">
        <v>4004</v>
      </c>
      <c r="W26" s="9" t="s">
        <v>4005</v>
      </c>
      <c r="X26" s="9" t="s">
        <v>4006</v>
      </c>
      <c r="Y26" s="9" t="s">
        <v>4007</v>
      </c>
      <c r="Z26" s="9" t="s">
        <v>4008</v>
      </c>
      <c r="AA26" s="9" t="s">
        <v>4009</v>
      </c>
      <c r="AB26" s="9" t="s">
        <v>4010</v>
      </c>
      <c r="AC26" s="9" t="s">
        <v>4011</v>
      </c>
      <c r="AD26" s="9" t="s">
        <v>4012</v>
      </c>
      <c r="AE26" s="9" t="s">
        <v>4013</v>
      </c>
      <c r="AF26" s="9" t="s">
        <v>4014</v>
      </c>
      <c r="AG26" s="9" t="s">
        <v>4015</v>
      </c>
      <c r="AH26" s="9" t="s">
        <v>4016</v>
      </c>
      <c r="AI26" s="9" t="s">
        <v>4017</v>
      </c>
      <c r="AJ26" s="9" t="s">
        <v>4018</v>
      </c>
      <c r="AK26" s="9" t="s">
        <v>4019</v>
      </c>
      <c r="AL26" s="9" t="s">
        <v>4020</v>
      </c>
      <c r="AM26" s="9" t="s">
        <v>4021</v>
      </c>
      <c r="AN26" s="9" t="s">
        <v>4022</v>
      </c>
      <c r="AO26" s="9" t="s">
        <v>4023</v>
      </c>
      <c r="AP26" s="9" t="s">
        <v>4024</v>
      </c>
      <c r="AQ26" s="9" t="s">
        <v>888</v>
      </c>
      <c r="AR26" s="9" t="s">
        <v>4025</v>
      </c>
      <c r="AS26" s="9" t="s">
        <v>4026</v>
      </c>
      <c r="AT26" s="9" t="s">
        <v>128</v>
      </c>
      <c r="AU26" s="9" t="s">
        <v>4027</v>
      </c>
      <c r="AV26" s="9" t="s">
        <v>4028</v>
      </c>
      <c r="AW26" s="9" t="s">
        <v>4029</v>
      </c>
      <c r="AX26" s="9" t="s">
        <v>4030</v>
      </c>
      <c r="AY26" s="9" t="s">
        <v>4031</v>
      </c>
      <c r="AZ26" s="9" t="s">
        <v>4032</v>
      </c>
      <c r="BA26" s="9" t="s">
        <v>4033</v>
      </c>
      <c r="BB26" s="9" t="s">
        <v>4034</v>
      </c>
      <c r="BC26" s="9" t="s">
        <v>4035</v>
      </c>
      <c r="BD26" s="9" t="s">
        <v>4036</v>
      </c>
      <c r="BE26" s="29"/>
      <c r="BF26" s="29"/>
      <c r="BG26" s="29"/>
      <c r="BH26" s="29"/>
      <c r="BI26" s="29"/>
      <c r="BJ26" s="29"/>
      <c r="BK26" s="29"/>
      <c r="BL26" s="29"/>
    </row>
    <row r="27" customFormat="false" ht="128.35" hidden="false" customHeight="false" outlineLevel="0" collapsed="false">
      <c r="A27" s="9" t="s">
        <v>4037</v>
      </c>
      <c r="B27" s="9" t="s">
        <v>2920</v>
      </c>
      <c r="C27" s="9" t="s">
        <v>1044</v>
      </c>
      <c r="D27" s="9" t="s">
        <v>188</v>
      </c>
      <c r="E27" s="9" t="s">
        <v>87</v>
      </c>
      <c r="F27" s="9" t="s">
        <v>1330</v>
      </c>
      <c r="G27" s="28" t="s">
        <v>4038</v>
      </c>
      <c r="H27" s="9" t="s">
        <v>90</v>
      </c>
      <c r="I27" s="9" t="s">
        <v>4039</v>
      </c>
      <c r="J27" s="9" t="s">
        <v>4040</v>
      </c>
      <c r="K27" s="9" t="s">
        <v>4041</v>
      </c>
      <c r="L27" s="9" t="s">
        <v>4042</v>
      </c>
      <c r="M27" s="9" t="s">
        <v>4043</v>
      </c>
      <c r="N27" s="9" t="s">
        <v>4044</v>
      </c>
      <c r="O27" s="9" t="s">
        <v>97</v>
      </c>
      <c r="P27" s="9" t="s">
        <v>4045</v>
      </c>
      <c r="Q27" s="9" t="s">
        <v>99</v>
      </c>
      <c r="R27" s="9" t="s">
        <v>4046</v>
      </c>
      <c r="S27" s="9" t="s">
        <v>4047</v>
      </c>
      <c r="T27" s="9" t="s">
        <v>4048</v>
      </c>
      <c r="U27" s="9" t="s">
        <v>4049</v>
      </c>
      <c r="V27" s="9" t="s">
        <v>4050</v>
      </c>
      <c r="W27" s="9" t="s">
        <v>4051</v>
      </c>
      <c r="X27" s="9" t="s">
        <v>4052</v>
      </c>
      <c r="Y27" s="9" t="s">
        <v>4053</v>
      </c>
      <c r="Z27" s="9" t="s">
        <v>4054</v>
      </c>
      <c r="AA27" s="9" t="s">
        <v>4055</v>
      </c>
      <c r="AB27" s="9" t="s">
        <v>4056</v>
      </c>
      <c r="AC27" s="9" t="s">
        <v>4057</v>
      </c>
      <c r="AD27" s="9" t="s">
        <v>4058</v>
      </c>
      <c r="AE27" s="9" t="s">
        <v>4059</v>
      </c>
      <c r="AF27" s="9" t="s">
        <v>4060</v>
      </c>
      <c r="AG27" s="9" t="s">
        <v>4061</v>
      </c>
      <c r="AH27" s="9" t="s">
        <v>4062</v>
      </c>
      <c r="AI27" s="9" t="s">
        <v>4063</v>
      </c>
      <c r="AJ27" s="9" t="s">
        <v>4064</v>
      </c>
      <c r="AK27" s="9" t="s">
        <v>4065</v>
      </c>
      <c r="AL27" s="9" t="s">
        <v>4066</v>
      </c>
      <c r="AM27" s="9" t="s">
        <v>4067</v>
      </c>
      <c r="AN27" s="9" t="s">
        <v>4068</v>
      </c>
      <c r="AO27" s="9" t="s">
        <v>4069</v>
      </c>
      <c r="AP27" s="9" t="s">
        <v>4070</v>
      </c>
      <c r="AQ27" s="9" t="s">
        <v>1268</v>
      </c>
      <c r="AR27" s="9" t="s">
        <v>4071</v>
      </c>
      <c r="AS27" s="9" t="s">
        <v>4072</v>
      </c>
      <c r="AT27" s="9" t="s">
        <v>128</v>
      </c>
      <c r="AU27" s="9" t="s">
        <v>4073</v>
      </c>
      <c r="AV27" s="9" t="s">
        <v>4074</v>
      </c>
      <c r="AW27" s="9" t="s">
        <v>4075</v>
      </c>
      <c r="AX27" s="9" t="s">
        <v>4076</v>
      </c>
      <c r="AY27" s="9" t="s">
        <v>4077</v>
      </c>
      <c r="AZ27" s="9" t="s">
        <v>4078</v>
      </c>
      <c r="BA27" s="9" t="s">
        <v>4079</v>
      </c>
      <c r="BB27" s="9" t="s">
        <v>4080</v>
      </c>
      <c r="BC27" s="9" t="s">
        <v>4081</v>
      </c>
      <c r="BD27" s="9" t="s">
        <v>4082</v>
      </c>
      <c r="BE27" s="29"/>
      <c r="BF27" s="29"/>
      <c r="BG27" s="29"/>
      <c r="BH27" s="29"/>
      <c r="BI27" s="29"/>
      <c r="BJ27" s="29"/>
      <c r="BK27" s="29"/>
      <c r="BL27" s="29"/>
    </row>
    <row r="28" customFormat="false" ht="153.7" hidden="false" customHeight="false" outlineLevel="0" collapsed="false">
      <c r="A28" s="9" t="s">
        <v>4083</v>
      </c>
      <c r="B28" s="9" t="s">
        <v>2920</v>
      </c>
      <c r="C28" s="9" t="s">
        <v>1044</v>
      </c>
      <c r="D28" s="9" t="s">
        <v>1092</v>
      </c>
      <c r="E28" s="9" t="s">
        <v>87</v>
      </c>
      <c r="F28" s="9" t="s">
        <v>426</v>
      </c>
      <c r="G28" s="28" t="s">
        <v>4084</v>
      </c>
      <c r="H28" s="9" t="s">
        <v>90</v>
      </c>
      <c r="I28" s="9" t="s">
        <v>4085</v>
      </c>
      <c r="J28" s="9" t="s">
        <v>4086</v>
      </c>
      <c r="K28" s="9" t="s">
        <v>4087</v>
      </c>
      <c r="L28" s="9" t="s">
        <v>4088</v>
      </c>
      <c r="M28" s="9" t="s">
        <v>4089</v>
      </c>
      <c r="N28" s="9" t="s">
        <v>4090</v>
      </c>
      <c r="O28" s="9" t="s">
        <v>575</v>
      </c>
      <c r="P28" s="9" t="s">
        <v>4091</v>
      </c>
      <c r="Q28" s="9" t="s">
        <v>99</v>
      </c>
      <c r="R28" s="9" t="s">
        <v>4092</v>
      </c>
      <c r="S28" s="9" t="s">
        <v>4093</v>
      </c>
      <c r="T28" s="9" t="s">
        <v>4094</v>
      </c>
      <c r="U28" s="9" t="s">
        <v>4095</v>
      </c>
      <c r="V28" s="9" t="s">
        <v>4096</v>
      </c>
      <c r="W28" s="9" t="s">
        <v>4097</v>
      </c>
      <c r="X28" s="9" t="s">
        <v>4098</v>
      </c>
      <c r="Y28" s="9" t="s">
        <v>4099</v>
      </c>
      <c r="Z28" s="9" t="s">
        <v>4100</v>
      </c>
      <c r="AA28" s="9" t="s">
        <v>4101</v>
      </c>
      <c r="AB28" s="9" t="s">
        <v>4102</v>
      </c>
      <c r="AC28" s="9" t="s">
        <v>4103</v>
      </c>
      <c r="AD28" s="9" t="s">
        <v>4104</v>
      </c>
      <c r="AE28" s="9" t="s">
        <v>4105</v>
      </c>
      <c r="AF28" s="9" t="s">
        <v>4106</v>
      </c>
      <c r="AG28" s="9" t="s">
        <v>4107</v>
      </c>
      <c r="AH28" s="9" t="s">
        <v>4108</v>
      </c>
      <c r="AI28" s="9" t="s">
        <v>4109</v>
      </c>
      <c r="AJ28" s="9" t="s">
        <v>4110</v>
      </c>
      <c r="AK28" s="9" t="s">
        <v>4111</v>
      </c>
      <c r="AL28" s="9" t="s">
        <v>4112</v>
      </c>
      <c r="AM28" s="9" t="s">
        <v>4113</v>
      </c>
      <c r="AN28" s="9" t="s">
        <v>4114</v>
      </c>
      <c r="AO28" s="9" t="s">
        <v>4115</v>
      </c>
      <c r="AP28" s="9" t="s">
        <v>4116</v>
      </c>
      <c r="AQ28" s="9" t="s">
        <v>888</v>
      </c>
      <c r="AR28" s="9" t="s">
        <v>4117</v>
      </c>
      <c r="AS28" s="9" t="s">
        <v>4118</v>
      </c>
      <c r="AT28" s="9" t="s">
        <v>177</v>
      </c>
      <c r="AU28" s="9" t="s">
        <v>4119</v>
      </c>
      <c r="AV28" s="9" t="s">
        <v>4120</v>
      </c>
      <c r="AW28" s="9" t="s">
        <v>4121</v>
      </c>
      <c r="AX28" s="9" t="s">
        <v>4122</v>
      </c>
      <c r="AY28" s="9" t="s">
        <v>4123</v>
      </c>
      <c r="AZ28" s="9" t="s">
        <v>4124</v>
      </c>
      <c r="BA28" s="9" t="s">
        <v>4125</v>
      </c>
      <c r="BB28" s="9" t="s">
        <v>4126</v>
      </c>
      <c r="BC28" s="9" t="s">
        <v>4127</v>
      </c>
      <c r="BD28" s="9" t="s">
        <v>4128</v>
      </c>
      <c r="BE28" s="29"/>
      <c r="BF28" s="29"/>
      <c r="BG28" s="29"/>
      <c r="BH28" s="29"/>
      <c r="BI28" s="29"/>
      <c r="BJ28" s="29"/>
      <c r="BK28" s="29"/>
      <c r="BL28" s="29"/>
    </row>
    <row r="29" customFormat="false" ht="128.35" hidden="false" customHeight="false" outlineLevel="0" collapsed="false">
      <c r="A29" s="9" t="s">
        <v>4129</v>
      </c>
      <c r="B29" s="9" t="s">
        <v>2920</v>
      </c>
      <c r="C29" s="9" t="s">
        <v>1044</v>
      </c>
      <c r="D29" s="9" t="s">
        <v>188</v>
      </c>
      <c r="E29" s="9" t="s">
        <v>87</v>
      </c>
      <c r="F29" s="9" t="s">
        <v>4130</v>
      </c>
      <c r="G29" s="28" t="s">
        <v>4131</v>
      </c>
      <c r="H29" s="9" t="s">
        <v>90</v>
      </c>
      <c r="I29" s="9" t="s">
        <v>4132</v>
      </c>
      <c r="J29" s="9" t="s">
        <v>4133</v>
      </c>
      <c r="K29" s="9" t="s">
        <v>4134</v>
      </c>
      <c r="L29" s="9" t="s">
        <v>4135</v>
      </c>
      <c r="M29" s="9" t="s">
        <v>4136</v>
      </c>
      <c r="N29" s="9" t="s">
        <v>4137</v>
      </c>
      <c r="O29" s="9" t="s">
        <v>575</v>
      </c>
      <c r="P29" s="9" t="s">
        <v>4138</v>
      </c>
      <c r="Q29" s="9" t="s">
        <v>291</v>
      </c>
      <c r="R29" s="9" t="s">
        <v>4139</v>
      </c>
      <c r="S29" s="9" t="s">
        <v>4140</v>
      </c>
      <c r="T29" s="9" t="s">
        <v>4141</v>
      </c>
      <c r="U29" s="9" t="s">
        <v>4142</v>
      </c>
      <c r="V29" s="9" t="s">
        <v>4143</v>
      </c>
      <c r="W29" s="9" t="s">
        <v>4144</v>
      </c>
      <c r="X29" s="9" t="s">
        <v>4145</v>
      </c>
      <c r="Y29" s="9" t="s">
        <v>4146</v>
      </c>
      <c r="Z29" s="9" t="s">
        <v>4147</v>
      </c>
      <c r="AA29" s="9" t="s">
        <v>4148</v>
      </c>
      <c r="AB29" s="9" t="s">
        <v>4149</v>
      </c>
      <c r="AC29" s="9" t="s">
        <v>4150</v>
      </c>
      <c r="AD29" s="9" t="s">
        <v>4151</v>
      </c>
      <c r="AE29" s="9" t="s">
        <v>4152</v>
      </c>
      <c r="AF29" s="9" t="s">
        <v>4153</v>
      </c>
      <c r="AG29" s="9" t="s">
        <v>4154</v>
      </c>
      <c r="AH29" s="9" t="s">
        <v>4155</v>
      </c>
      <c r="AI29" s="9" t="s">
        <v>4156</v>
      </c>
      <c r="AJ29" s="9" t="s">
        <v>4157</v>
      </c>
      <c r="AK29" s="9" t="s">
        <v>4158</v>
      </c>
      <c r="AL29" s="9" t="s">
        <v>4159</v>
      </c>
      <c r="AM29" s="9" t="s">
        <v>4160</v>
      </c>
      <c r="AN29" s="9" t="s">
        <v>4161</v>
      </c>
      <c r="AO29" s="9" t="s">
        <v>4162</v>
      </c>
      <c r="AP29" s="9" t="s">
        <v>4163</v>
      </c>
      <c r="AQ29" s="9" t="s">
        <v>4164</v>
      </c>
      <c r="AR29" s="9" t="s">
        <v>4165</v>
      </c>
      <c r="AS29" s="9" t="s">
        <v>4166</v>
      </c>
      <c r="AT29" s="9" t="s">
        <v>177</v>
      </c>
      <c r="AU29" s="9" t="s">
        <v>4167</v>
      </c>
      <c r="AV29" s="9" t="s">
        <v>4168</v>
      </c>
      <c r="AW29" s="9" t="s">
        <v>4169</v>
      </c>
      <c r="AX29" s="9" t="s">
        <v>4170</v>
      </c>
      <c r="AY29" s="9" t="s">
        <v>4171</v>
      </c>
      <c r="AZ29" s="9" t="s">
        <v>4172</v>
      </c>
      <c r="BA29" s="9" t="s">
        <v>4173</v>
      </c>
      <c r="BB29" s="9" t="s">
        <v>4174</v>
      </c>
      <c r="BC29" s="9" t="s">
        <v>4175</v>
      </c>
      <c r="BD29" s="9" t="s">
        <v>4176</v>
      </c>
      <c r="BE29" s="29"/>
      <c r="BF29" s="29"/>
      <c r="BG29" s="29"/>
      <c r="BH29" s="29"/>
      <c r="BI29" s="29"/>
      <c r="BJ29" s="29"/>
      <c r="BK29" s="29"/>
      <c r="BL29" s="29"/>
    </row>
    <row r="30" customFormat="false" ht="153.7" hidden="false" customHeight="false" outlineLevel="0" collapsed="false">
      <c r="A30" s="9" t="s">
        <v>4177</v>
      </c>
      <c r="B30" s="9" t="s">
        <v>2920</v>
      </c>
      <c r="C30" s="9" t="s">
        <v>1044</v>
      </c>
      <c r="D30" s="9" t="s">
        <v>1092</v>
      </c>
      <c r="E30" s="9" t="s">
        <v>87</v>
      </c>
      <c r="F30" s="9" t="s">
        <v>1378</v>
      </c>
      <c r="G30" s="28" t="s">
        <v>4178</v>
      </c>
      <c r="H30" s="9" t="s">
        <v>90</v>
      </c>
      <c r="I30" s="9" t="s">
        <v>4179</v>
      </c>
      <c r="J30" s="9" t="s">
        <v>4180</v>
      </c>
      <c r="K30" s="9" t="s">
        <v>4181</v>
      </c>
      <c r="L30" s="9" t="s">
        <v>4182</v>
      </c>
      <c r="M30" s="9" t="s">
        <v>4183</v>
      </c>
      <c r="N30" s="9" t="s">
        <v>4184</v>
      </c>
      <c r="O30" s="9" t="s">
        <v>97</v>
      </c>
      <c r="P30" s="9" t="s">
        <v>4185</v>
      </c>
      <c r="Q30" s="9" t="s">
        <v>99</v>
      </c>
      <c r="R30" s="9" t="s">
        <v>4186</v>
      </c>
      <c r="S30" s="9" t="s">
        <v>4187</v>
      </c>
      <c r="T30" s="9" t="s">
        <v>4188</v>
      </c>
      <c r="U30" s="9" t="s">
        <v>4189</v>
      </c>
      <c r="V30" s="9" t="s">
        <v>4190</v>
      </c>
      <c r="W30" s="9" t="s">
        <v>4191</v>
      </c>
      <c r="X30" s="9" t="s">
        <v>4192</v>
      </c>
      <c r="Y30" s="9" t="s">
        <v>4193</v>
      </c>
      <c r="Z30" s="9" t="s">
        <v>4194</v>
      </c>
      <c r="AA30" s="9" t="s">
        <v>4195</v>
      </c>
      <c r="AB30" s="9" t="s">
        <v>4196</v>
      </c>
      <c r="AC30" s="9" t="s">
        <v>4197</v>
      </c>
      <c r="AD30" s="9" t="s">
        <v>4198</v>
      </c>
      <c r="AE30" s="9" t="s">
        <v>4199</v>
      </c>
      <c r="AF30" s="9" t="s">
        <v>4200</v>
      </c>
      <c r="AG30" s="9" t="s">
        <v>4201</v>
      </c>
      <c r="AH30" s="9" t="s">
        <v>4202</v>
      </c>
      <c r="AI30" s="9" t="s">
        <v>4203</v>
      </c>
      <c r="AJ30" s="9" t="s">
        <v>4204</v>
      </c>
      <c r="AK30" s="9" t="s">
        <v>4205</v>
      </c>
      <c r="AL30" s="9" t="s">
        <v>4206</v>
      </c>
      <c r="AM30" s="9" t="s">
        <v>4207</v>
      </c>
      <c r="AN30" s="9" t="s">
        <v>4208</v>
      </c>
      <c r="AO30" s="9" t="s">
        <v>4209</v>
      </c>
      <c r="AP30" s="9" t="s">
        <v>4210</v>
      </c>
      <c r="AQ30" s="9" t="s">
        <v>2162</v>
      </c>
      <c r="AR30" s="9" t="s">
        <v>4211</v>
      </c>
      <c r="AS30" s="9" t="s">
        <v>4212</v>
      </c>
      <c r="AT30" s="9" t="s">
        <v>177</v>
      </c>
      <c r="AU30" s="9" t="s">
        <v>4213</v>
      </c>
      <c r="AV30" s="9" t="s">
        <v>4214</v>
      </c>
      <c r="AW30" s="9" t="s">
        <v>4215</v>
      </c>
      <c r="AX30" s="9" t="s">
        <v>4216</v>
      </c>
      <c r="AY30" s="9" t="s">
        <v>4217</v>
      </c>
      <c r="AZ30" s="9" t="s">
        <v>4218</v>
      </c>
      <c r="BA30" s="9" t="s">
        <v>4219</v>
      </c>
      <c r="BB30" s="9" t="s">
        <v>4220</v>
      </c>
      <c r="BC30" s="9" t="s">
        <v>4221</v>
      </c>
      <c r="BD30" s="9" t="s">
        <v>4222</v>
      </c>
      <c r="BE30" s="29"/>
      <c r="BF30" s="29"/>
      <c r="BG30" s="29"/>
      <c r="BH30" s="29"/>
      <c r="BI30" s="29"/>
      <c r="BJ30" s="29"/>
      <c r="BK30" s="29"/>
      <c r="BL30" s="29"/>
    </row>
    <row r="31" customFormat="false" ht="128.35" hidden="false" customHeight="false" outlineLevel="0" collapsed="false">
      <c r="A31" s="9" t="s">
        <v>4223</v>
      </c>
      <c r="B31" s="9" t="s">
        <v>2920</v>
      </c>
      <c r="C31" s="9" t="s">
        <v>1044</v>
      </c>
      <c r="D31" s="9" t="s">
        <v>188</v>
      </c>
      <c r="E31" s="9" t="s">
        <v>87</v>
      </c>
      <c r="F31" s="9" t="s">
        <v>662</v>
      </c>
      <c r="G31" s="28" t="s">
        <v>4224</v>
      </c>
      <c r="H31" s="9" t="s">
        <v>90</v>
      </c>
      <c r="I31" s="9" t="s">
        <v>4225</v>
      </c>
      <c r="J31" s="9" t="s">
        <v>4226</v>
      </c>
      <c r="K31" s="9" t="s">
        <v>4227</v>
      </c>
      <c r="L31" s="9" t="s">
        <v>4228</v>
      </c>
      <c r="M31" s="9" t="s">
        <v>4229</v>
      </c>
      <c r="N31" s="9" t="s">
        <v>4230</v>
      </c>
      <c r="O31" s="9" t="s">
        <v>575</v>
      </c>
      <c r="P31" s="9" t="s">
        <v>4231</v>
      </c>
      <c r="Q31" s="9" t="s">
        <v>99</v>
      </c>
      <c r="R31" s="9" t="s">
        <v>4232</v>
      </c>
      <c r="S31" s="9" t="s">
        <v>4233</v>
      </c>
      <c r="T31" s="9" t="s">
        <v>4234</v>
      </c>
      <c r="U31" s="9" t="s">
        <v>4235</v>
      </c>
      <c r="V31" s="9" t="s">
        <v>4236</v>
      </c>
      <c r="W31" s="9" t="s">
        <v>4237</v>
      </c>
      <c r="X31" s="9" t="s">
        <v>4238</v>
      </c>
      <c r="Y31" s="9" t="s">
        <v>4239</v>
      </c>
      <c r="Z31" s="9" t="s">
        <v>4240</v>
      </c>
      <c r="AA31" s="9" t="s">
        <v>4241</v>
      </c>
      <c r="AB31" s="9" t="s">
        <v>4242</v>
      </c>
      <c r="AC31" s="9" t="s">
        <v>4243</v>
      </c>
      <c r="AD31" s="9" t="s">
        <v>4244</v>
      </c>
      <c r="AE31" s="9" t="s">
        <v>4245</v>
      </c>
      <c r="AF31" s="9" t="s">
        <v>4246</v>
      </c>
      <c r="AG31" s="9" t="s">
        <v>4247</v>
      </c>
      <c r="AH31" s="9" t="s">
        <v>4248</v>
      </c>
      <c r="AI31" s="9" t="s">
        <v>4249</v>
      </c>
      <c r="AJ31" s="9" t="s">
        <v>4250</v>
      </c>
      <c r="AK31" s="9" t="s">
        <v>4251</v>
      </c>
      <c r="AL31" s="9" t="s">
        <v>4252</v>
      </c>
      <c r="AM31" s="9" t="s">
        <v>4253</v>
      </c>
      <c r="AN31" s="9" t="s">
        <v>4254</v>
      </c>
      <c r="AO31" s="9" t="s">
        <v>4255</v>
      </c>
      <c r="AP31" s="9" t="s">
        <v>4256</v>
      </c>
      <c r="AQ31" s="9" t="s">
        <v>4257</v>
      </c>
      <c r="AR31" s="9" t="s">
        <v>4258</v>
      </c>
      <c r="AS31" s="9" t="s">
        <v>4259</v>
      </c>
      <c r="AT31" s="9" t="s">
        <v>699</v>
      </c>
      <c r="AU31" s="9" t="s">
        <v>4260</v>
      </c>
      <c r="AV31" s="9" t="s">
        <v>4261</v>
      </c>
      <c r="AW31" s="9" t="s">
        <v>4262</v>
      </c>
      <c r="AX31" s="9" t="s">
        <v>4263</v>
      </c>
      <c r="AY31" s="9" t="s">
        <v>4264</v>
      </c>
      <c r="AZ31" s="9" t="s">
        <v>4265</v>
      </c>
      <c r="BA31" s="9" t="s">
        <v>4266</v>
      </c>
      <c r="BB31" s="9" t="s">
        <v>4267</v>
      </c>
      <c r="BC31" s="9" t="s">
        <v>4268</v>
      </c>
      <c r="BD31" s="9" t="s">
        <v>4269</v>
      </c>
      <c r="BE31" s="29"/>
      <c r="BF31" s="29"/>
      <c r="BG31" s="29"/>
      <c r="BH31" s="29"/>
      <c r="BI31" s="29"/>
      <c r="BJ31" s="29"/>
      <c r="BK31" s="29"/>
      <c r="BL31" s="29"/>
    </row>
    <row r="32" customFormat="false" ht="128.35" hidden="false" customHeight="false" outlineLevel="0" collapsed="false">
      <c r="A32" s="9" t="s">
        <v>4270</v>
      </c>
      <c r="B32" s="9" t="s">
        <v>2920</v>
      </c>
      <c r="C32" s="9" t="s">
        <v>1044</v>
      </c>
      <c r="D32" s="9" t="s">
        <v>1092</v>
      </c>
      <c r="E32" s="9" t="s">
        <v>87</v>
      </c>
      <c r="F32" s="9" t="s">
        <v>236</v>
      </c>
      <c r="G32" s="28" t="s">
        <v>4271</v>
      </c>
      <c r="H32" s="9" t="s">
        <v>90</v>
      </c>
      <c r="I32" s="9" t="s">
        <v>4272</v>
      </c>
      <c r="J32" s="9" t="s">
        <v>4273</v>
      </c>
      <c r="K32" s="9" t="s">
        <v>4274</v>
      </c>
      <c r="L32" s="9" t="s">
        <v>4275</v>
      </c>
      <c r="M32" s="9" t="s">
        <v>4276</v>
      </c>
      <c r="N32" s="9" t="s">
        <v>4277</v>
      </c>
      <c r="O32" s="9" t="s">
        <v>97</v>
      </c>
      <c r="P32" s="9" t="s">
        <v>4278</v>
      </c>
      <c r="Q32" s="9" t="s">
        <v>291</v>
      </c>
      <c r="R32" s="9" t="s">
        <v>4279</v>
      </c>
      <c r="S32" s="9" t="s">
        <v>4280</v>
      </c>
      <c r="T32" s="9" t="s">
        <v>4281</v>
      </c>
      <c r="U32" s="9" t="s">
        <v>4282</v>
      </c>
      <c r="V32" s="9" t="s">
        <v>4283</v>
      </c>
      <c r="W32" s="9" t="s">
        <v>4284</v>
      </c>
      <c r="X32" s="9" t="s">
        <v>4285</v>
      </c>
      <c r="Y32" s="9" t="s">
        <v>4286</v>
      </c>
      <c r="Z32" s="9" t="s">
        <v>4287</v>
      </c>
      <c r="AA32" s="9" t="s">
        <v>4288</v>
      </c>
      <c r="AB32" s="9" t="s">
        <v>4289</v>
      </c>
      <c r="AC32" s="9" t="s">
        <v>4290</v>
      </c>
      <c r="AD32" s="9" t="s">
        <v>4291</v>
      </c>
      <c r="AE32" s="9" t="s">
        <v>4292</v>
      </c>
      <c r="AF32" s="9" t="s">
        <v>4293</v>
      </c>
      <c r="AG32" s="9" t="s">
        <v>4294</v>
      </c>
      <c r="AH32" s="9" t="s">
        <v>4295</v>
      </c>
      <c r="AI32" s="9" t="s">
        <v>4296</v>
      </c>
      <c r="AJ32" s="9" t="s">
        <v>4297</v>
      </c>
      <c r="AK32" s="9" t="s">
        <v>4298</v>
      </c>
      <c r="AL32" s="9" t="s">
        <v>4299</v>
      </c>
      <c r="AM32" s="9" t="s">
        <v>4300</v>
      </c>
      <c r="AN32" s="9" t="s">
        <v>4301</v>
      </c>
      <c r="AO32" s="9" t="s">
        <v>4302</v>
      </c>
      <c r="AP32" s="9" t="s">
        <v>4303</v>
      </c>
      <c r="AQ32" s="9" t="s">
        <v>983</v>
      </c>
      <c r="AR32" s="9" t="s">
        <v>4304</v>
      </c>
      <c r="AS32" s="9" t="s">
        <v>4305</v>
      </c>
      <c r="AT32" s="9" t="s">
        <v>414</v>
      </c>
      <c r="AU32" s="9" t="s">
        <v>4306</v>
      </c>
      <c r="AV32" s="9" t="s">
        <v>4307</v>
      </c>
      <c r="AW32" s="9" t="s">
        <v>4308</v>
      </c>
      <c r="AX32" s="9" t="s">
        <v>4309</v>
      </c>
      <c r="AY32" s="9" t="s">
        <v>4310</v>
      </c>
      <c r="AZ32" s="9" t="s">
        <v>4311</v>
      </c>
      <c r="BA32" s="9" t="s">
        <v>4312</v>
      </c>
      <c r="BB32" s="9" t="s">
        <v>4313</v>
      </c>
      <c r="BC32" s="9" t="s">
        <v>4314</v>
      </c>
      <c r="BD32" s="9" t="s">
        <v>4315</v>
      </c>
      <c r="BE32" s="29"/>
      <c r="BF32" s="29"/>
      <c r="BG32" s="29"/>
      <c r="BH32" s="29"/>
      <c r="BI32" s="29"/>
      <c r="BJ32" s="29"/>
      <c r="BK32" s="29"/>
      <c r="BL32" s="29"/>
    </row>
    <row r="33" customFormat="false" ht="128.35" hidden="false" customHeight="false" outlineLevel="0" collapsed="false">
      <c r="A33" s="9" t="s">
        <v>4316</v>
      </c>
      <c r="B33" s="9" t="s">
        <v>2920</v>
      </c>
      <c r="C33" s="9" t="s">
        <v>1044</v>
      </c>
      <c r="D33" s="9" t="s">
        <v>188</v>
      </c>
      <c r="E33" s="9" t="s">
        <v>87</v>
      </c>
      <c r="F33" s="9" t="s">
        <v>662</v>
      </c>
      <c r="G33" s="28" t="s">
        <v>4317</v>
      </c>
      <c r="H33" s="9" t="s">
        <v>90</v>
      </c>
      <c r="I33" s="9" t="s">
        <v>4318</v>
      </c>
      <c r="J33" s="9" t="s">
        <v>4319</v>
      </c>
      <c r="K33" s="9" t="s">
        <v>4320</v>
      </c>
      <c r="L33" s="9" t="s">
        <v>4321</v>
      </c>
      <c r="M33" s="9" t="s">
        <v>4322</v>
      </c>
      <c r="N33" s="9" t="s">
        <v>4323</v>
      </c>
      <c r="O33" s="9" t="s">
        <v>575</v>
      </c>
      <c r="P33" s="9" t="s">
        <v>4324</v>
      </c>
      <c r="Q33" s="9" t="s">
        <v>291</v>
      </c>
      <c r="R33" s="9" t="s">
        <v>4325</v>
      </c>
      <c r="S33" s="9" t="s">
        <v>4326</v>
      </c>
      <c r="T33" s="9" t="s">
        <v>4327</v>
      </c>
      <c r="U33" s="9" t="s">
        <v>4328</v>
      </c>
      <c r="V33" s="9" t="s">
        <v>4329</v>
      </c>
      <c r="W33" s="9" t="s">
        <v>4330</v>
      </c>
      <c r="X33" s="9" t="s">
        <v>4331</v>
      </c>
      <c r="Y33" s="9" t="s">
        <v>4332</v>
      </c>
      <c r="Z33" s="9" t="s">
        <v>4333</v>
      </c>
      <c r="AA33" s="9" t="s">
        <v>4334</v>
      </c>
      <c r="AB33" s="9" t="s">
        <v>4335</v>
      </c>
      <c r="AC33" s="9" t="s">
        <v>4336</v>
      </c>
      <c r="AD33" s="9" t="s">
        <v>4337</v>
      </c>
      <c r="AE33" s="9" t="s">
        <v>4338</v>
      </c>
      <c r="AF33" s="9" t="s">
        <v>4339</v>
      </c>
      <c r="AG33" s="9" t="s">
        <v>4340</v>
      </c>
      <c r="AH33" s="9" t="s">
        <v>4341</v>
      </c>
      <c r="AI33" s="9" t="s">
        <v>4342</v>
      </c>
      <c r="AJ33" s="9" t="s">
        <v>4343</v>
      </c>
      <c r="AK33" s="9" t="s">
        <v>4344</v>
      </c>
      <c r="AL33" s="9" t="s">
        <v>4345</v>
      </c>
      <c r="AM33" s="9" t="s">
        <v>4346</v>
      </c>
      <c r="AN33" s="9" t="s">
        <v>4347</v>
      </c>
      <c r="AO33" s="9" t="s">
        <v>4348</v>
      </c>
      <c r="AP33" s="9" t="s">
        <v>4349</v>
      </c>
      <c r="AQ33" s="9" t="s">
        <v>4350</v>
      </c>
      <c r="AR33" s="9" t="s">
        <v>4351</v>
      </c>
      <c r="AS33" s="9" t="s">
        <v>4352</v>
      </c>
      <c r="AT33" s="9" t="s">
        <v>699</v>
      </c>
      <c r="AU33" s="9" t="s">
        <v>4353</v>
      </c>
      <c r="AV33" s="9" t="s">
        <v>4354</v>
      </c>
      <c r="AW33" s="9" t="s">
        <v>4355</v>
      </c>
      <c r="AX33" s="9" t="s">
        <v>4356</v>
      </c>
      <c r="AY33" s="9" t="s">
        <v>4357</v>
      </c>
      <c r="AZ33" s="9" t="s">
        <v>4358</v>
      </c>
      <c r="BA33" s="9" t="s">
        <v>4359</v>
      </c>
      <c r="BB33" s="9" t="s">
        <v>4360</v>
      </c>
      <c r="BC33" s="9" t="s">
        <v>4361</v>
      </c>
      <c r="BD33" s="9" t="s">
        <v>4362</v>
      </c>
      <c r="BE33" s="29"/>
      <c r="BF33" s="29"/>
      <c r="BG33" s="29"/>
      <c r="BH33" s="29"/>
      <c r="BI33" s="29"/>
      <c r="BJ33" s="29"/>
      <c r="BK33" s="29"/>
      <c r="BL33" s="29"/>
    </row>
    <row r="34" customFormat="false" ht="141" hidden="false" customHeight="false" outlineLevel="0" collapsed="false">
      <c r="A34" s="9" t="s">
        <v>4363</v>
      </c>
      <c r="B34" s="9" t="s">
        <v>2920</v>
      </c>
      <c r="C34" s="9" t="s">
        <v>1044</v>
      </c>
      <c r="D34" s="9" t="s">
        <v>188</v>
      </c>
      <c r="E34" s="9" t="s">
        <v>87</v>
      </c>
      <c r="F34" s="9" t="s">
        <v>662</v>
      </c>
      <c r="G34" s="28" t="s">
        <v>4364</v>
      </c>
      <c r="H34" s="9" t="s">
        <v>90</v>
      </c>
      <c r="I34" s="9" t="s">
        <v>4365</v>
      </c>
      <c r="J34" s="9" t="s">
        <v>4366</v>
      </c>
      <c r="K34" s="9" t="s">
        <v>4367</v>
      </c>
      <c r="L34" s="9" t="s">
        <v>4368</v>
      </c>
      <c r="M34" s="9" t="s">
        <v>4369</v>
      </c>
      <c r="N34" s="9" t="s">
        <v>4370</v>
      </c>
      <c r="O34" s="9" t="s">
        <v>575</v>
      </c>
      <c r="P34" s="9" t="s">
        <v>4371</v>
      </c>
      <c r="Q34" s="9" t="s">
        <v>957</v>
      </c>
      <c r="R34" s="9" t="s">
        <v>4372</v>
      </c>
      <c r="S34" s="9" t="s">
        <v>4373</v>
      </c>
      <c r="T34" s="9" t="s">
        <v>4374</v>
      </c>
      <c r="U34" s="9" t="s">
        <v>4375</v>
      </c>
      <c r="V34" s="9" t="s">
        <v>4376</v>
      </c>
      <c r="W34" s="9" t="s">
        <v>4377</v>
      </c>
      <c r="X34" s="9" t="s">
        <v>4378</v>
      </c>
      <c r="Y34" s="9" t="s">
        <v>4379</v>
      </c>
      <c r="Z34" s="9" t="s">
        <v>4380</v>
      </c>
      <c r="AA34" s="9" t="s">
        <v>4381</v>
      </c>
      <c r="AB34" s="9" t="s">
        <v>4382</v>
      </c>
      <c r="AC34" s="9" t="s">
        <v>4383</v>
      </c>
      <c r="AD34" s="9" t="s">
        <v>4384</v>
      </c>
      <c r="AE34" s="9" t="s">
        <v>4385</v>
      </c>
      <c r="AF34" s="9" t="s">
        <v>4386</v>
      </c>
      <c r="AG34" s="9" t="s">
        <v>4387</v>
      </c>
      <c r="AH34" s="9" t="s">
        <v>4388</v>
      </c>
      <c r="AI34" s="9" t="s">
        <v>4389</v>
      </c>
      <c r="AJ34" s="9" t="s">
        <v>4390</v>
      </c>
      <c r="AK34" s="9" t="s">
        <v>4391</v>
      </c>
      <c r="AL34" s="9" t="s">
        <v>4392</v>
      </c>
      <c r="AM34" s="9" t="s">
        <v>4393</v>
      </c>
      <c r="AN34" s="9" t="s">
        <v>4394</v>
      </c>
      <c r="AO34" s="9" t="s">
        <v>4395</v>
      </c>
      <c r="AP34" s="9" t="s">
        <v>4396</v>
      </c>
      <c r="AQ34" s="9" t="s">
        <v>2209</v>
      </c>
      <c r="AR34" s="9" t="s">
        <v>4397</v>
      </c>
      <c r="AS34" s="9" t="s">
        <v>4398</v>
      </c>
      <c r="AT34" s="9" t="s">
        <v>128</v>
      </c>
      <c r="AU34" s="9" t="s">
        <v>4399</v>
      </c>
      <c r="AV34" s="9" t="s">
        <v>4400</v>
      </c>
      <c r="AW34" s="9" t="s">
        <v>4401</v>
      </c>
      <c r="AX34" s="9" t="s">
        <v>4402</v>
      </c>
      <c r="AY34" s="9" t="s">
        <v>4403</v>
      </c>
      <c r="AZ34" s="9" t="s">
        <v>4404</v>
      </c>
      <c r="BA34" s="9" t="s">
        <v>4405</v>
      </c>
      <c r="BB34" s="9" t="s">
        <v>4406</v>
      </c>
      <c r="BC34" s="9" t="s">
        <v>4407</v>
      </c>
      <c r="BD34" s="9" t="s">
        <v>4408</v>
      </c>
      <c r="BE34" s="29"/>
      <c r="BF34" s="29"/>
      <c r="BG34" s="29"/>
      <c r="BH34" s="29"/>
      <c r="BI34" s="29"/>
      <c r="BJ34" s="29"/>
      <c r="BK34" s="29"/>
      <c r="BL34" s="29"/>
    </row>
    <row r="35" customFormat="false" ht="141" hidden="false" customHeight="false" outlineLevel="0" collapsed="false">
      <c r="A35" s="9" t="s">
        <v>4409</v>
      </c>
      <c r="B35" s="9" t="s">
        <v>2920</v>
      </c>
      <c r="C35" s="9" t="s">
        <v>1044</v>
      </c>
      <c r="D35" s="9" t="s">
        <v>188</v>
      </c>
      <c r="E35" s="9" t="s">
        <v>87</v>
      </c>
      <c r="F35" s="9" t="s">
        <v>1330</v>
      </c>
      <c r="G35" s="28" t="s">
        <v>4410</v>
      </c>
      <c r="H35" s="9" t="s">
        <v>90</v>
      </c>
      <c r="I35" s="9" t="s">
        <v>4411</v>
      </c>
      <c r="J35" s="9" t="s">
        <v>4412</v>
      </c>
      <c r="K35" s="9" t="s">
        <v>4413</v>
      </c>
      <c r="L35" s="9" t="s">
        <v>4414</v>
      </c>
      <c r="M35" s="9" t="s">
        <v>4415</v>
      </c>
      <c r="N35" s="9" t="s">
        <v>4416</v>
      </c>
      <c r="O35" s="9" t="s">
        <v>97</v>
      </c>
      <c r="P35" s="9" t="s">
        <v>4417</v>
      </c>
      <c r="Q35" s="9" t="s">
        <v>99</v>
      </c>
      <c r="R35" s="9" t="s">
        <v>4418</v>
      </c>
      <c r="S35" s="9" t="s">
        <v>4419</v>
      </c>
      <c r="T35" s="9" t="s">
        <v>4420</v>
      </c>
      <c r="U35" s="9" t="s">
        <v>4421</v>
      </c>
      <c r="V35" s="9" t="s">
        <v>4422</v>
      </c>
      <c r="W35" s="9" t="s">
        <v>4423</v>
      </c>
      <c r="X35" s="9" t="s">
        <v>4424</v>
      </c>
      <c r="Y35" s="9" t="s">
        <v>4425</v>
      </c>
      <c r="Z35" s="9" t="s">
        <v>4426</v>
      </c>
      <c r="AA35" s="9" t="s">
        <v>4427</v>
      </c>
      <c r="AB35" s="9" t="s">
        <v>4428</v>
      </c>
      <c r="AC35" s="9" t="s">
        <v>4429</v>
      </c>
      <c r="AD35" s="9" t="s">
        <v>4430</v>
      </c>
      <c r="AE35" s="9" t="s">
        <v>4431</v>
      </c>
      <c r="AF35" s="9" t="s">
        <v>4432</v>
      </c>
      <c r="AG35" s="9" t="s">
        <v>4433</v>
      </c>
      <c r="AH35" s="9" t="s">
        <v>4434</v>
      </c>
      <c r="AI35" s="9" t="s">
        <v>4435</v>
      </c>
      <c r="AJ35" s="9" t="s">
        <v>4436</v>
      </c>
      <c r="AK35" s="9" t="s">
        <v>4437</v>
      </c>
      <c r="AL35" s="9" t="s">
        <v>4438</v>
      </c>
      <c r="AM35" s="9" t="s">
        <v>4439</v>
      </c>
      <c r="AN35" s="9" t="s">
        <v>4440</v>
      </c>
      <c r="AO35" s="9" t="s">
        <v>4441</v>
      </c>
      <c r="AP35" s="9" t="s">
        <v>4442</v>
      </c>
      <c r="AQ35" s="9" t="s">
        <v>4443</v>
      </c>
      <c r="AR35" s="9" t="s">
        <v>4444</v>
      </c>
      <c r="AS35" s="9" t="s">
        <v>4445</v>
      </c>
      <c r="AT35" s="9" t="s">
        <v>128</v>
      </c>
      <c r="AU35" s="9" t="s">
        <v>4446</v>
      </c>
      <c r="AV35" s="9" t="s">
        <v>4447</v>
      </c>
      <c r="AW35" s="9" t="s">
        <v>4448</v>
      </c>
      <c r="AX35" s="9" t="s">
        <v>4449</v>
      </c>
      <c r="AY35" s="9" t="s">
        <v>4450</v>
      </c>
      <c r="AZ35" s="9" t="s">
        <v>4451</v>
      </c>
      <c r="BA35" s="9" t="s">
        <v>4452</v>
      </c>
      <c r="BB35" s="9" t="s">
        <v>4453</v>
      </c>
      <c r="BC35" s="9" t="s">
        <v>4454</v>
      </c>
      <c r="BD35" s="9" t="s">
        <v>4455</v>
      </c>
      <c r="BE35" s="29"/>
      <c r="BF35" s="29"/>
      <c r="BG35" s="29"/>
      <c r="BH35" s="29"/>
      <c r="BI35" s="29"/>
      <c r="BJ35" s="29"/>
      <c r="BK35" s="29"/>
      <c r="BL35" s="29"/>
    </row>
    <row r="36" customFormat="false" ht="141" hidden="false" customHeight="false" outlineLevel="0" collapsed="false">
      <c r="A36" s="9" t="s">
        <v>4456</v>
      </c>
      <c r="B36" s="9" t="s">
        <v>2920</v>
      </c>
      <c r="C36" s="9" t="s">
        <v>1044</v>
      </c>
      <c r="D36" s="9" t="s">
        <v>1092</v>
      </c>
      <c r="E36" s="9" t="s">
        <v>87</v>
      </c>
      <c r="F36" s="9" t="s">
        <v>1140</v>
      </c>
      <c r="G36" s="28" t="s">
        <v>4457</v>
      </c>
      <c r="H36" s="9" t="s">
        <v>90</v>
      </c>
      <c r="I36" s="9" t="s">
        <v>4458</v>
      </c>
      <c r="J36" s="9" t="s">
        <v>4459</v>
      </c>
      <c r="K36" s="9" t="s">
        <v>4460</v>
      </c>
      <c r="L36" s="9" t="s">
        <v>4461</v>
      </c>
      <c r="M36" s="9" t="s">
        <v>4462</v>
      </c>
      <c r="N36" s="9" t="s">
        <v>4463</v>
      </c>
      <c r="O36" s="9" t="s">
        <v>575</v>
      </c>
      <c r="P36" s="9" t="s">
        <v>4464</v>
      </c>
      <c r="Q36" s="9" t="s">
        <v>291</v>
      </c>
      <c r="R36" s="9" t="s">
        <v>4465</v>
      </c>
      <c r="S36" s="9" t="s">
        <v>4466</v>
      </c>
      <c r="T36" s="9" t="s">
        <v>4467</v>
      </c>
      <c r="U36" s="9" t="s">
        <v>4468</v>
      </c>
      <c r="V36" s="9" t="s">
        <v>4469</v>
      </c>
      <c r="W36" s="9" t="s">
        <v>4470</v>
      </c>
      <c r="X36" s="9" t="s">
        <v>4471</v>
      </c>
      <c r="Y36" s="9" t="s">
        <v>4472</v>
      </c>
      <c r="Z36" s="9" t="s">
        <v>4473</v>
      </c>
      <c r="AA36" s="9" t="s">
        <v>4474</v>
      </c>
      <c r="AB36" s="9" t="s">
        <v>4475</v>
      </c>
      <c r="AC36" s="9" t="s">
        <v>4476</v>
      </c>
      <c r="AD36" s="9" t="s">
        <v>4477</v>
      </c>
      <c r="AE36" s="9" t="s">
        <v>4478</v>
      </c>
      <c r="AF36" s="9" t="s">
        <v>4479</v>
      </c>
      <c r="AG36" s="9" t="s">
        <v>4480</v>
      </c>
      <c r="AH36" s="9" t="s">
        <v>4481</v>
      </c>
      <c r="AI36" s="9" t="s">
        <v>4482</v>
      </c>
      <c r="AJ36" s="9" t="s">
        <v>4483</v>
      </c>
      <c r="AK36" s="9" t="s">
        <v>4484</v>
      </c>
      <c r="AL36" s="9" t="s">
        <v>4485</v>
      </c>
      <c r="AM36" s="9" t="s">
        <v>4486</v>
      </c>
      <c r="AN36" s="9" t="s">
        <v>4487</v>
      </c>
      <c r="AO36" s="9" t="s">
        <v>4488</v>
      </c>
      <c r="AP36" s="9" t="s">
        <v>4489</v>
      </c>
      <c r="AQ36" s="9" t="s">
        <v>4490</v>
      </c>
      <c r="AR36" s="9" t="s">
        <v>4491</v>
      </c>
      <c r="AS36" s="9" t="s">
        <v>4492</v>
      </c>
      <c r="AT36" s="9" t="s">
        <v>699</v>
      </c>
      <c r="AU36" s="9" t="s">
        <v>4493</v>
      </c>
      <c r="AV36" s="9" t="s">
        <v>4494</v>
      </c>
      <c r="AW36" s="9" t="s">
        <v>4495</v>
      </c>
      <c r="AX36" s="9" t="s">
        <v>4496</v>
      </c>
      <c r="AY36" s="9" t="s">
        <v>4497</v>
      </c>
      <c r="AZ36" s="9" t="s">
        <v>4498</v>
      </c>
      <c r="BA36" s="9" t="s">
        <v>4499</v>
      </c>
      <c r="BB36" s="9" t="s">
        <v>4500</v>
      </c>
      <c r="BC36" s="9" t="s">
        <v>4501</v>
      </c>
      <c r="BD36" s="9" t="s">
        <v>4502</v>
      </c>
      <c r="BE36" s="29"/>
      <c r="BF36" s="29"/>
      <c r="BG36" s="29"/>
      <c r="BH36" s="29"/>
      <c r="BI36" s="29"/>
      <c r="BJ36" s="29"/>
      <c r="BK36" s="29"/>
      <c r="BL36" s="29"/>
    </row>
    <row r="37" customFormat="false" ht="115.65" hidden="false" customHeight="false" outlineLevel="0" collapsed="false">
      <c r="A37" s="9" t="s">
        <v>4503</v>
      </c>
      <c r="B37" s="9" t="s">
        <v>2920</v>
      </c>
      <c r="C37" s="9" t="s">
        <v>1044</v>
      </c>
      <c r="D37" s="9" t="s">
        <v>188</v>
      </c>
      <c r="E37" s="9" t="s">
        <v>758</v>
      </c>
      <c r="F37" s="9" t="s">
        <v>997</v>
      </c>
      <c r="G37" s="28" t="s">
        <v>4504</v>
      </c>
      <c r="H37" s="9" t="s">
        <v>760</v>
      </c>
      <c r="I37" s="9" t="s">
        <v>4505</v>
      </c>
      <c r="J37" s="9" t="s">
        <v>4506</v>
      </c>
      <c r="K37" s="9" t="s">
        <v>4507</v>
      </c>
      <c r="L37" s="9" t="s">
        <v>4508</v>
      </c>
      <c r="M37" s="9" t="s">
        <v>4509</v>
      </c>
      <c r="N37" s="9" t="s">
        <v>4510</v>
      </c>
      <c r="O37" s="9" t="s">
        <v>575</v>
      </c>
      <c r="P37" s="9" t="s">
        <v>4511</v>
      </c>
      <c r="Q37" s="9" t="s">
        <v>99</v>
      </c>
      <c r="R37" s="9" t="s">
        <v>4512</v>
      </c>
      <c r="S37" s="9" t="s">
        <v>4513</v>
      </c>
      <c r="T37" s="9" t="s">
        <v>4514</v>
      </c>
      <c r="U37" s="9" t="s">
        <v>4515</v>
      </c>
      <c r="V37" s="9" t="s">
        <v>4516</v>
      </c>
      <c r="W37" s="9" t="s">
        <v>4517</v>
      </c>
      <c r="X37" s="9" t="s">
        <v>4518</v>
      </c>
      <c r="Y37" s="9" t="s">
        <v>4519</v>
      </c>
      <c r="Z37" s="9" t="s">
        <v>4520</v>
      </c>
      <c r="AA37" s="9" t="s">
        <v>4521</v>
      </c>
      <c r="AB37" s="9" t="s">
        <v>4522</v>
      </c>
      <c r="AC37" s="9" t="s">
        <v>4523</v>
      </c>
      <c r="AD37" s="9" t="s">
        <v>4524</v>
      </c>
      <c r="AE37" s="9" t="s">
        <v>4525</v>
      </c>
      <c r="AF37" s="9" t="s">
        <v>4526</v>
      </c>
      <c r="AG37" s="9" t="s">
        <v>4527</v>
      </c>
      <c r="AH37" s="9" t="s">
        <v>4528</v>
      </c>
      <c r="AI37" s="9" t="s">
        <v>4529</v>
      </c>
      <c r="AJ37" s="9" t="s">
        <v>4530</v>
      </c>
      <c r="AK37" s="9" t="s">
        <v>4531</v>
      </c>
      <c r="AL37" s="9" t="s">
        <v>4532</v>
      </c>
      <c r="AM37" s="9" t="s">
        <v>4533</v>
      </c>
      <c r="AN37" s="9" t="s">
        <v>4534</v>
      </c>
      <c r="AO37" s="9" t="s">
        <v>4535</v>
      </c>
      <c r="AP37" s="9" t="s">
        <v>4536</v>
      </c>
      <c r="AQ37" s="9" t="s">
        <v>3327</v>
      </c>
      <c r="AR37" s="9" t="s">
        <v>4537</v>
      </c>
      <c r="AS37" s="9" t="s">
        <v>4538</v>
      </c>
      <c r="AT37" s="9" t="s">
        <v>699</v>
      </c>
      <c r="AU37" s="9" t="s">
        <v>4539</v>
      </c>
      <c r="AV37" s="9" t="s">
        <v>4540</v>
      </c>
      <c r="AW37" s="9" t="s">
        <v>4541</v>
      </c>
      <c r="AX37" s="9" t="s">
        <v>4542</v>
      </c>
      <c r="AY37" s="9" t="s">
        <v>4543</v>
      </c>
      <c r="AZ37" s="9" t="s">
        <v>4544</v>
      </c>
      <c r="BA37" s="9" t="s">
        <v>4545</v>
      </c>
      <c r="BB37" s="9" t="s">
        <v>4546</v>
      </c>
      <c r="BC37" s="9" t="s">
        <v>4547</v>
      </c>
      <c r="BD37" s="9" t="s">
        <v>4548</v>
      </c>
      <c r="BE37" s="29"/>
      <c r="BF37" s="29"/>
      <c r="BG37" s="29"/>
      <c r="BH37" s="29"/>
      <c r="BI37" s="29"/>
      <c r="BJ37" s="29"/>
      <c r="BK37" s="29"/>
      <c r="BL37" s="29"/>
    </row>
    <row r="38" customFormat="false" ht="102.95" hidden="false" customHeight="false" outlineLevel="0" collapsed="false">
      <c r="A38" s="9" t="s">
        <v>4549</v>
      </c>
      <c r="B38" s="9" t="s">
        <v>2920</v>
      </c>
      <c r="C38" s="9" t="s">
        <v>1044</v>
      </c>
      <c r="D38" s="9" t="s">
        <v>188</v>
      </c>
      <c r="E38" s="9" t="s">
        <v>758</v>
      </c>
      <c r="F38" s="9" t="s">
        <v>997</v>
      </c>
      <c r="G38" s="28" t="s">
        <v>4550</v>
      </c>
      <c r="H38" s="9" t="s">
        <v>760</v>
      </c>
      <c r="I38" s="9" t="s">
        <v>4551</v>
      </c>
      <c r="J38" s="9" t="s">
        <v>4552</v>
      </c>
      <c r="K38" s="9" t="s">
        <v>4553</v>
      </c>
      <c r="L38" s="9" t="s">
        <v>4554</v>
      </c>
      <c r="M38" s="9" t="s">
        <v>4555</v>
      </c>
      <c r="N38" s="9" t="s">
        <v>4556</v>
      </c>
      <c r="O38" s="9" t="s">
        <v>575</v>
      </c>
      <c r="P38" s="9" t="s">
        <v>4557</v>
      </c>
      <c r="Q38" s="9" t="s">
        <v>99</v>
      </c>
      <c r="R38" s="9" t="s">
        <v>4558</v>
      </c>
      <c r="S38" s="9" t="s">
        <v>4559</v>
      </c>
      <c r="T38" s="9" t="s">
        <v>4560</v>
      </c>
      <c r="U38" s="9" t="s">
        <v>4561</v>
      </c>
      <c r="V38" s="9" t="s">
        <v>4562</v>
      </c>
      <c r="W38" s="9" t="s">
        <v>4563</v>
      </c>
      <c r="X38" s="9" t="s">
        <v>4564</v>
      </c>
      <c r="Y38" s="9" t="s">
        <v>4565</v>
      </c>
      <c r="Z38" s="9" t="s">
        <v>4566</v>
      </c>
      <c r="AA38" s="9" t="s">
        <v>4567</v>
      </c>
      <c r="AB38" s="9" t="s">
        <v>4568</v>
      </c>
      <c r="AC38" s="9" t="s">
        <v>4569</v>
      </c>
      <c r="AD38" s="9" t="s">
        <v>4570</v>
      </c>
      <c r="AE38" s="9" t="s">
        <v>4571</v>
      </c>
      <c r="AF38" s="9" t="s">
        <v>4572</v>
      </c>
      <c r="AG38" s="9" t="s">
        <v>4573</v>
      </c>
      <c r="AH38" s="9" t="s">
        <v>4574</v>
      </c>
      <c r="AI38" s="9" t="s">
        <v>4575</v>
      </c>
      <c r="AJ38" s="9" t="s">
        <v>4576</v>
      </c>
      <c r="AK38" s="9" t="s">
        <v>4577</v>
      </c>
      <c r="AL38" s="9" t="s">
        <v>4578</v>
      </c>
      <c r="AM38" s="9" t="s">
        <v>4579</v>
      </c>
      <c r="AN38" s="9" t="s">
        <v>4580</v>
      </c>
      <c r="AO38" s="9" t="s">
        <v>4581</v>
      </c>
      <c r="AP38" s="9" t="s">
        <v>4582</v>
      </c>
      <c r="AQ38" s="9" t="s">
        <v>270</v>
      </c>
      <c r="AR38" s="9" t="s">
        <v>4583</v>
      </c>
      <c r="AS38" s="9" t="s">
        <v>4584</v>
      </c>
      <c r="AT38" s="9" t="s">
        <v>414</v>
      </c>
      <c r="AU38" s="9" t="s">
        <v>4585</v>
      </c>
      <c r="AV38" s="9" t="s">
        <v>4586</v>
      </c>
      <c r="AW38" s="9" t="s">
        <v>4587</v>
      </c>
      <c r="AX38" s="9" t="s">
        <v>4588</v>
      </c>
      <c r="AY38" s="9" t="s">
        <v>4589</v>
      </c>
      <c r="AZ38" s="9" t="s">
        <v>4590</v>
      </c>
      <c r="BA38" s="9" t="s">
        <v>4591</v>
      </c>
      <c r="BB38" s="9" t="s">
        <v>4592</v>
      </c>
      <c r="BC38" s="9" t="s">
        <v>4593</v>
      </c>
      <c r="BD38" s="9" t="s">
        <v>4594</v>
      </c>
      <c r="BE38" s="29"/>
      <c r="BF38" s="29"/>
      <c r="BG38" s="29"/>
      <c r="BH38" s="29"/>
      <c r="BI38" s="29"/>
      <c r="BJ38" s="29"/>
      <c r="BK38" s="29"/>
      <c r="BL38" s="29"/>
    </row>
    <row r="39" customFormat="false" ht="141" hidden="false" customHeight="false" outlineLevel="0" collapsed="false">
      <c r="A39" s="9" t="s">
        <v>4595</v>
      </c>
      <c r="B39" s="9" t="s">
        <v>2920</v>
      </c>
      <c r="C39" s="9" t="s">
        <v>1044</v>
      </c>
      <c r="D39" s="9" t="s">
        <v>1092</v>
      </c>
      <c r="E39" s="9" t="s">
        <v>758</v>
      </c>
      <c r="F39" s="9" t="s">
        <v>236</v>
      </c>
      <c r="G39" s="28" t="s">
        <v>4596</v>
      </c>
      <c r="H39" s="9" t="s">
        <v>760</v>
      </c>
      <c r="I39" s="9" t="s">
        <v>4597</v>
      </c>
      <c r="J39" s="9" t="s">
        <v>4598</v>
      </c>
      <c r="K39" s="9" t="s">
        <v>4599</v>
      </c>
      <c r="L39" s="9" t="s">
        <v>4600</v>
      </c>
      <c r="M39" s="9" t="s">
        <v>4601</v>
      </c>
      <c r="N39" s="9" t="s">
        <v>4602</v>
      </c>
      <c r="O39" s="9" t="s">
        <v>575</v>
      </c>
      <c r="P39" s="9" t="s">
        <v>4603</v>
      </c>
      <c r="Q39" s="9" t="s">
        <v>291</v>
      </c>
      <c r="R39" s="9" t="s">
        <v>4604</v>
      </c>
      <c r="S39" s="9" t="s">
        <v>4605</v>
      </c>
      <c r="T39" s="9" t="s">
        <v>4606</v>
      </c>
      <c r="U39" s="9" t="s">
        <v>4607</v>
      </c>
      <c r="V39" s="9" t="s">
        <v>4608</v>
      </c>
      <c r="W39" s="9" t="s">
        <v>4609</v>
      </c>
      <c r="X39" s="9" t="s">
        <v>4610</v>
      </c>
      <c r="Y39" s="9" t="s">
        <v>4611</v>
      </c>
      <c r="Z39" s="9" t="s">
        <v>4612</v>
      </c>
      <c r="AA39" s="9" t="s">
        <v>4613</v>
      </c>
      <c r="AB39" s="9" t="s">
        <v>4614</v>
      </c>
      <c r="AC39" s="9" t="s">
        <v>4615</v>
      </c>
      <c r="AD39" s="9" t="s">
        <v>4616</v>
      </c>
      <c r="AE39" s="9" t="s">
        <v>4617</v>
      </c>
      <c r="AF39" s="9" t="s">
        <v>4618</v>
      </c>
      <c r="AG39" s="9" t="s">
        <v>4619</v>
      </c>
      <c r="AH39" s="9" t="s">
        <v>4620</v>
      </c>
      <c r="AI39" s="9" t="s">
        <v>4621</v>
      </c>
      <c r="AJ39" s="9" t="s">
        <v>4622</v>
      </c>
      <c r="AK39" s="9" t="s">
        <v>4623</v>
      </c>
      <c r="AL39" s="9" t="s">
        <v>4624</v>
      </c>
      <c r="AM39" s="9" t="s">
        <v>4625</v>
      </c>
      <c r="AN39" s="9" t="s">
        <v>4626</v>
      </c>
      <c r="AO39" s="9" t="s">
        <v>4627</v>
      </c>
      <c r="AP39" s="9" t="s">
        <v>4628</v>
      </c>
      <c r="AQ39" s="9" t="s">
        <v>4629</v>
      </c>
      <c r="AR39" s="9" t="s">
        <v>4630</v>
      </c>
      <c r="AS39" s="9" t="s">
        <v>4631</v>
      </c>
      <c r="AT39" s="9" t="s">
        <v>414</v>
      </c>
      <c r="AU39" s="9" t="s">
        <v>4632</v>
      </c>
      <c r="AV39" s="9" t="s">
        <v>4633</v>
      </c>
      <c r="AW39" s="9" t="s">
        <v>4634</v>
      </c>
      <c r="AX39" s="9" t="s">
        <v>4635</v>
      </c>
      <c r="AY39" s="9" t="s">
        <v>4636</v>
      </c>
      <c r="AZ39" s="9" t="s">
        <v>4637</v>
      </c>
      <c r="BA39" s="9" t="s">
        <v>4638</v>
      </c>
      <c r="BB39" s="9" t="s">
        <v>4639</v>
      </c>
      <c r="BC39" s="9" t="s">
        <v>4640</v>
      </c>
      <c r="BD39" s="9" t="s">
        <v>4641</v>
      </c>
      <c r="BE39" s="29"/>
      <c r="BF39" s="29"/>
      <c r="BG39" s="29"/>
      <c r="BH39" s="29"/>
      <c r="BI39" s="29"/>
      <c r="BJ39" s="29"/>
      <c r="BK39" s="29"/>
      <c r="BL39" s="29"/>
    </row>
    <row r="40" customFormat="false" ht="102.95" hidden="false" customHeight="false" outlineLevel="0" collapsed="false">
      <c r="A40" s="9" t="s">
        <v>4642</v>
      </c>
      <c r="B40" s="9" t="s">
        <v>2920</v>
      </c>
      <c r="C40" s="9" t="s">
        <v>1044</v>
      </c>
      <c r="D40" s="9" t="s">
        <v>1092</v>
      </c>
      <c r="E40" s="9" t="s">
        <v>758</v>
      </c>
      <c r="F40" s="9" t="s">
        <v>4130</v>
      </c>
      <c r="G40" s="28" t="s">
        <v>4643</v>
      </c>
      <c r="H40" s="9" t="s">
        <v>760</v>
      </c>
      <c r="I40" s="9" t="s">
        <v>4644</v>
      </c>
      <c r="J40" s="9" t="s">
        <v>4645</v>
      </c>
      <c r="K40" s="9" t="s">
        <v>4646</v>
      </c>
      <c r="L40" s="9" t="s">
        <v>4647</v>
      </c>
      <c r="M40" s="9" t="s">
        <v>4648</v>
      </c>
      <c r="N40" s="9" t="s">
        <v>4649</v>
      </c>
      <c r="O40" s="9" t="s">
        <v>575</v>
      </c>
      <c r="P40" s="9" t="s">
        <v>4650</v>
      </c>
      <c r="Q40" s="9" t="s">
        <v>99</v>
      </c>
      <c r="R40" s="9" t="s">
        <v>4651</v>
      </c>
      <c r="S40" s="9" t="s">
        <v>4652</v>
      </c>
      <c r="T40" s="9" t="s">
        <v>4653</v>
      </c>
      <c r="U40" s="9" t="s">
        <v>4654</v>
      </c>
      <c r="V40" s="9" t="s">
        <v>4655</v>
      </c>
      <c r="W40" s="9" t="s">
        <v>4656</v>
      </c>
      <c r="X40" s="9" t="s">
        <v>4657</v>
      </c>
      <c r="Y40" s="9" t="s">
        <v>4658</v>
      </c>
      <c r="Z40" s="9" t="s">
        <v>4659</v>
      </c>
      <c r="AA40" s="9" t="s">
        <v>4660</v>
      </c>
      <c r="AB40" s="9" t="s">
        <v>4661</v>
      </c>
      <c r="AC40" s="9" t="s">
        <v>4662</v>
      </c>
      <c r="AD40" s="9" t="s">
        <v>4663</v>
      </c>
      <c r="AE40" s="9" t="s">
        <v>4664</v>
      </c>
      <c r="AF40" s="9" t="s">
        <v>4665</v>
      </c>
      <c r="AG40" s="9" t="s">
        <v>4666</v>
      </c>
      <c r="AH40" s="9" t="s">
        <v>4667</v>
      </c>
      <c r="AI40" s="9" t="s">
        <v>4668</v>
      </c>
      <c r="AJ40" s="9" t="s">
        <v>4669</v>
      </c>
      <c r="AK40" s="9" t="s">
        <v>4670</v>
      </c>
      <c r="AL40" s="9" t="s">
        <v>4671</v>
      </c>
      <c r="AM40" s="9" t="s">
        <v>4672</v>
      </c>
      <c r="AN40" s="9" t="s">
        <v>4673</v>
      </c>
      <c r="AO40" s="9" t="s">
        <v>4674</v>
      </c>
      <c r="AP40" s="9" t="s">
        <v>4675</v>
      </c>
      <c r="AQ40" s="9" t="s">
        <v>4676</v>
      </c>
      <c r="AR40" s="9" t="s">
        <v>4677</v>
      </c>
      <c r="AS40" s="9" t="s">
        <v>4678</v>
      </c>
      <c r="AT40" s="9" t="s">
        <v>414</v>
      </c>
      <c r="AU40" s="9" t="s">
        <v>4679</v>
      </c>
      <c r="AV40" s="9" t="s">
        <v>4680</v>
      </c>
      <c r="AW40" s="9" t="s">
        <v>4681</v>
      </c>
      <c r="AX40" s="9" t="s">
        <v>4682</v>
      </c>
      <c r="AY40" s="9" t="s">
        <v>4683</v>
      </c>
      <c r="AZ40" s="9" t="s">
        <v>4684</v>
      </c>
      <c r="BA40" s="9" t="s">
        <v>4685</v>
      </c>
      <c r="BB40" s="9" t="s">
        <v>4686</v>
      </c>
      <c r="BC40" s="9" t="s">
        <v>4687</v>
      </c>
      <c r="BD40" s="9" t="s">
        <v>4688</v>
      </c>
      <c r="BE40" s="29"/>
      <c r="BF40" s="29"/>
      <c r="BG40" s="29"/>
      <c r="BH40" s="29"/>
      <c r="BI40" s="29"/>
      <c r="BJ40" s="29"/>
      <c r="BK40" s="29"/>
      <c r="BL40" s="29"/>
    </row>
    <row r="41" customFormat="false" ht="90.25" hidden="false" customHeight="false" outlineLevel="0" collapsed="false">
      <c r="A41" s="9" t="s">
        <v>4689</v>
      </c>
      <c r="B41" s="9" t="s">
        <v>2920</v>
      </c>
      <c r="C41" s="9" t="s">
        <v>1044</v>
      </c>
      <c r="D41" s="9" t="s">
        <v>1092</v>
      </c>
      <c r="E41" s="9" t="s">
        <v>758</v>
      </c>
      <c r="F41" s="9" t="s">
        <v>997</v>
      </c>
      <c r="G41" s="28" t="s">
        <v>4690</v>
      </c>
      <c r="H41" s="9" t="s">
        <v>760</v>
      </c>
      <c r="I41" s="9" t="s">
        <v>4691</v>
      </c>
      <c r="J41" s="9" t="s">
        <v>4692</v>
      </c>
      <c r="K41" s="9" t="s">
        <v>4693</v>
      </c>
      <c r="L41" s="9" t="s">
        <v>4694</v>
      </c>
      <c r="M41" s="9" t="s">
        <v>4695</v>
      </c>
      <c r="N41" s="9" t="s">
        <v>4696</v>
      </c>
      <c r="O41" s="9" t="s">
        <v>575</v>
      </c>
      <c r="P41" s="9" t="s">
        <v>4697</v>
      </c>
      <c r="Q41" s="9" t="s">
        <v>99</v>
      </c>
      <c r="R41" s="9" t="s">
        <v>4698</v>
      </c>
      <c r="S41" s="9" t="s">
        <v>4699</v>
      </c>
      <c r="T41" s="9" t="s">
        <v>4700</v>
      </c>
      <c r="U41" s="9" t="s">
        <v>4701</v>
      </c>
      <c r="V41" s="9" t="s">
        <v>4702</v>
      </c>
      <c r="W41" s="9" t="s">
        <v>4703</v>
      </c>
      <c r="X41" s="9" t="s">
        <v>4704</v>
      </c>
      <c r="Y41" s="9" t="s">
        <v>4705</v>
      </c>
      <c r="Z41" s="9" t="s">
        <v>4706</v>
      </c>
      <c r="AA41" s="9" t="s">
        <v>4707</v>
      </c>
      <c r="AB41" s="9" t="s">
        <v>4708</v>
      </c>
      <c r="AC41" s="9" t="s">
        <v>4709</v>
      </c>
      <c r="AD41" s="9" t="s">
        <v>4710</v>
      </c>
      <c r="AE41" s="9" t="s">
        <v>4711</v>
      </c>
      <c r="AF41" s="9" t="s">
        <v>4712</v>
      </c>
      <c r="AG41" s="9" t="s">
        <v>4713</v>
      </c>
      <c r="AH41" s="9" t="s">
        <v>4714</v>
      </c>
      <c r="AI41" s="9" t="s">
        <v>4715</v>
      </c>
      <c r="AJ41" s="9" t="s">
        <v>4716</v>
      </c>
      <c r="AK41" s="9" t="s">
        <v>4717</v>
      </c>
      <c r="AL41" s="9" t="s">
        <v>4718</v>
      </c>
      <c r="AM41" s="9" t="s">
        <v>4719</v>
      </c>
      <c r="AN41" s="9" t="s">
        <v>4720</v>
      </c>
      <c r="AO41" s="9" t="s">
        <v>4721</v>
      </c>
      <c r="AP41" s="9" t="s">
        <v>4722</v>
      </c>
      <c r="AQ41" s="9" t="s">
        <v>648</v>
      </c>
      <c r="AR41" s="9" t="s">
        <v>4723</v>
      </c>
      <c r="AS41" s="9" t="s">
        <v>4724</v>
      </c>
      <c r="AT41" s="9" t="s">
        <v>414</v>
      </c>
      <c r="AU41" s="9" t="s">
        <v>4725</v>
      </c>
      <c r="AV41" s="9" t="s">
        <v>4726</v>
      </c>
      <c r="AW41" s="9" t="s">
        <v>4727</v>
      </c>
      <c r="AX41" s="9" t="s">
        <v>4728</v>
      </c>
      <c r="AY41" s="9" t="s">
        <v>4729</v>
      </c>
      <c r="AZ41" s="9" t="s">
        <v>4730</v>
      </c>
      <c r="BA41" s="9" t="s">
        <v>4731</v>
      </c>
      <c r="BB41" s="9" t="s">
        <v>4732</v>
      </c>
      <c r="BC41" s="9" t="s">
        <v>4733</v>
      </c>
      <c r="BD41" s="9" t="s">
        <v>4734</v>
      </c>
      <c r="BE41" s="29"/>
      <c r="BF41" s="29"/>
      <c r="BG41" s="29"/>
      <c r="BH41" s="29"/>
      <c r="BI41" s="29"/>
      <c r="BJ41" s="29"/>
      <c r="BK41" s="29"/>
      <c r="BL41" s="29"/>
    </row>
    <row r="42" customFormat="false" ht="115.65" hidden="false" customHeight="false" outlineLevel="0" collapsed="false">
      <c r="A42" s="9" t="s">
        <v>4735</v>
      </c>
      <c r="B42" s="9" t="s">
        <v>2920</v>
      </c>
      <c r="C42" s="9" t="s">
        <v>1044</v>
      </c>
      <c r="D42" s="9" t="s">
        <v>1092</v>
      </c>
      <c r="E42" s="9" t="s">
        <v>758</v>
      </c>
      <c r="F42" s="9" t="s">
        <v>662</v>
      </c>
      <c r="G42" s="28" t="s">
        <v>4736</v>
      </c>
      <c r="H42" s="9" t="s">
        <v>760</v>
      </c>
      <c r="I42" s="9" t="s">
        <v>4737</v>
      </c>
      <c r="J42" s="9" t="s">
        <v>4738</v>
      </c>
      <c r="K42" s="9" t="s">
        <v>4739</v>
      </c>
      <c r="L42" s="9" t="s">
        <v>4740</v>
      </c>
      <c r="M42" s="9" t="s">
        <v>4741</v>
      </c>
      <c r="N42" s="9" t="s">
        <v>4742</v>
      </c>
      <c r="O42" s="9" t="s">
        <v>575</v>
      </c>
      <c r="P42" s="9" t="s">
        <v>4743</v>
      </c>
      <c r="Q42" s="9" t="s">
        <v>291</v>
      </c>
      <c r="R42" s="9" t="s">
        <v>4744</v>
      </c>
      <c r="S42" s="9" t="s">
        <v>4745</v>
      </c>
      <c r="T42" s="9" t="s">
        <v>4746</v>
      </c>
      <c r="U42" s="9" t="s">
        <v>4747</v>
      </c>
      <c r="V42" s="9" t="s">
        <v>4748</v>
      </c>
      <c r="W42" s="9" t="s">
        <v>4749</v>
      </c>
      <c r="X42" s="9" t="s">
        <v>4750</v>
      </c>
      <c r="Y42" s="9" t="s">
        <v>4751</v>
      </c>
      <c r="Z42" s="9" t="s">
        <v>4752</v>
      </c>
      <c r="AA42" s="9" t="s">
        <v>4753</v>
      </c>
      <c r="AB42" s="9" t="s">
        <v>4754</v>
      </c>
      <c r="AC42" s="9" t="s">
        <v>4755</v>
      </c>
      <c r="AD42" s="9" t="s">
        <v>4756</v>
      </c>
      <c r="AE42" s="9" t="s">
        <v>4757</v>
      </c>
      <c r="AF42" s="9" t="s">
        <v>4758</v>
      </c>
      <c r="AG42" s="9" t="s">
        <v>4759</v>
      </c>
      <c r="AH42" s="9" t="s">
        <v>4760</v>
      </c>
      <c r="AI42" s="9" t="s">
        <v>4761</v>
      </c>
      <c r="AJ42" s="9" t="s">
        <v>4762</v>
      </c>
      <c r="AK42" s="9" t="s">
        <v>4763</v>
      </c>
      <c r="AL42" s="9" t="s">
        <v>4764</v>
      </c>
      <c r="AM42" s="9" t="s">
        <v>4765</v>
      </c>
      <c r="AN42" s="9" t="s">
        <v>4766</v>
      </c>
      <c r="AO42" s="9" t="s">
        <v>4767</v>
      </c>
      <c r="AP42" s="9" t="s">
        <v>4768</v>
      </c>
      <c r="AQ42" s="9" t="s">
        <v>4769</v>
      </c>
      <c r="AR42" s="9" t="s">
        <v>4770</v>
      </c>
      <c r="AS42" s="9" t="s">
        <v>4771</v>
      </c>
      <c r="AT42" s="9" t="s">
        <v>699</v>
      </c>
      <c r="AU42" s="9" t="s">
        <v>4772</v>
      </c>
      <c r="AV42" s="9" t="s">
        <v>4773</v>
      </c>
      <c r="AW42" s="9" t="s">
        <v>4774</v>
      </c>
      <c r="AX42" s="9" t="s">
        <v>4775</v>
      </c>
      <c r="AY42" s="9" t="s">
        <v>4776</v>
      </c>
      <c r="AZ42" s="9" t="s">
        <v>4777</v>
      </c>
      <c r="BA42" s="9" t="s">
        <v>4778</v>
      </c>
      <c r="BB42" s="9" t="s">
        <v>4779</v>
      </c>
      <c r="BC42" s="9" t="s">
        <v>4780</v>
      </c>
      <c r="BD42" s="9" t="s">
        <v>4781</v>
      </c>
      <c r="BE42" s="29"/>
      <c r="BF42" s="29"/>
      <c r="BG42" s="29"/>
      <c r="BH42" s="29"/>
      <c r="BI42" s="29"/>
      <c r="BJ42" s="29"/>
      <c r="BK42" s="29"/>
      <c r="BL42" s="29"/>
    </row>
    <row r="43" customFormat="false" ht="128.35" hidden="false" customHeight="false" outlineLevel="0" collapsed="false">
      <c r="A43" s="9" t="s">
        <v>4782</v>
      </c>
      <c r="B43" s="9" t="s">
        <v>2920</v>
      </c>
      <c r="C43" s="9" t="s">
        <v>1986</v>
      </c>
      <c r="D43" s="9" t="s">
        <v>1092</v>
      </c>
      <c r="E43" s="9" t="s">
        <v>87</v>
      </c>
      <c r="F43" s="9" t="s">
        <v>997</v>
      </c>
      <c r="G43" s="28" t="s">
        <v>4783</v>
      </c>
      <c r="H43" s="9" t="s">
        <v>90</v>
      </c>
      <c r="I43" s="9" t="s">
        <v>4784</v>
      </c>
      <c r="J43" s="9" t="s">
        <v>4785</v>
      </c>
      <c r="K43" s="9" t="s">
        <v>4786</v>
      </c>
      <c r="L43" s="9" t="s">
        <v>4787</v>
      </c>
      <c r="M43" s="9" t="s">
        <v>4788</v>
      </c>
      <c r="N43" s="9" t="s">
        <v>4789</v>
      </c>
      <c r="O43" s="9" t="s">
        <v>97</v>
      </c>
      <c r="P43" s="9" t="s">
        <v>4790</v>
      </c>
      <c r="Q43" s="9" t="s">
        <v>99</v>
      </c>
      <c r="R43" s="9" t="s">
        <v>4791</v>
      </c>
      <c r="S43" s="9" t="s">
        <v>4792</v>
      </c>
      <c r="T43" s="9" t="s">
        <v>4793</v>
      </c>
      <c r="U43" s="9" t="s">
        <v>4794</v>
      </c>
      <c r="V43" s="9" t="s">
        <v>4795</v>
      </c>
      <c r="W43" s="9" t="s">
        <v>4796</v>
      </c>
      <c r="X43" s="9" t="s">
        <v>4797</v>
      </c>
      <c r="Y43" s="9" t="s">
        <v>4798</v>
      </c>
      <c r="Z43" s="9" t="s">
        <v>4799</v>
      </c>
      <c r="AA43" s="9" t="s">
        <v>4800</v>
      </c>
      <c r="AB43" s="9" t="s">
        <v>4801</v>
      </c>
      <c r="AC43" s="9" t="s">
        <v>4802</v>
      </c>
      <c r="AD43" s="9" t="s">
        <v>4803</v>
      </c>
      <c r="AE43" s="9" t="s">
        <v>4804</v>
      </c>
      <c r="AF43" s="9" t="s">
        <v>4805</v>
      </c>
      <c r="AG43" s="9" t="s">
        <v>4806</v>
      </c>
      <c r="AH43" s="9" t="s">
        <v>4807</v>
      </c>
      <c r="AI43" s="9" t="s">
        <v>4808</v>
      </c>
      <c r="AJ43" s="9" t="s">
        <v>4809</v>
      </c>
      <c r="AK43" s="9" t="s">
        <v>4810</v>
      </c>
      <c r="AL43" s="9" t="s">
        <v>4811</v>
      </c>
      <c r="AM43" s="9" t="s">
        <v>4812</v>
      </c>
      <c r="AN43" s="9" t="s">
        <v>4813</v>
      </c>
      <c r="AO43" s="9" t="s">
        <v>4814</v>
      </c>
      <c r="AP43" s="9" t="s">
        <v>4815</v>
      </c>
      <c r="AQ43" s="9" t="s">
        <v>4816</v>
      </c>
      <c r="AR43" s="9" t="s">
        <v>4817</v>
      </c>
      <c r="AS43" s="9" t="s">
        <v>4818</v>
      </c>
      <c r="AT43" s="9" t="s">
        <v>128</v>
      </c>
      <c r="AU43" s="9" t="s">
        <v>4819</v>
      </c>
      <c r="AV43" s="9" t="s">
        <v>4820</v>
      </c>
      <c r="AW43" s="9" t="s">
        <v>4821</v>
      </c>
      <c r="AX43" s="9" t="s">
        <v>4822</v>
      </c>
      <c r="AY43" s="9" t="s">
        <v>4823</v>
      </c>
      <c r="AZ43" s="9" t="s">
        <v>4824</v>
      </c>
      <c r="BA43" s="9" t="s">
        <v>4825</v>
      </c>
      <c r="BB43" s="9" t="s">
        <v>4826</v>
      </c>
      <c r="BC43" s="9" t="s">
        <v>4827</v>
      </c>
      <c r="BD43" s="9" t="s">
        <v>4828</v>
      </c>
      <c r="BE43" s="29"/>
      <c r="BF43" s="29"/>
      <c r="BG43" s="29"/>
      <c r="BH43" s="29"/>
      <c r="BI43" s="29"/>
      <c r="BJ43" s="29"/>
      <c r="BK43" s="29"/>
      <c r="BL43" s="29"/>
    </row>
    <row r="44" customFormat="false" ht="141" hidden="false" customHeight="false" outlineLevel="0" collapsed="false">
      <c r="A44" s="9" t="s">
        <v>4829</v>
      </c>
      <c r="B44" s="9" t="s">
        <v>2920</v>
      </c>
      <c r="C44" s="9" t="s">
        <v>1986</v>
      </c>
      <c r="D44" s="9" t="s">
        <v>2128</v>
      </c>
      <c r="E44" s="9" t="s">
        <v>87</v>
      </c>
      <c r="F44" s="9" t="s">
        <v>1378</v>
      </c>
      <c r="G44" s="28" t="s">
        <v>4830</v>
      </c>
      <c r="H44" s="9" t="s">
        <v>90</v>
      </c>
      <c r="I44" s="9" t="s">
        <v>4831</v>
      </c>
      <c r="J44" s="9" t="s">
        <v>4832</v>
      </c>
      <c r="K44" s="9" t="s">
        <v>4833</v>
      </c>
      <c r="L44" s="9" t="s">
        <v>4834</v>
      </c>
      <c r="M44" s="9" t="s">
        <v>4835</v>
      </c>
      <c r="N44" s="9" t="s">
        <v>4836</v>
      </c>
      <c r="O44" s="9" t="s">
        <v>97</v>
      </c>
      <c r="P44" s="9" t="s">
        <v>4837</v>
      </c>
      <c r="Q44" s="9" t="s">
        <v>99</v>
      </c>
      <c r="R44" s="9" t="s">
        <v>4838</v>
      </c>
      <c r="S44" s="9" t="s">
        <v>4839</v>
      </c>
      <c r="T44" s="9" t="s">
        <v>4840</v>
      </c>
      <c r="U44" s="9" t="s">
        <v>4841</v>
      </c>
      <c r="V44" s="9" t="s">
        <v>4842</v>
      </c>
      <c r="W44" s="9" t="s">
        <v>4843</v>
      </c>
      <c r="X44" s="9" t="s">
        <v>4844</v>
      </c>
      <c r="Y44" s="9" t="s">
        <v>4845</v>
      </c>
      <c r="Z44" s="9" t="s">
        <v>4846</v>
      </c>
      <c r="AA44" s="9" t="s">
        <v>4847</v>
      </c>
      <c r="AB44" s="9" t="s">
        <v>4848</v>
      </c>
      <c r="AC44" s="9" t="s">
        <v>4849</v>
      </c>
      <c r="AD44" s="9" t="s">
        <v>4850</v>
      </c>
      <c r="AE44" s="9" t="s">
        <v>4851</v>
      </c>
      <c r="AF44" s="9" t="s">
        <v>4852</v>
      </c>
      <c r="AG44" s="9" t="s">
        <v>4853</v>
      </c>
      <c r="AH44" s="9" t="s">
        <v>4854</v>
      </c>
      <c r="AI44" s="9" t="s">
        <v>4855</v>
      </c>
      <c r="AJ44" s="9" t="s">
        <v>4856</v>
      </c>
      <c r="AK44" s="9" t="s">
        <v>4857</v>
      </c>
      <c r="AL44" s="9" t="s">
        <v>4858</v>
      </c>
      <c r="AM44" s="9" t="s">
        <v>4859</v>
      </c>
      <c r="AN44" s="9" t="s">
        <v>4860</v>
      </c>
      <c r="AO44" s="9" t="s">
        <v>4861</v>
      </c>
      <c r="AP44" s="9" t="s">
        <v>4862</v>
      </c>
      <c r="AQ44" s="9" t="s">
        <v>2114</v>
      </c>
      <c r="AR44" s="9" t="s">
        <v>4863</v>
      </c>
      <c r="AS44" s="9" t="s">
        <v>4864</v>
      </c>
      <c r="AT44" s="9" t="s">
        <v>128</v>
      </c>
      <c r="AU44" s="9" t="s">
        <v>4865</v>
      </c>
      <c r="AV44" s="9" t="s">
        <v>4866</v>
      </c>
      <c r="AW44" s="9" t="s">
        <v>4867</v>
      </c>
      <c r="AX44" s="9" t="s">
        <v>4868</v>
      </c>
      <c r="AY44" s="9" t="s">
        <v>4869</v>
      </c>
      <c r="AZ44" s="9" t="s">
        <v>4870</v>
      </c>
      <c r="BA44" s="9" t="s">
        <v>4871</v>
      </c>
      <c r="BB44" s="9" t="s">
        <v>4872</v>
      </c>
      <c r="BC44" s="9" t="s">
        <v>4873</v>
      </c>
      <c r="BD44" s="9" t="s">
        <v>4874</v>
      </c>
      <c r="BE44" s="29"/>
      <c r="BF44" s="29"/>
      <c r="BG44" s="29"/>
      <c r="BH44" s="29"/>
      <c r="BI44" s="29"/>
      <c r="BJ44" s="29"/>
      <c r="BK44" s="29"/>
      <c r="BL44" s="29"/>
    </row>
    <row r="45" customFormat="false" ht="141" hidden="false" customHeight="false" outlineLevel="0" collapsed="false">
      <c r="A45" s="9" t="s">
        <v>4875</v>
      </c>
      <c r="B45" s="9" t="s">
        <v>2920</v>
      </c>
      <c r="C45" s="9" t="s">
        <v>1986</v>
      </c>
      <c r="D45" s="9" t="s">
        <v>1092</v>
      </c>
      <c r="E45" s="9" t="s">
        <v>87</v>
      </c>
      <c r="F45" s="9" t="s">
        <v>426</v>
      </c>
      <c r="G45" s="28" t="s">
        <v>4876</v>
      </c>
      <c r="H45" s="9" t="s">
        <v>90</v>
      </c>
      <c r="I45" s="9" t="s">
        <v>4877</v>
      </c>
      <c r="J45" s="9" t="s">
        <v>4878</v>
      </c>
      <c r="K45" s="9" t="s">
        <v>4879</v>
      </c>
      <c r="L45" s="9" t="s">
        <v>4880</v>
      </c>
      <c r="M45" s="9" t="s">
        <v>4881</v>
      </c>
      <c r="N45" s="9" t="s">
        <v>4882</v>
      </c>
      <c r="O45" s="9" t="s">
        <v>97</v>
      </c>
      <c r="P45" s="9" t="s">
        <v>4883</v>
      </c>
      <c r="Q45" s="9" t="s">
        <v>291</v>
      </c>
      <c r="R45" s="9" t="s">
        <v>4884</v>
      </c>
      <c r="S45" s="9" t="s">
        <v>4885</v>
      </c>
      <c r="T45" s="9" t="s">
        <v>4886</v>
      </c>
      <c r="U45" s="9" t="s">
        <v>4887</v>
      </c>
      <c r="V45" s="9" t="s">
        <v>4888</v>
      </c>
      <c r="W45" s="9" t="s">
        <v>4889</v>
      </c>
      <c r="X45" s="9" t="s">
        <v>4890</v>
      </c>
      <c r="Y45" s="9" t="s">
        <v>4891</v>
      </c>
      <c r="Z45" s="9" t="s">
        <v>4892</v>
      </c>
      <c r="AA45" s="9" t="s">
        <v>4893</v>
      </c>
      <c r="AB45" s="9" t="s">
        <v>4894</v>
      </c>
      <c r="AC45" s="9" t="s">
        <v>4895</v>
      </c>
      <c r="AD45" s="9" t="s">
        <v>4896</v>
      </c>
      <c r="AE45" s="9" t="s">
        <v>4897</v>
      </c>
      <c r="AF45" s="9" t="s">
        <v>4898</v>
      </c>
      <c r="AG45" s="9" t="s">
        <v>4899</v>
      </c>
      <c r="AH45" s="9" t="s">
        <v>4900</v>
      </c>
      <c r="AI45" s="9" t="s">
        <v>4901</v>
      </c>
      <c r="AJ45" s="9" t="s">
        <v>4902</v>
      </c>
      <c r="AK45" s="9" t="s">
        <v>4903</v>
      </c>
      <c r="AL45" s="9" t="s">
        <v>4904</v>
      </c>
      <c r="AM45" s="9" t="s">
        <v>4905</v>
      </c>
      <c r="AN45" s="9" t="s">
        <v>4906</v>
      </c>
      <c r="AO45" s="9" t="s">
        <v>4907</v>
      </c>
      <c r="AP45" s="9" t="s">
        <v>4908</v>
      </c>
      <c r="AQ45" s="9" t="s">
        <v>4909</v>
      </c>
      <c r="AR45" s="9" t="s">
        <v>4910</v>
      </c>
      <c r="AS45" s="9" t="s">
        <v>4911</v>
      </c>
      <c r="AT45" s="9" t="s">
        <v>177</v>
      </c>
      <c r="AU45" s="9" t="s">
        <v>4912</v>
      </c>
      <c r="AV45" s="9" t="s">
        <v>4913</v>
      </c>
      <c r="AW45" s="9" t="s">
        <v>4914</v>
      </c>
      <c r="AX45" s="9" t="s">
        <v>4915</v>
      </c>
      <c r="AY45" s="9" t="s">
        <v>4916</v>
      </c>
      <c r="AZ45" s="9" t="s">
        <v>4917</v>
      </c>
      <c r="BA45" s="9" t="s">
        <v>4918</v>
      </c>
      <c r="BB45" s="9" t="s">
        <v>4919</v>
      </c>
      <c r="BC45" s="9" t="s">
        <v>4920</v>
      </c>
      <c r="BD45" s="9" t="s">
        <v>4921</v>
      </c>
      <c r="BE45" s="29"/>
      <c r="BF45" s="29"/>
      <c r="BG45" s="29"/>
      <c r="BH45" s="29"/>
      <c r="BI45" s="29"/>
      <c r="BJ45" s="29"/>
      <c r="BK45" s="29"/>
      <c r="BL45" s="29"/>
    </row>
    <row r="46" customFormat="false" ht="141" hidden="false" customHeight="false" outlineLevel="0" collapsed="false">
      <c r="A46" s="9" t="s">
        <v>4922</v>
      </c>
      <c r="B46" s="9" t="s">
        <v>2920</v>
      </c>
      <c r="C46" s="9" t="s">
        <v>1986</v>
      </c>
      <c r="D46" s="9" t="s">
        <v>2128</v>
      </c>
      <c r="E46" s="9" t="s">
        <v>87</v>
      </c>
      <c r="F46" s="9" t="s">
        <v>997</v>
      </c>
      <c r="G46" s="28" t="s">
        <v>4923</v>
      </c>
      <c r="H46" s="9" t="s">
        <v>90</v>
      </c>
      <c r="I46" s="9" t="s">
        <v>4924</v>
      </c>
      <c r="J46" s="9" t="s">
        <v>4925</v>
      </c>
      <c r="K46" s="9" t="s">
        <v>4926</v>
      </c>
      <c r="L46" s="9" t="s">
        <v>4927</v>
      </c>
      <c r="M46" s="9" t="s">
        <v>4928</v>
      </c>
      <c r="N46" s="9" t="s">
        <v>4929</v>
      </c>
      <c r="O46" s="9" t="s">
        <v>97</v>
      </c>
      <c r="P46" s="9" t="s">
        <v>4930</v>
      </c>
      <c r="Q46" s="9" t="s">
        <v>291</v>
      </c>
      <c r="R46" s="9" t="s">
        <v>4931</v>
      </c>
      <c r="S46" s="9" t="s">
        <v>4932</v>
      </c>
      <c r="T46" s="9" t="s">
        <v>4933</v>
      </c>
      <c r="U46" s="9" t="s">
        <v>4934</v>
      </c>
      <c r="V46" s="9" t="s">
        <v>4935</v>
      </c>
      <c r="W46" s="9" t="s">
        <v>4936</v>
      </c>
      <c r="X46" s="9" t="s">
        <v>4937</v>
      </c>
      <c r="Y46" s="9" t="s">
        <v>4938</v>
      </c>
      <c r="Z46" s="9" t="s">
        <v>4939</v>
      </c>
      <c r="AA46" s="9" t="s">
        <v>4940</v>
      </c>
      <c r="AB46" s="9" t="s">
        <v>4941</v>
      </c>
      <c r="AC46" s="9" t="s">
        <v>4942</v>
      </c>
      <c r="AD46" s="9" t="s">
        <v>4943</v>
      </c>
      <c r="AE46" s="9" t="s">
        <v>4944</v>
      </c>
      <c r="AF46" s="9" t="s">
        <v>4945</v>
      </c>
      <c r="AG46" s="9" t="s">
        <v>4946</v>
      </c>
      <c r="AH46" s="9" t="s">
        <v>4947</v>
      </c>
      <c r="AI46" s="9" t="s">
        <v>4948</v>
      </c>
      <c r="AJ46" s="9" t="s">
        <v>4949</v>
      </c>
      <c r="AK46" s="9" t="s">
        <v>4950</v>
      </c>
      <c r="AL46" s="9" t="s">
        <v>4951</v>
      </c>
      <c r="AM46" s="9" t="s">
        <v>4952</v>
      </c>
      <c r="AN46" s="9" t="s">
        <v>4953</v>
      </c>
      <c r="AO46" s="9" t="s">
        <v>4954</v>
      </c>
      <c r="AP46" s="9" t="s">
        <v>4955</v>
      </c>
      <c r="AQ46" s="9" t="s">
        <v>4956</v>
      </c>
      <c r="AR46" s="9" t="s">
        <v>4957</v>
      </c>
      <c r="AS46" s="9" t="s">
        <v>4958</v>
      </c>
      <c r="AT46" s="9" t="s">
        <v>177</v>
      </c>
      <c r="AU46" s="9" t="s">
        <v>4959</v>
      </c>
      <c r="AV46" s="9" t="s">
        <v>4960</v>
      </c>
      <c r="AW46" s="9" t="s">
        <v>4961</v>
      </c>
      <c r="AX46" s="9" t="s">
        <v>4962</v>
      </c>
      <c r="AY46" s="9" t="s">
        <v>4963</v>
      </c>
      <c r="AZ46" s="9" t="s">
        <v>4964</v>
      </c>
      <c r="BA46" s="9" t="s">
        <v>4965</v>
      </c>
      <c r="BB46" s="9" t="s">
        <v>4966</v>
      </c>
      <c r="BC46" s="9" t="s">
        <v>4967</v>
      </c>
      <c r="BD46" s="9" t="s">
        <v>4968</v>
      </c>
      <c r="BE46" s="29"/>
      <c r="BF46" s="29"/>
      <c r="BG46" s="29"/>
      <c r="BH46" s="29"/>
      <c r="BI46" s="29"/>
      <c r="BJ46" s="29"/>
      <c r="BK46" s="29"/>
      <c r="BL46" s="29"/>
    </row>
    <row r="47" customFormat="false" ht="153.7" hidden="false" customHeight="false" outlineLevel="0" collapsed="false">
      <c r="A47" s="9" t="s">
        <v>4969</v>
      </c>
      <c r="B47" s="9" t="s">
        <v>2920</v>
      </c>
      <c r="C47" s="9" t="s">
        <v>1986</v>
      </c>
      <c r="D47" s="9" t="s">
        <v>1092</v>
      </c>
      <c r="E47" s="9" t="s">
        <v>87</v>
      </c>
      <c r="F47" s="9" t="s">
        <v>1140</v>
      </c>
      <c r="G47" s="28" t="s">
        <v>4970</v>
      </c>
      <c r="H47" s="9" t="s">
        <v>90</v>
      </c>
      <c r="I47" s="9" t="s">
        <v>4971</v>
      </c>
      <c r="J47" s="9" t="s">
        <v>4972</v>
      </c>
      <c r="K47" s="9" t="s">
        <v>4973</v>
      </c>
      <c r="L47" s="9" t="s">
        <v>4974</v>
      </c>
      <c r="M47" s="9" t="s">
        <v>4975</v>
      </c>
      <c r="N47" s="9" t="s">
        <v>4976</v>
      </c>
      <c r="O47" s="9" t="s">
        <v>575</v>
      </c>
      <c r="P47" s="9" t="s">
        <v>4977</v>
      </c>
      <c r="Q47" s="9" t="s">
        <v>291</v>
      </c>
      <c r="R47" s="9" t="s">
        <v>4978</v>
      </c>
      <c r="S47" s="9" t="s">
        <v>4979</v>
      </c>
      <c r="T47" s="9" t="s">
        <v>4980</v>
      </c>
      <c r="U47" s="9" t="s">
        <v>4981</v>
      </c>
      <c r="V47" s="9" t="s">
        <v>4982</v>
      </c>
      <c r="W47" s="9" t="s">
        <v>4983</v>
      </c>
      <c r="X47" s="9" t="s">
        <v>4984</v>
      </c>
      <c r="Y47" s="9" t="s">
        <v>4985</v>
      </c>
      <c r="Z47" s="9" t="s">
        <v>4986</v>
      </c>
      <c r="AA47" s="9" t="s">
        <v>4987</v>
      </c>
      <c r="AB47" s="9" t="s">
        <v>4988</v>
      </c>
      <c r="AC47" s="9" t="s">
        <v>4989</v>
      </c>
      <c r="AD47" s="9" t="s">
        <v>4990</v>
      </c>
      <c r="AE47" s="9" t="s">
        <v>4991</v>
      </c>
      <c r="AF47" s="9" t="s">
        <v>4992</v>
      </c>
      <c r="AG47" s="9" t="s">
        <v>4993</v>
      </c>
      <c r="AH47" s="9" t="s">
        <v>4994</v>
      </c>
      <c r="AI47" s="9" t="s">
        <v>4995</v>
      </c>
      <c r="AJ47" s="9" t="s">
        <v>4996</v>
      </c>
      <c r="AK47" s="9" t="s">
        <v>4997</v>
      </c>
      <c r="AL47" s="9" t="s">
        <v>4998</v>
      </c>
      <c r="AM47" s="9" t="s">
        <v>4999</v>
      </c>
      <c r="AN47" s="9" t="s">
        <v>5000</v>
      </c>
      <c r="AO47" s="9" t="s">
        <v>5001</v>
      </c>
      <c r="AP47" s="9" t="s">
        <v>5002</v>
      </c>
      <c r="AQ47" s="9" t="s">
        <v>5003</v>
      </c>
      <c r="AR47" s="9" t="s">
        <v>5004</v>
      </c>
      <c r="AS47" s="9" t="s">
        <v>5005</v>
      </c>
      <c r="AT47" s="9" t="s">
        <v>177</v>
      </c>
      <c r="AU47" s="9" t="s">
        <v>5006</v>
      </c>
      <c r="AV47" s="9" t="s">
        <v>5007</v>
      </c>
      <c r="AW47" s="9" t="s">
        <v>5008</v>
      </c>
      <c r="AX47" s="9" t="s">
        <v>5009</v>
      </c>
      <c r="AY47" s="9" t="s">
        <v>5010</v>
      </c>
      <c r="AZ47" s="9" t="s">
        <v>5011</v>
      </c>
      <c r="BA47" s="9" t="s">
        <v>5012</v>
      </c>
      <c r="BB47" s="9" t="s">
        <v>5013</v>
      </c>
      <c r="BC47" s="9" t="s">
        <v>5014</v>
      </c>
      <c r="BD47" s="9" t="s">
        <v>5015</v>
      </c>
      <c r="BE47" s="29"/>
      <c r="BF47" s="29"/>
      <c r="BG47" s="29"/>
      <c r="BH47" s="29"/>
      <c r="BI47" s="29"/>
      <c r="BJ47" s="29"/>
      <c r="BK47" s="29"/>
      <c r="BL47" s="29"/>
    </row>
    <row r="48" customFormat="false" ht="141" hidden="false" customHeight="false" outlineLevel="0" collapsed="false">
      <c r="A48" s="9" t="s">
        <v>5016</v>
      </c>
      <c r="B48" s="9" t="s">
        <v>2920</v>
      </c>
      <c r="C48" s="9" t="s">
        <v>1986</v>
      </c>
      <c r="D48" s="9" t="s">
        <v>1092</v>
      </c>
      <c r="E48" s="9" t="s">
        <v>87</v>
      </c>
      <c r="F48" s="9" t="s">
        <v>1282</v>
      </c>
      <c r="G48" s="28" t="s">
        <v>5017</v>
      </c>
      <c r="H48" s="9" t="s">
        <v>90</v>
      </c>
      <c r="I48" s="9" t="s">
        <v>5018</v>
      </c>
      <c r="J48" s="9" t="s">
        <v>5019</v>
      </c>
      <c r="K48" s="9" t="s">
        <v>5020</v>
      </c>
      <c r="L48" s="9" t="s">
        <v>5021</v>
      </c>
      <c r="M48" s="9" t="s">
        <v>5022</v>
      </c>
      <c r="N48" s="9" t="s">
        <v>5023</v>
      </c>
      <c r="O48" s="9" t="s">
        <v>97</v>
      </c>
      <c r="P48" s="9" t="s">
        <v>5024</v>
      </c>
      <c r="Q48" s="9" t="s">
        <v>291</v>
      </c>
      <c r="R48" s="9" t="s">
        <v>5025</v>
      </c>
      <c r="S48" s="9" t="s">
        <v>5026</v>
      </c>
      <c r="T48" s="9" t="s">
        <v>5027</v>
      </c>
      <c r="U48" s="9" t="s">
        <v>5028</v>
      </c>
      <c r="V48" s="9" t="s">
        <v>5029</v>
      </c>
      <c r="W48" s="9" t="s">
        <v>5030</v>
      </c>
      <c r="X48" s="9" t="s">
        <v>5031</v>
      </c>
      <c r="Y48" s="9" t="s">
        <v>5032</v>
      </c>
      <c r="Z48" s="9" t="s">
        <v>5033</v>
      </c>
      <c r="AA48" s="9" t="s">
        <v>5034</v>
      </c>
      <c r="AB48" s="9" t="s">
        <v>5035</v>
      </c>
      <c r="AC48" s="9" t="s">
        <v>5036</v>
      </c>
      <c r="AD48" s="9" t="s">
        <v>5037</v>
      </c>
      <c r="AE48" s="9" t="s">
        <v>5038</v>
      </c>
      <c r="AF48" s="9" t="s">
        <v>5039</v>
      </c>
      <c r="AG48" s="9" t="s">
        <v>5040</v>
      </c>
      <c r="AH48" s="9" t="s">
        <v>5041</v>
      </c>
      <c r="AI48" s="9" t="s">
        <v>5042</v>
      </c>
      <c r="AJ48" s="9" t="s">
        <v>5043</v>
      </c>
      <c r="AK48" s="9" t="s">
        <v>5044</v>
      </c>
      <c r="AL48" s="9" t="s">
        <v>5045</v>
      </c>
      <c r="AM48" s="9" t="s">
        <v>5046</v>
      </c>
      <c r="AN48" s="9" t="s">
        <v>5047</v>
      </c>
      <c r="AO48" s="9" t="s">
        <v>5048</v>
      </c>
      <c r="AP48" s="9" t="s">
        <v>5049</v>
      </c>
      <c r="AQ48" s="9" t="s">
        <v>5050</v>
      </c>
      <c r="AR48" s="9" t="s">
        <v>5051</v>
      </c>
      <c r="AS48" s="9" t="s">
        <v>5052</v>
      </c>
      <c r="AT48" s="9" t="s">
        <v>128</v>
      </c>
      <c r="AU48" s="9" t="s">
        <v>5053</v>
      </c>
      <c r="AV48" s="9" t="s">
        <v>5054</v>
      </c>
      <c r="AW48" s="9" t="s">
        <v>5055</v>
      </c>
      <c r="AX48" s="9" t="s">
        <v>5056</v>
      </c>
      <c r="AY48" s="9" t="s">
        <v>5057</v>
      </c>
      <c r="AZ48" s="9" t="s">
        <v>5058</v>
      </c>
      <c r="BA48" s="9" t="s">
        <v>5059</v>
      </c>
      <c r="BB48" s="9" t="s">
        <v>5060</v>
      </c>
      <c r="BC48" s="9" t="s">
        <v>5061</v>
      </c>
      <c r="BD48" s="9" t="s">
        <v>5062</v>
      </c>
      <c r="BE48" s="29"/>
      <c r="BF48" s="29"/>
      <c r="BG48" s="29"/>
      <c r="BH48" s="29"/>
      <c r="BI48" s="29"/>
      <c r="BJ48" s="29"/>
      <c r="BK48" s="29"/>
      <c r="BL48" s="29"/>
    </row>
    <row r="49" customFormat="false" ht="141" hidden="false" customHeight="false" outlineLevel="0" collapsed="false">
      <c r="A49" s="9" t="s">
        <v>5063</v>
      </c>
      <c r="B49" s="9" t="s">
        <v>2920</v>
      </c>
      <c r="C49" s="9" t="s">
        <v>1986</v>
      </c>
      <c r="D49" s="9" t="s">
        <v>1092</v>
      </c>
      <c r="E49" s="9" t="s">
        <v>87</v>
      </c>
      <c r="F49" s="9" t="s">
        <v>140</v>
      </c>
      <c r="G49" s="28" t="s">
        <v>5064</v>
      </c>
      <c r="H49" s="9" t="s">
        <v>90</v>
      </c>
      <c r="I49" s="9" t="s">
        <v>5065</v>
      </c>
      <c r="J49" s="9" t="s">
        <v>5066</v>
      </c>
      <c r="K49" s="9" t="s">
        <v>5067</v>
      </c>
      <c r="L49" s="9" t="s">
        <v>5068</v>
      </c>
      <c r="M49" s="9" t="s">
        <v>5069</v>
      </c>
      <c r="N49" s="9" t="s">
        <v>5070</v>
      </c>
      <c r="O49" s="9" t="s">
        <v>97</v>
      </c>
      <c r="P49" s="9" t="s">
        <v>5071</v>
      </c>
      <c r="Q49" s="9" t="s">
        <v>99</v>
      </c>
      <c r="R49" s="9" t="s">
        <v>5072</v>
      </c>
      <c r="S49" s="9" t="s">
        <v>5073</v>
      </c>
      <c r="T49" s="9" t="s">
        <v>5074</v>
      </c>
      <c r="U49" s="9" t="s">
        <v>5075</v>
      </c>
      <c r="V49" s="9" t="s">
        <v>5076</v>
      </c>
      <c r="W49" s="9" t="s">
        <v>5077</v>
      </c>
      <c r="X49" s="9" t="s">
        <v>5078</v>
      </c>
      <c r="Y49" s="9" t="s">
        <v>5079</v>
      </c>
      <c r="Z49" s="9" t="s">
        <v>5080</v>
      </c>
      <c r="AA49" s="9" t="s">
        <v>5081</v>
      </c>
      <c r="AB49" s="9" t="s">
        <v>5082</v>
      </c>
      <c r="AC49" s="9" t="s">
        <v>5083</v>
      </c>
      <c r="AD49" s="9" t="s">
        <v>5084</v>
      </c>
      <c r="AE49" s="9" t="s">
        <v>5085</v>
      </c>
      <c r="AF49" s="9" t="s">
        <v>5086</v>
      </c>
      <c r="AG49" s="9" t="s">
        <v>5087</v>
      </c>
      <c r="AH49" s="9" t="s">
        <v>5088</v>
      </c>
      <c r="AI49" s="9" t="s">
        <v>5089</v>
      </c>
      <c r="AJ49" s="9" t="s">
        <v>5090</v>
      </c>
      <c r="AK49" s="9" t="s">
        <v>5091</v>
      </c>
      <c r="AL49" s="9" t="s">
        <v>5092</v>
      </c>
      <c r="AM49" s="9" t="s">
        <v>5093</v>
      </c>
      <c r="AN49" s="9" t="s">
        <v>5094</v>
      </c>
      <c r="AO49" s="9" t="s">
        <v>220</v>
      </c>
      <c r="AP49" s="9" t="s">
        <v>5095</v>
      </c>
      <c r="AQ49" s="9" t="s">
        <v>222</v>
      </c>
      <c r="AR49" s="9" t="s">
        <v>5096</v>
      </c>
      <c r="AS49" s="9" t="s">
        <v>5097</v>
      </c>
      <c r="AT49" s="9" t="s">
        <v>128</v>
      </c>
      <c r="AU49" s="9" t="s">
        <v>5098</v>
      </c>
      <c r="AV49" s="9" t="s">
        <v>5099</v>
      </c>
      <c r="AW49" s="9" t="s">
        <v>5100</v>
      </c>
      <c r="AX49" s="9" t="s">
        <v>5101</v>
      </c>
      <c r="AY49" s="9" t="s">
        <v>5102</v>
      </c>
      <c r="AZ49" s="9" t="s">
        <v>5103</v>
      </c>
      <c r="BA49" s="9" t="s">
        <v>5104</v>
      </c>
      <c r="BB49" s="9" t="s">
        <v>5105</v>
      </c>
      <c r="BC49" s="9" t="s">
        <v>5106</v>
      </c>
      <c r="BD49" s="9" t="s">
        <v>5107</v>
      </c>
      <c r="BE49" s="29"/>
      <c r="BF49" s="29"/>
      <c r="BG49" s="29"/>
      <c r="BH49" s="29"/>
      <c r="BI49" s="29"/>
      <c r="BJ49" s="29"/>
      <c r="BK49" s="29"/>
      <c r="BL49" s="29"/>
    </row>
    <row r="50" customFormat="false" ht="153.7" hidden="false" customHeight="false" outlineLevel="0" collapsed="false">
      <c r="A50" s="9" t="s">
        <v>5108</v>
      </c>
      <c r="B50" s="9" t="s">
        <v>2920</v>
      </c>
      <c r="C50" s="9" t="s">
        <v>1986</v>
      </c>
      <c r="D50" s="9" t="s">
        <v>2128</v>
      </c>
      <c r="E50" s="9" t="s">
        <v>87</v>
      </c>
      <c r="F50" s="9" t="s">
        <v>997</v>
      </c>
      <c r="G50" s="28" t="s">
        <v>5109</v>
      </c>
      <c r="H50" s="9" t="s">
        <v>90</v>
      </c>
      <c r="I50" s="9" t="s">
        <v>5110</v>
      </c>
      <c r="J50" s="9" t="s">
        <v>5111</v>
      </c>
      <c r="K50" s="9" t="s">
        <v>5112</v>
      </c>
      <c r="L50" s="9" t="s">
        <v>5113</v>
      </c>
      <c r="M50" s="9" t="s">
        <v>5114</v>
      </c>
      <c r="N50" s="9" t="s">
        <v>5115</v>
      </c>
      <c r="O50" s="9" t="s">
        <v>97</v>
      </c>
      <c r="P50" s="9" t="s">
        <v>5116</v>
      </c>
      <c r="Q50" s="9" t="s">
        <v>291</v>
      </c>
      <c r="R50" s="9" t="s">
        <v>5117</v>
      </c>
      <c r="S50" s="9" t="s">
        <v>5118</v>
      </c>
      <c r="T50" s="9" t="s">
        <v>5119</v>
      </c>
      <c r="U50" s="9" t="s">
        <v>5120</v>
      </c>
      <c r="V50" s="9" t="s">
        <v>5121</v>
      </c>
      <c r="W50" s="9" t="s">
        <v>5122</v>
      </c>
      <c r="X50" s="9" t="s">
        <v>5123</v>
      </c>
      <c r="Y50" s="9" t="s">
        <v>5124</v>
      </c>
      <c r="Z50" s="9" t="s">
        <v>5125</v>
      </c>
      <c r="AA50" s="9" t="s">
        <v>5126</v>
      </c>
      <c r="AB50" s="9" t="s">
        <v>5127</v>
      </c>
      <c r="AC50" s="9" t="s">
        <v>5128</v>
      </c>
      <c r="AD50" s="9" t="s">
        <v>5129</v>
      </c>
      <c r="AE50" s="9" t="s">
        <v>5130</v>
      </c>
      <c r="AF50" s="9" t="s">
        <v>5131</v>
      </c>
      <c r="AG50" s="9" t="s">
        <v>5132</v>
      </c>
      <c r="AH50" s="9" t="s">
        <v>5133</v>
      </c>
      <c r="AI50" s="9" t="s">
        <v>5134</v>
      </c>
      <c r="AJ50" s="9" t="s">
        <v>5135</v>
      </c>
      <c r="AK50" s="9" t="s">
        <v>5136</v>
      </c>
      <c r="AL50" s="9" t="s">
        <v>5137</v>
      </c>
      <c r="AM50" s="9" t="s">
        <v>5138</v>
      </c>
      <c r="AN50" s="9" t="s">
        <v>5139</v>
      </c>
      <c r="AO50" s="9" t="s">
        <v>5140</v>
      </c>
      <c r="AP50" s="9" t="s">
        <v>5141</v>
      </c>
      <c r="AQ50" s="9" t="s">
        <v>5142</v>
      </c>
      <c r="AR50" s="9" t="s">
        <v>5143</v>
      </c>
      <c r="AS50" s="9" t="s">
        <v>5144</v>
      </c>
      <c r="AT50" s="9" t="s">
        <v>128</v>
      </c>
      <c r="AU50" s="9" t="s">
        <v>5145</v>
      </c>
      <c r="AV50" s="9" t="s">
        <v>5146</v>
      </c>
      <c r="AW50" s="9" t="s">
        <v>5147</v>
      </c>
      <c r="AX50" s="9" t="s">
        <v>5148</v>
      </c>
      <c r="AY50" s="9" t="s">
        <v>5149</v>
      </c>
      <c r="AZ50" s="9" t="s">
        <v>5150</v>
      </c>
      <c r="BA50" s="9" t="s">
        <v>5151</v>
      </c>
      <c r="BB50" s="9" t="s">
        <v>5152</v>
      </c>
      <c r="BC50" s="9" t="s">
        <v>5153</v>
      </c>
      <c r="BD50" s="9" t="s">
        <v>5154</v>
      </c>
      <c r="BE50" s="29"/>
      <c r="BF50" s="29"/>
      <c r="BG50" s="29"/>
      <c r="BH50" s="29"/>
      <c r="BI50" s="29"/>
      <c r="BJ50" s="29"/>
      <c r="BK50" s="29"/>
      <c r="BL50" s="29"/>
    </row>
    <row r="51" customFormat="false" ht="141" hidden="false" customHeight="false" outlineLevel="0" collapsed="false">
      <c r="A51" s="9" t="s">
        <v>5155</v>
      </c>
      <c r="B51" s="9" t="s">
        <v>2920</v>
      </c>
      <c r="C51" s="9" t="s">
        <v>1986</v>
      </c>
      <c r="D51" s="9" t="s">
        <v>2128</v>
      </c>
      <c r="E51" s="9" t="s">
        <v>87</v>
      </c>
      <c r="F51" s="9" t="s">
        <v>997</v>
      </c>
      <c r="G51" s="28" t="s">
        <v>5156</v>
      </c>
      <c r="H51" s="9" t="s">
        <v>90</v>
      </c>
      <c r="I51" s="9" t="s">
        <v>5157</v>
      </c>
      <c r="J51" s="9" t="s">
        <v>5158</v>
      </c>
      <c r="K51" s="9" t="s">
        <v>5159</v>
      </c>
      <c r="L51" s="9" t="s">
        <v>5160</v>
      </c>
      <c r="M51" s="9" t="s">
        <v>5161</v>
      </c>
      <c r="N51" s="9" t="s">
        <v>5162</v>
      </c>
      <c r="O51" s="9" t="s">
        <v>575</v>
      </c>
      <c r="P51" s="9" t="s">
        <v>5163</v>
      </c>
      <c r="Q51" s="9" t="s">
        <v>291</v>
      </c>
      <c r="R51" s="9" t="s">
        <v>5164</v>
      </c>
      <c r="S51" s="9" t="s">
        <v>5165</v>
      </c>
      <c r="T51" s="9" t="s">
        <v>5166</v>
      </c>
      <c r="U51" s="9" t="s">
        <v>5167</v>
      </c>
      <c r="V51" s="9" t="s">
        <v>5168</v>
      </c>
      <c r="W51" s="9" t="s">
        <v>5169</v>
      </c>
      <c r="X51" s="9" t="s">
        <v>5170</v>
      </c>
      <c r="Y51" s="9" t="s">
        <v>5171</v>
      </c>
      <c r="Z51" s="9" t="s">
        <v>5172</v>
      </c>
      <c r="AA51" s="9" t="s">
        <v>5173</v>
      </c>
      <c r="AB51" s="9" t="s">
        <v>5174</v>
      </c>
      <c r="AC51" s="9" t="s">
        <v>5175</v>
      </c>
      <c r="AD51" s="9" t="s">
        <v>5176</v>
      </c>
      <c r="AE51" s="9" t="s">
        <v>5177</v>
      </c>
      <c r="AF51" s="9" t="s">
        <v>5178</v>
      </c>
      <c r="AG51" s="9" t="s">
        <v>5179</v>
      </c>
      <c r="AH51" s="9" t="s">
        <v>5180</v>
      </c>
      <c r="AI51" s="9" t="s">
        <v>5181</v>
      </c>
      <c r="AJ51" s="9" t="s">
        <v>5182</v>
      </c>
      <c r="AK51" s="9" t="s">
        <v>5183</v>
      </c>
      <c r="AL51" s="9" t="s">
        <v>5184</v>
      </c>
      <c r="AM51" s="9" t="s">
        <v>5185</v>
      </c>
      <c r="AN51" s="9" t="s">
        <v>5186</v>
      </c>
      <c r="AO51" s="9" t="s">
        <v>5187</v>
      </c>
      <c r="AP51" s="9" t="s">
        <v>5188</v>
      </c>
      <c r="AQ51" s="9" t="s">
        <v>5189</v>
      </c>
      <c r="AR51" s="9" t="s">
        <v>5190</v>
      </c>
      <c r="AS51" s="9" t="s">
        <v>5191</v>
      </c>
      <c r="AT51" s="9" t="s">
        <v>414</v>
      </c>
      <c r="AU51" s="9" t="s">
        <v>5192</v>
      </c>
      <c r="AV51" s="9" t="s">
        <v>5193</v>
      </c>
      <c r="AW51" s="9" t="s">
        <v>5194</v>
      </c>
      <c r="AX51" s="9" t="s">
        <v>5195</v>
      </c>
      <c r="AY51" s="9" t="s">
        <v>5196</v>
      </c>
      <c r="AZ51" s="9" t="s">
        <v>5197</v>
      </c>
      <c r="BA51" s="9" t="s">
        <v>5198</v>
      </c>
      <c r="BB51" s="9" t="s">
        <v>5199</v>
      </c>
      <c r="BC51" s="9" t="s">
        <v>5200</v>
      </c>
      <c r="BD51" s="9" t="s">
        <v>5201</v>
      </c>
      <c r="BE51" s="29"/>
      <c r="BF51" s="29"/>
      <c r="BG51" s="29"/>
      <c r="BH51" s="29"/>
      <c r="BI51" s="29"/>
      <c r="BJ51" s="29"/>
      <c r="BK51" s="29"/>
      <c r="BL51" s="29"/>
    </row>
    <row r="52" customFormat="false" ht="141" hidden="false" customHeight="false" outlineLevel="0" collapsed="false">
      <c r="A52" s="9" t="s">
        <v>5202</v>
      </c>
      <c r="B52" s="9" t="s">
        <v>2920</v>
      </c>
      <c r="C52" s="9" t="s">
        <v>1986</v>
      </c>
      <c r="D52" s="9" t="s">
        <v>1092</v>
      </c>
      <c r="E52" s="9" t="s">
        <v>87</v>
      </c>
      <c r="F52" s="9" t="s">
        <v>426</v>
      </c>
      <c r="G52" s="28" t="s">
        <v>5203</v>
      </c>
      <c r="H52" s="9" t="s">
        <v>90</v>
      </c>
      <c r="I52" s="9" t="s">
        <v>5204</v>
      </c>
      <c r="J52" s="9" t="s">
        <v>5205</v>
      </c>
      <c r="K52" s="9" t="s">
        <v>5206</v>
      </c>
      <c r="L52" s="9" t="s">
        <v>5207</v>
      </c>
      <c r="M52" s="9" t="s">
        <v>5208</v>
      </c>
      <c r="N52" s="9" t="s">
        <v>5209</v>
      </c>
      <c r="O52" s="9" t="s">
        <v>97</v>
      </c>
      <c r="P52" s="9" t="s">
        <v>5210</v>
      </c>
      <c r="Q52" s="9" t="s">
        <v>99</v>
      </c>
      <c r="R52" s="9" t="s">
        <v>5211</v>
      </c>
      <c r="S52" s="9" t="s">
        <v>5212</v>
      </c>
      <c r="T52" s="9" t="s">
        <v>5213</v>
      </c>
      <c r="U52" s="9" t="s">
        <v>5214</v>
      </c>
      <c r="V52" s="9" t="s">
        <v>5215</v>
      </c>
      <c r="W52" s="9" t="s">
        <v>5216</v>
      </c>
      <c r="X52" s="9" t="s">
        <v>5217</v>
      </c>
      <c r="Y52" s="9" t="s">
        <v>5218</v>
      </c>
      <c r="Z52" s="9" t="s">
        <v>5219</v>
      </c>
      <c r="AA52" s="9" t="s">
        <v>5220</v>
      </c>
      <c r="AB52" s="9" t="s">
        <v>5221</v>
      </c>
      <c r="AC52" s="9" t="s">
        <v>5222</v>
      </c>
      <c r="AD52" s="9" t="s">
        <v>5223</v>
      </c>
      <c r="AE52" s="9" t="s">
        <v>5224</v>
      </c>
      <c r="AF52" s="9" t="s">
        <v>5225</v>
      </c>
      <c r="AG52" s="9" t="s">
        <v>5226</v>
      </c>
      <c r="AH52" s="9" t="s">
        <v>5227</v>
      </c>
      <c r="AI52" s="9" t="s">
        <v>5228</v>
      </c>
      <c r="AJ52" s="9" t="s">
        <v>5229</v>
      </c>
      <c r="AK52" s="9" t="s">
        <v>5230</v>
      </c>
      <c r="AL52" s="9" t="s">
        <v>5231</v>
      </c>
      <c r="AM52" s="9" t="s">
        <v>5232</v>
      </c>
      <c r="AN52" s="9" t="s">
        <v>5233</v>
      </c>
      <c r="AO52" s="9" t="s">
        <v>5234</v>
      </c>
      <c r="AP52" s="9" t="s">
        <v>5235</v>
      </c>
      <c r="AQ52" s="9" t="s">
        <v>5236</v>
      </c>
      <c r="AR52" s="9" t="s">
        <v>5237</v>
      </c>
      <c r="AS52" s="9" t="s">
        <v>5238</v>
      </c>
      <c r="AT52" s="9" t="s">
        <v>699</v>
      </c>
      <c r="AU52" s="9" t="s">
        <v>5239</v>
      </c>
      <c r="AV52" s="9" t="s">
        <v>5240</v>
      </c>
      <c r="AW52" s="9" t="s">
        <v>5241</v>
      </c>
      <c r="AX52" s="9" t="s">
        <v>5242</v>
      </c>
      <c r="AY52" s="9" t="s">
        <v>5243</v>
      </c>
      <c r="AZ52" s="9" t="s">
        <v>5244</v>
      </c>
      <c r="BA52" s="9" t="s">
        <v>5245</v>
      </c>
      <c r="BB52" s="9" t="s">
        <v>5246</v>
      </c>
      <c r="BC52" s="9" t="s">
        <v>5247</v>
      </c>
      <c r="BD52" s="9" t="s">
        <v>5248</v>
      </c>
      <c r="BE52" s="29"/>
      <c r="BF52" s="29"/>
      <c r="BG52" s="29"/>
      <c r="BH52" s="29"/>
      <c r="BI52" s="29"/>
      <c r="BJ52" s="29"/>
      <c r="BK52" s="29"/>
      <c r="BL52" s="29"/>
    </row>
    <row r="53" customFormat="false" ht="179.1" hidden="false" customHeight="false" outlineLevel="0" collapsed="false">
      <c r="A53" s="9" t="s">
        <v>5249</v>
      </c>
      <c r="B53" s="9" t="s">
        <v>2920</v>
      </c>
      <c r="C53" s="9" t="s">
        <v>1986</v>
      </c>
      <c r="D53" s="9" t="s">
        <v>2128</v>
      </c>
      <c r="E53" s="9" t="s">
        <v>87</v>
      </c>
      <c r="F53" s="9" t="s">
        <v>662</v>
      </c>
      <c r="G53" s="28" t="s">
        <v>5250</v>
      </c>
      <c r="H53" s="9" t="s">
        <v>90</v>
      </c>
      <c r="I53" s="9" t="s">
        <v>5251</v>
      </c>
      <c r="J53" s="9" t="s">
        <v>5252</v>
      </c>
      <c r="K53" s="9" t="s">
        <v>5253</v>
      </c>
      <c r="L53" s="9" t="s">
        <v>5254</v>
      </c>
      <c r="M53" s="9" t="s">
        <v>5255</v>
      </c>
      <c r="N53" s="9" t="s">
        <v>5256</v>
      </c>
      <c r="O53" s="9" t="s">
        <v>97</v>
      </c>
      <c r="P53" s="9" t="s">
        <v>5257</v>
      </c>
      <c r="Q53" s="9" t="s">
        <v>291</v>
      </c>
      <c r="R53" s="9" t="s">
        <v>5258</v>
      </c>
      <c r="S53" s="9" t="s">
        <v>5259</v>
      </c>
      <c r="T53" s="9" t="s">
        <v>5260</v>
      </c>
      <c r="U53" s="9" t="s">
        <v>5261</v>
      </c>
      <c r="V53" s="9" t="s">
        <v>5262</v>
      </c>
      <c r="W53" s="9" t="s">
        <v>5263</v>
      </c>
      <c r="X53" s="9" t="s">
        <v>5264</v>
      </c>
      <c r="Y53" s="9" t="s">
        <v>5265</v>
      </c>
      <c r="Z53" s="9" t="s">
        <v>5266</v>
      </c>
      <c r="AA53" s="9" t="s">
        <v>5267</v>
      </c>
      <c r="AB53" s="9" t="s">
        <v>5268</v>
      </c>
      <c r="AC53" s="9" t="s">
        <v>5269</v>
      </c>
      <c r="AD53" s="9" t="s">
        <v>5270</v>
      </c>
      <c r="AE53" s="9" t="s">
        <v>5271</v>
      </c>
      <c r="AF53" s="9" t="s">
        <v>5272</v>
      </c>
      <c r="AG53" s="9" t="s">
        <v>5273</v>
      </c>
      <c r="AH53" s="9" t="s">
        <v>5274</v>
      </c>
      <c r="AI53" s="9" t="s">
        <v>5275</v>
      </c>
      <c r="AJ53" s="9" t="s">
        <v>5276</v>
      </c>
      <c r="AK53" s="9" t="s">
        <v>5277</v>
      </c>
      <c r="AL53" s="9" t="s">
        <v>5278</v>
      </c>
      <c r="AM53" s="9" t="s">
        <v>5279</v>
      </c>
      <c r="AN53" s="9" t="s">
        <v>5280</v>
      </c>
      <c r="AO53" s="9" t="s">
        <v>5281</v>
      </c>
      <c r="AP53" s="9" t="s">
        <v>5282</v>
      </c>
      <c r="AQ53" s="9" t="s">
        <v>5283</v>
      </c>
      <c r="AR53" s="9" t="s">
        <v>5284</v>
      </c>
      <c r="AS53" s="9" t="s">
        <v>5285</v>
      </c>
      <c r="AT53" s="9" t="s">
        <v>699</v>
      </c>
      <c r="AU53" s="9" t="s">
        <v>5286</v>
      </c>
      <c r="AV53" s="9" t="s">
        <v>5287</v>
      </c>
      <c r="AW53" s="9" t="s">
        <v>5288</v>
      </c>
      <c r="AX53" s="9" t="s">
        <v>5289</v>
      </c>
      <c r="AY53" s="9" t="s">
        <v>5290</v>
      </c>
      <c r="AZ53" s="9" t="s">
        <v>5291</v>
      </c>
      <c r="BA53" s="9" t="s">
        <v>5292</v>
      </c>
      <c r="BB53" s="9" t="s">
        <v>5293</v>
      </c>
      <c r="BC53" s="9" t="s">
        <v>5294</v>
      </c>
      <c r="BD53" s="9" t="s">
        <v>5295</v>
      </c>
      <c r="BE53" s="29"/>
      <c r="BF53" s="29"/>
      <c r="BG53" s="29"/>
      <c r="BH53" s="29"/>
      <c r="BI53" s="29"/>
      <c r="BJ53" s="29"/>
      <c r="BK53" s="29"/>
      <c r="BL53" s="29"/>
    </row>
    <row r="54" customFormat="false" ht="179.1" hidden="false" customHeight="false" outlineLevel="0" collapsed="false">
      <c r="A54" s="9" t="s">
        <v>5296</v>
      </c>
      <c r="B54" s="9" t="s">
        <v>2920</v>
      </c>
      <c r="C54" s="9" t="s">
        <v>1986</v>
      </c>
      <c r="D54" s="9" t="s">
        <v>1092</v>
      </c>
      <c r="E54" s="9" t="s">
        <v>87</v>
      </c>
      <c r="F54" s="9" t="s">
        <v>4130</v>
      </c>
      <c r="G54" s="28" t="s">
        <v>5297</v>
      </c>
      <c r="H54" s="9" t="s">
        <v>90</v>
      </c>
      <c r="I54" s="9" t="s">
        <v>5298</v>
      </c>
      <c r="J54" s="9" t="s">
        <v>5299</v>
      </c>
      <c r="K54" s="9" t="s">
        <v>5300</v>
      </c>
      <c r="L54" s="9" t="s">
        <v>5301</v>
      </c>
      <c r="M54" s="9" t="s">
        <v>5302</v>
      </c>
      <c r="N54" s="9" t="s">
        <v>5303</v>
      </c>
      <c r="O54" s="9" t="s">
        <v>575</v>
      </c>
      <c r="P54" s="9" t="s">
        <v>5304</v>
      </c>
      <c r="Q54" s="9" t="s">
        <v>957</v>
      </c>
      <c r="R54" s="9" t="s">
        <v>5305</v>
      </c>
      <c r="S54" s="9" t="s">
        <v>5306</v>
      </c>
      <c r="T54" s="9" t="s">
        <v>5307</v>
      </c>
      <c r="U54" s="9" t="s">
        <v>5308</v>
      </c>
      <c r="V54" s="9" t="s">
        <v>5309</v>
      </c>
      <c r="W54" s="9" t="s">
        <v>5310</v>
      </c>
      <c r="X54" s="9" t="s">
        <v>5311</v>
      </c>
      <c r="Y54" s="9" t="s">
        <v>5312</v>
      </c>
      <c r="Z54" s="9" t="s">
        <v>5313</v>
      </c>
      <c r="AA54" s="9" t="s">
        <v>5314</v>
      </c>
      <c r="AB54" s="9" t="s">
        <v>5315</v>
      </c>
      <c r="AC54" s="9" t="s">
        <v>5316</v>
      </c>
      <c r="AD54" s="9" t="s">
        <v>5317</v>
      </c>
      <c r="AE54" s="9" t="s">
        <v>5318</v>
      </c>
      <c r="AF54" s="9" t="s">
        <v>5319</v>
      </c>
      <c r="AG54" s="9" t="s">
        <v>5320</v>
      </c>
      <c r="AH54" s="9" t="s">
        <v>5321</v>
      </c>
      <c r="AI54" s="9" t="s">
        <v>5322</v>
      </c>
      <c r="AJ54" s="9" t="s">
        <v>5323</v>
      </c>
      <c r="AK54" s="9" t="s">
        <v>5324</v>
      </c>
      <c r="AL54" s="9" t="s">
        <v>5325</v>
      </c>
      <c r="AM54" s="9" t="s">
        <v>5326</v>
      </c>
      <c r="AN54" s="9" t="s">
        <v>5327</v>
      </c>
      <c r="AO54" s="9" t="s">
        <v>5328</v>
      </c>
      <c r="AP54" s="9" t="s">
        <v>5329</v>
      </c>
      <c r="AQ54" s="9" t="s">
        <v>648</v>
      </c>
      <c r="AR54" s="9" t="s">
        <v>5330</v>
      </c>
      <c r="AS54" s="9" t="s">
        <v>5331</v>
      </c>
      <c r="AT54" s="9" t="s">
        <v>177</v>
      </c>
      <c r="AU54" s="9" t="s">
        <v>5332</v>
      </c>
      <c r="AV54" s="9" t="s">
        <v>5333</v>
      </c>
      <c r="AW54" s="9" t="s">
        <v>5334</v>
      </c>
      <c r="AX54" s="9" t="s">
        <v>5335</v>
      </c>
      <c r="AY54" s="9" t="s">
        <v>5336</v>
      </c>
      <c r="AZ54" s="9" t="s">
        <v>5337</v>
      </c>
      <c r="BA54" s="9" t="s">
        <v>5338</v>
      </c>
      <c r="BB54" s="9" t="s">
        <v>5339</v>
      </c>
      <c r="BC54" s="9" t="s">
        <v>5340</v>
      </c>
      <c r="BD54" s="9" t="s">
        <v>5341</v>
      </c>
      <c r="BE54" s="29"/>
      <c r="BF54" s="29"/>
      <c r="BG54" s="29"/>
      <c r="BH54" s="29"/>
      <c r="BI54" s="29"/>
      <c r="BJ54" s="29"/>
      <c r="BK54" s="29"/>
      <c r="BL54" s="29"/>
    </row>
    <row r="55" customFormat="false" ht="166.4" hidden="false" customHeight="false" outlineLevel="0" collapsed="false">
      <c r="A55" s="9" t="s">
        <v>5342</v>
      </c>
      <c r="B55" s="9" t="s">
        <v>2920</v>
      </c>
      <c r="C55" s="9" t="s">
        <v>1986</v>
      </c>
      <c r="D55" s="9" t="s">
        <v>2128</v>
      </c>
      <c r="E55" s="9" t="s">
        <v>87</v>
      </c>
      <c r="F55" s="9" t="s">
        <v>1330</v>
      </c>
      <c r="G55" s="28" t="s">
        <v>5343</v>
      </c>
      <c r="H55" s="9" t="s">
        <v>90</v>
      </c>
      <c r="I55" s="9" t="s">
        <v>5344</v>
      </c>
      <c r="J55" s="9" t="s">
        <v>5345</v>
      </c>
      <c r="K55" s="9" t="s">
        <v>5346</v>
      </c>
      <c r="L55" s="9" t="s">
        <v>5347</v>
      </c>
      <c r="M55" s="9" t="s">
        <v>5348</v>
      </c>
      <c r="N55" s="9" t="s">
        <v>5349</v>
      </c>
      <c r="O55" s="9" t="s">
        <v>97</v>
      </c>
      <c r="P55" s="9" t="s">
        <v>5350</v>
      </c>
      <c r="Q55" s="9" t="s">
        <v>99</v>
      </c>
      <c r="R55" s="9" t="s">
        <v>5351</v>
      </c>
      <c r="S55" s="9" t="s">
        <v>5352</v>
      </c>
      <c r="T55" s="9" t="s">
        <v>5353</v>
      </c>
      <c r="U55" s="9" t="s">
        <v>5354</v>
      </c>
      <c r="V55" s="9" t="s">
        <v>5355</v>
      </c>
      <c r="W55" s="9" t="s">
        <v>5356</v>
      </c>
      <c r="X55" s="9" t="s">
        <v>5357</v>
      </c>
      <c r="Y55" s="9" t="s">
        <v>5358</v>
      </c>
      <c r="Z55" s="9" t="s">
        <v>5359</v>
      </c>
      <c r="AA55" s="9" t="s">
        <v>5360</v>
      </c>
      <c r="AB55" s="9" t="s">
        <v>5361</v>
      </c>
      <c r="AC55" s="9" t="s">
        <v>5362</v>
      </c>
      <c r="AD55" s="9" t="s">
        <v>5363</v>
      </c>
      <c r="AE55" s="9" t="s">
        <v>5364</v>
      </c>
      <c r="AF55" s="9" t="s">
        <v>5365</v>
      </c>
      <c r="AG55" s="9" t="s">
        <v>5366</v>
      </c>
      <c r="AH55" s="9" t="s">
        <v>5367</v>
      </c>
      <c r="AI55" s="9" t="s">
        <v>5368</v>
      </c>
      <c r="AJ55" s="9" t="s">
        <v>5369</v>
      </c>
      <c r="AK55" s="9" t="s">
        <v>5370</v>
      </c>
      <c r="AL55" s="9" t="s">
        <v>5371</v>
      </c>
      <c r="AM55" s="9" t="s">
        <v>5372</v>
      </c>
      <c r="AN55" s="9" t="s">
        <v>5373</v>
      </c>
      <c r="AO55" s="9" t="s">
        <v>5374</v>
      </c>
      <c r="AP55" s="9" t="s">
        <v>5375</v>
      </c>
      <c r="AQ55" s="9" t="s">
        <v>602</v>
      </c>
      <c r="AR55" s="9" t="s">
        <v>5376</v>
      </c>
      <c r="AS55" s="9" t="s">
        <v>5377</v>
      </c>
      <c r="AT55" s="9" t="s">
        <v>699</v>
      </c>
      <c r="AU55" s="9" t="s">
        <v>5378</v>
      </c>
      <c r="AV55" s="9" t="s">
        <v>5379</v>
      </c>
      <c r="AW55" s="9" t="s">
        <v>5380</v>
      </c>
      <c r="AX55" s="9" t="s">
        <v>5381</v>
      </c>
      <c r="AY55" s="9" t="s">
        <v>5382</v>
      </c>
      <c r="AZ55" s="9" t="s">
        <v>5383</v>
      </c>
      <c r="BA55" s="9" t="s">
        <v>5384</v>
      </c>
      <c r="BB55" s="9" t="s">
        <v>5385</v>
      </c>
      <c r="BC55" s="9" t="s">
        <v>5386</v>
      </c>
      <c r="BD55" s="9" t="s">
        <v>5387</v>
      </c>
      <c r="BE55" s="29"/>
      <c r="BF55" s="29"/>
      <c r="BG55" s="29"/>
      <c r="BH55" s="29"/>
      <c r="BI55" s="29"/>
      <c r="BJ55" s="29"/>
      <c r="BK55" s="29"/>
      <c r="BL55" s="29"/>
    </row>
    <row r="56" customFormat="false" ht="166.4" hidden="false" customHeight="false" outlineLevel="0" collapsed="false">
      <c r="A56" s="9" t="s">
        <v>5388</v>
      </c>
      <c r="B56" s="9" t="s">
        <v>2920</v>
      </c>
      <c r="C56" s="9" t="s">
        <v>1986</v>
      </c>
      <c r="D56" s="9" t="s">
        <v>1092</v>
      </c>
      <c r="E56" s="9" t="s">
        <v>87</v>
      </c>
      <c r="F56" s="9" t="s">
        <v>1378</v>
      </c>
      <c r="G56" s="28" t="s">
        <v>5389</v>
      </c>
      <c r="H56" s="9" t="s">
        <v>90</v>
      </c>
      <c r="I56" s="9" t="s">
        <v>5390</v>
      </c>
      <c r="J56" s="9" t="s">
        <v>5391</v>
      </c>
      <c r="K56" s="9" t="s">
        <v>5392</v>
      </c>
      <c r="L56" s="9" t="s">
        <v>5393</v>
      </c>
      <c r="M56" s="9" t="s">
        <v>5394</v>
      </c>
      <c r="N56" s="9" t="s">
        <v>5395</v>
      </c>
      <c r="O56" s="9" t="s">
        <v>575</v>
      </c>
      <c r="P56" s="9" t="s">
        <v>5396</v>
      </c>
      <c r="Q56" s="9" t="s">
        <v>957</v>
      </c>
      <c r="R56" s="9" t="s">
        <v>5397</v>
      </c>
      <c r="S56" s="9" t="s">
        <v>5398</v>
      </c>
      <c r="T56" s="9" t="s">
        <v>5399</v>
      </c>
      <c r="U56" s="9" t="s">
        <v>5400</v>
      </c>
      <c r="V56" s="9" t="s">
        <v>5401</v>
      </c>
      <c r="W56" s="9" t="s">
        <v>5402</v>
      </c>
      <c r="X56" s="9" t="s">
        <v>5403</v>
      </c>
      <c r="Y56" s="9" t="s">
        <v>5404</v>
      </c>
      <c r="Z56" s="9" t="s">
        <v>5405</v>
      </c>
      <c r="AA56" s="9" t="s">
        <v>5406</v>
      </c>
      <c r="AB56" s="9" t="s">
        <v>5407</v>
      </c>
      <c r="AC56" s="9" t="s">
        <v>5408</v>
      </c>
      <c r="AD56" s="9" t="s">
        <v>5409</v>
      </c>
      <c r="AE56" s="9" t="s">
        <v>5410</v>
      </c>
      <c r="AF56" s="9" t="s">
        <v>5411</v>
      </c>
      <c r="AG56" s="9" t="s">
        <v>5412</v>
      </c>
      <c r="AH56" s="9" t="s">
        <v>5413</v>
      </c>
      <c r="AI56" s="9" t="s">
        <v>5414</v>
      </c>
      <c r="AJ56" s="9" t="s">
        <v>5415</v>
      </c>
      <c r="AK56" s="9" t="s">
        <v>5416</v>
      </c>
      <c r="AL56" s="9" t="s">
        <v>5417</v>
      </c>
      <c r="AM56" s="9" t="s">
        <v>5418</v>
      </c>
      <c r="AN56" s="9" t="s">
        <v>5419</v>
      </c>
      <c r="AO56" s="9" t="s">
        <v>5420</v>
      </c>
      <c r="AP56" s="9" t="s">
        <v>5421</v>
      </c>
      <c r="AQ56" s="9" t="s">
        <v>5422</v>
      </c>
      <c r="AR56" s="9" t="s">
        <v>5423</v>
      </c>
      <c r="AS56" s="9" t="s">
        <v>5424</v>
      </c>
      <c r="AT56" s="9" t="s">
        <v>177</v>
      </c>
      <c r="AU56" s="9" t="s">
        <v>5425</v>
      </c>
      <c r="AV56" s="9" t="s">
        <v>5426</v>
      </c>
      <c r="AW56" s="9" t="s">
        <v>5427</v>
      </c>
      <c r="AX56" s="9" t="s">
        <v>5428</v>
      </c>
      <c r="AY56" s="9" t="s">
        <v>5429</v>
      </c>
      <c r="AZ56" s="9" t="s">
        <v>5430</v>
      </c>
      <c r="BA56" s="9" t="s">
        <v>5431</v>
      </c>
      <c r="BB56" s="9" t="s">
        <v>5432</v>
      </c>
      <c r="BC56" s="9" t="s">
        <v>5433</v>
      </c>
      <c r="BD56" s="9" t="s">
        <v>5434</v>
      </c>
      <c r="BE56" s="29"/>
      <c r="BF56" s="29"/>
      <c r="BG56" s="29"/>
      <c r="BH56" s="29"/>
      <c r="BI56" s="29"/>
      <c r="BJ56" s="29"/>
      <c r="BK56" s="29"/>
      <c r="BL56" s="29"/>
    </row>
    <row r="57" customFormat="false" ht="128.35" hidden="false" customHeight="false" outlineLevel="0" collapsed="false">
      <c r="A57" s="9" t="s">
        <v>5435</v>
      </c>
      <c r="B57" s="9" t="s">
        <v>2920</v>
      </c>
      <c r="C57" s="9" t="s">
        <v>1986</v>
      </c>
      <c r="D57" s="9" t="s">
        <v>1092</v>
      </c>
      <c r="E57" s="9" t="s">
        <v>758</v>
      </c>
      <c r="F57" s="9" t="s">
        <v>997</v>
      </c>
      <c r="G57" s="28" t="s">
        <v>5436</v>
      </c>
      <c r="H57" s="9" t="s">
        <v>760</v>
      </c>
      <c r="I57" s="9" t="s">
        <v>5437</v>
      </c>
      <c r="J57" s="9" t="s">
        <v>5438</v>
      </c>
      <c r="K57" s="9" t="s">
        <v>5439</v>
      </c>
      <c r="L57" s="9" t="s">
        <v>5440</v>
      </c>
      <c r="M57" s="9" t="s">
        <v>5441</v>
      </c>
      <c r="N57" s="9" t="s">
        <v>5442</v>
      </c>
      <c r="O57" s="9" t="s">
        <v>97</v>
      </c>
      <c r="P57" s="9" t="s">
        <v>5443</v>
      </c>
      <c r="Q57" s="9" t="s">
        <v>99</v>
      </c>
      <c r="R57" s="9" t="s">
        <v>5444</v>
      </c>
      <c r="S57" s="9" t="s">
        <v>5445</v>
      </c>
      <c r="T57" s="9" t="s">
        <v>5446</v>
      </c>
      <c r="U57" s="9" t="s">
        <v>5447</v>
      </c>
      <c r="V57" s="9" t="s">
        <v>5448</v>
      </c>
      <c r="W57" s="9" t="s">
        <v>5449</v>
      </c>
      <c r="X57" s="9" t="s">
        <v>5450</v>
      </c>
      <c r="Y57" s="9" t="s">
        <v>5451</v>
      </c>
      <c r="Z57" s="9" t="s">
        <v>5452</v>
      </c>
      <c r="AA57" s="9" t="s">
        <v>5453</v>
      </c>
      <c r="AB57" s="9" t="s">
        <v>5454</v>
      </c>
      <c r="AC57" s="9" t="s">
        <v>5455</v>
      </c>
      <c r="AD57" s="9" t="s">
        <v>5456</v>
      </c>
      <c r="AE57" s="9" t="s">
        <v>5457</v>
      </c>
      <c r="AF57" s="9" t="s">
        <v>5458</v>
      </c>
      <c r="AG57" s="9" t="s">
        <v>5459</v>
      </c>
      <c r="AH57" s="9" t="s">
        <v>5460</v>
      </c>
      <c r="AI57" s="9" t="s">
        <v>5461</v>
      </c>
      <c r="AJ57" s="9" t="s">
        <v>5462</v>
      </c>
      <c r="AK57" s="9" t="s">
        <v>5463</v>
      </c>
      <c r="AL57" s="9" t="s">
        <v>5464</v>
      </c>
      <c r="AM57" s="9" t="s">
        <v>5465</v>
      </c>
      <c r="AN57" s="9" t="s">
        <v>5466</v>
      </c>
      <c r="AO57" s="9" t="s">
        <v>5467</v>
      </c>
      <c r="AP57" s="9" t="s">
        <v>5468</v>
      </c>
      <c r="AQ57" s="9" t="s">
        <v>5469</v>
      </c>
      <c r="AR57" s="9" t="s">
        <v>5470</v>
      </c>
      <c r="AS57" s="9" t="s">
        <v>5471</v>
      </c>
      <c r="AT57" s="9" t="s">
        <v>414</v>
      </c>
      <c r="AU57" s="9" t="s">
        <v>5472</v>
      </c>
      <c r="AV57" s="9" t="s">
        <v>5473</v>
      </c>
      <c r="AW57" s="9" t="s">
        <v>5474</v>
      </c>
      <c r="AX57" s="9" t="s">
        <v>5475</v>
      </c>
      <c r="AY57" s="9" t="s">
        <v>5476</v>
      </c>
      <c r="AZ57" s="9" t="s">
        <v>5477</v>
      </c>
      <c r="BA57" s="9" t="s">
        <v>5478</v>
      </c>
      <c r="BB57" s="9" t="s">
        <v>5479</v>
      </c>
      <c r="BC57" s="9" t="s">
        <v>5480</v>
      </c>
      <c r="BD57" s="9" t="s">
        <v>5481</v>
      </c>
      <c r="BE57" s="29"/>
      <c r="BF57" s="29"/>
      <c r="BG57" s="29"/>
      <c r="BH57" s="29"/>
      <c r="BI57" s="29"/>
      <c r="BJ57" s="29"/>
      <c r="BK57" s="29"/>
      <c r="BL57" s="29"/>
    </row>
    <row r="58" customFormat="false" ht="115.65" hidden="false" customHeight="false" outlineLevel="0" collapsed="false">
      <c r="A58" s="9" t="s">
        <v>5482</v>
      </c>
      <c r="B58" s="9" t="s">
        <v>2920</v>
      </c>
      <c r="C58" s="9" t="s">
        <v>1986</v>
      </c>
      <c r="D58" s="9" t="s">
        <v>1092</v>
      </c>
      <c r="E58" s="9" t="s">
        <v>758</v>
      </c>
      <c r="F58" s="9" t="s">
        <v>997</v>
      </c>
      <c r="G58" s="28" t="s">
        <v>5483</v>
      </c>
      <c r="H58" s="9" t="s">
        <v>760</v>
      </c>
      <c r="I58" s="9" t="s">
        <v>5484</v>
      </c>
      <c r="J58" s="9" t="s">
        <v>5485</v>
      </c>
      <c r="K58" s="9" t="s">
        <v>5486</v>
      </c>
      <c r="L58" s="9" t="s">
        <v>5487</v>
      </c>
      <c r="M58" s="9" t="s">
        <v>5488</v>
      </c>
      <c r="N58" s="9" t="s">
        <v>5489</v>
      </c>
      <c r="O58" s="9" t="s">
        <v>97</v>
      </c>
      <c r="P58" s="9" t="s">
        <v>5490</v>
      </c>
      <c r="Q58" s="9" t="s">
        <v>291</v>
      </c>
      <c r="R58" s="9" t="s">
        <v>5491</v>
      </c>
      <c r="S58" s="9" t="s">
        <v>5492</v>
      </c>
      <c r="T58" s="9" t="s">
        <v>5493</v>
      </c>
      <c r="U58" s="9" t="s">
        <v>5494</v>
      </c>
      <c r="V58" s="9" t="s">
        <v>5495</v>
      </c>
      <c r="W58" s="9" t="s">
        <v>5496</v>
      </c>
      <c r="X58" s="9" t="s">
        <v>5497</v>
      </c>
      <c r="Y58" s="9" t="s">
        <v>5498</v>
      </c>
      <c r="Z58" s="9" t="s">
        <v>5499</v>
      </c>
      <c r="AA58" s="9" t="s">
        <v>5500</v>
      </c>
      <c r="AB58" s="9" t="s">
        <v>5501</v>
      </c>
      <c r="AC58" s="9" t="s">
        <v>5502</v>
      </c>
      <c r="AD58" s="9" t="s">
        <v>5503</v>
      </c>
      <c r="AE58" s="9" t="s">
        <v>5504</v>
      </c>
      <c r="AF58" s="9" t="s">
        <v>5505</v>
      </c>
      <c r="AG58" s="9" t="s">
        <v>5506</v>
      </c>
      <c r="AH58" s="9" t="s">
        <v>5507</v>
      </c>
      <c r="AI58" s="9" t="s">
        <v>5508</v>
      </c>
      <c r="AJ58" s="9" t="s">
        <v>5509</v>
      </c>
      <c r="AK58" s="9" t="s">
        <v>5510</v>
      </c>
      <c r="AL58" s="9" t="s">
        <v>5511</v>
      </c>
      <c r="AM58" s="9" t="s">
        <v>5512</v>
      </c>
      <c r="AN58" s="9" t="s">
        <v>5513</v>
      </c>
      <c r="AO58" s="9" t="s">
        <v>5514</v>
      </c>
      <c r="AP58" s="9" t="s">
        <v>5515</v>
      </c>
      <c r="AQ58" s="9" t="s">
        <v>4909</v>
      </c>
      <c r="AR58" s="9" t="s">
        <v>5516</v>
      </c>
      <c r="AS58" s="9" t="s">
        <v>5517</v>
      </c>
      <c r="AT58" s="9" t="s">
        <v>414</v>
      </c>
      <c r="AU58" s="9" t="s">
        <v>5518</v>
      </c>
      <c r="AV58" s="9" t="s">
        <v>5519</v>
      </c>
      <c r="AW58" s="9" t="s">
        <v>5520</v>
      </c>
      <c r="AX58" s="9" t="s">
        <v>5521</v>
      </c>
      <c r="AY58" s="9" t="s">
        <v>5522</v>
      </c>
      <c r="AZ58" s="9" t="s">
        <v>5523</v>
      </c>
      <c r="BA58" s="9" t="s">
        <v>5524</v>
      </c>
      <c r="BB58" s="9" t="s">
        <v>5525</v>
      </c>
      <c r="BC58" s="9" t="s">
        <v>5526</v>
      </c>
      <c r="BD58" s="9" t="s">
        <v>5527</v>
      </c>
      <c r="BE58" s="29"/>
      <c r="BF58" s="29"/>
      <c r="BG58" s="29"/>
      <c r="BH58" s="29"/>
      <c r="BI58" s="29"/>
      <c r="BJ58" s="29"/>
      <c r="BK58" s="29"/>
      <c r="BL58" s="29"/>
    </row>
    <row r="59" customFormat="false" ht="141" hidden="false" customHeight="false" outlineLevel="0" collapsed="false">
      <c r="A59" s="9" t="s">
        <v>5528</v>
      </c>
      <c r="B59" s="9" t="s">
        <v>2920</v>
      </c>
      <c r="C59" s="9" t="s">
        <v>1986</v>
      </c>
      <c r="D59" s="9" t="s">
        <v>1092</v>
      </c>
      <c r="E59" s="9" t="s">
        <v>758</v>
      </c>
      <c r="F59" s="9" t="s">
        <v>997</v>
      </c>
      <c r="G59" s="28" t="s">
        <v>5529</v>
      </c>
      <c r="H59" s="9" t="s">
        <v>760</v>
      </c>
      <c r="I59" s="9" t="s">
        <v>5530</v>
      </c>
      <c r="J59" s="9" t="s">
        <v>5531</v>
      </c>
      <c r="K59" s="9" t="s">
        <v>5532</v>
      </c>
      <c r="L59" s="9" t="s">
        <v>5533</v>
      </c>
      <c r="M59" s="9" t="s">
        <v>5534</v>
      </c>
      <c r="N59" s="9" t="s">
        <v>5535</v>
      </c>
      <c r="O59" s="9" t="s">
        <v>97</v>
      </c>
      <c r="P59" s="9" t="s">
        <v>5536</v>
      </c>
      <c r="Q59" s="9" t="s">
        <v>291</v>
      </c>
      <c r="R59" s="9" t="s">
        <v>5537</v>
      </c>
      <c r="S59" s="9" t="s">
        <v>5538</v>
      </c>
      <c r="T59" s="9" t="s">
        <v>5539</v>
      </c>
      <c r="U59" s="9" t="s">
        <v>5540</v>
      </c>
      <c r="V59" s="9" t="s">
        <v>5541</v>
      </c>
      <c r="W59" s="9" t="s">
        <v>5542</v>
      </c>
      <c r="X59" s="9" t="s">
        <v>5543</v>
      </c>
      <c r="Y59" s="9" t="s">
        <v>5544</v>
      </c>
      <c r="Z59" s="9" t="s">
        <v>5545</v>
      </c>
      <c r="AA59" s="9" t="s">
        <v>5546</v>
      </c>
      <c r="AB59" s="9" t="s">
        <v>5547</v>
      </c>
      <c r="AC59" s="9" t="s">
        <v>5548</v>
      </c>
      <c r="AD59" s="9" t="s">
        <v>5549</v>
      </c>
      <c r="AE59" s="9" t="s">
        <v>5550</v>
      </c>
      <c r="AF59" s="9" t="s">
        <v>5551</v>
      </c>
      <c r="AG59" s="9" t="s">
        <v>5552</v>
      </c>
      <c r="AH59" s="9" t="s">
        <v>5553</v>
      </c>
      <c r="AI59" s="9" t="s">
        <v>5554</v>
      </c>
      <c r="AJ59" s="9" t="s">
        <v>5555</v>
      </c>
      <c r="AK59" s="9" t="s">
        <v>5556</v>
      </c>
      <c r="AL59" s="9" t="s">
        <v>5557</v>
      </c>
      <c r="AM59" s="9" t="s">
        <v>5558</v>
      </c>
      <c r="AN59" s="9" t="s">
        <v>5559</v>
      </c>
      <c r="AO59" s="9" t="s">
        <v>5560</v>
      </c>
      <c r="AP59" s="9" t="s">
        <v>5561</v>
      </c>
      <c r="AQ59" s="9" t="s">
        <v>1268</v>
      </c>
      <c r="AR59" s="9" t="s">
        <v>5562</v>
      </c>
      <c r="AS59" s="9" t="s">
        <v>5563</v>
      </c>
      <c r="AT59" s="9" t="s">
        <v>414</v>
      </c>
      <c r="AU59" s="9" t="s">
        <v>5564</v>
      </c>
      <c r="AV59" s="9" t="s">
        <v>5565</v>
      </c>
      <c r="AW59" s="9" t="s">
        <v>5566</v>
      </c>
      <c r="AX59" s="9" t="s">
        <v>5567</v>
      </c>
      <c r="AY59" s="9" t="s">
        <v>5568</v>
      </c>
      <c r="AZ59" s="9" t="s">
        <v>5569</v>
      </c>
      <c r="BA59" s="9" t="s">
        <v>5570</v>
      </c>
      <c r="BB59" s="9" t="s">
        <v>5571</v>
      </c>
      <c r="BC59" s="9" t="s">
        <v>5572</v>
      </c>
      <c r="BD59" s="9" t="s">
        <v>5573</v>
      </c>
      <c r="BE59" s="29"/>
      <c r="BF59" s="29"/>
      <c r="BG59" s="29"/>
      <c r="BH59" s="29"/>
      <c r="BI59" s="29"/>
      <c r="BJ59" s="29"/>
      <c r="BK59" s="29"/>
      <c r="BL59" s="29"/>
    </row>
    <row r="60" customFormat="false" ht="153.7" hidden="false" customHeight="false" outlineLevel="0" collapsed="false">
      <c r="A60" s="9" t="s">
        <v>5574</v>
      </c>
      <c r="B60" s="9" t="s">
        <v>2920</v>
      </c>
      <c r="C60" s="9" t="s">
        <v>1986</v>
      </c>
      <c r="D60" s="9" t="s">
        <v>2128</v>
      </c>
      <c r="E60" s="9" t="s">
        <v>758</v>
      </c>
      <c r="F60" s="9" t="s">
        <v>997</v>
      </c>
      <c r="G60" s="28" t="s">
        <v>5575</v>
      </c>
      <c r="H60" s="9" t="s">
        <v>760</v>
      </c>
      <c r="I60" s="9" t="s">
        <v>5576</v>
      </c>
      <c r="J60" s="9" t="s">
        <v>5577</v>
      </c>
      <c r="K60" s="9" t="s">
        <v>5578</v>
      </c>
      <c r="L60" s="9" t="s">
        <v>5579</v>
      </c>
      <c r="M60" s="9" t="s">
        <v>5580</v>
      </c>
      <c r="N60" s="9" t="s">
        <v>5581</v>
      </c>
      <c r="O60" s="9" t="s">
        <v>97</v>
      </c>
      <c r="P60" s="9" t="s">
        <v>5582</v>
      </c>
      <c r="Q60" s="9" t="s">
        <v>291</v>
      </c>
      <c r="R60" s="9" t="s">
        <v>5583</v>
      </c>
      <c r="S60" s="9" t="s">
        <v>5584</v>
      </c>
      <c r="T60" s="9" t="s">
        <v>5585</v>
      </c>
      <c r="U60" s="9" t="s">
        <v>5586</v>
      </c>
      <c r="V60" s="9" t="s">
        <v>5587</v>
      </c>
      <c r="W60" s="9" t="s">
        <v>5588</v>
      </c>
      <c r="X60" s="9" t="s">
        <v>5589</v>
      </c>
      <c r="Y60" s="9" t="s">
        <v>5590</v>
      </c>
      <c r="Z60" s="9" t="s">
        <v>5591</v>
      </c>
      <c r="AA60" s="9" t="s">
        <v>5592</v>
      </c>
      <c r="AB60" s="9" t="s">
        <v>5593</v>
      </c>
      <c r="AC60" s="9" t="s">
        <v>5594</v>
      </c>
      <c r="AD60" s="9" t="s">
        <v>5595</v>
      </c>
      <c r="AE60" s="9" t="s">
        <v>5596</v>
      </c>
      <c r="AF60" s="9" t="s">
        <v>5597</v>
      </c>
      <c r="AG60" s="9" t="s">
        <v>5598</v>
      </c>
      <c r="AH60" s="9" t="s">
        <v>5599</v>
      </c>
      <c r="AI60" s="9" t="s">
        <v>5600</v>
      </c>
      <c r="AJ60" s="9" t="s">
        <v>5601</v>
      </c>
      <c r="AK60" s="9" t="s">
        <v>5602</v>
      </c>
      <c r="AL60" s="9" t="s">
        <v>5603</v>
      </c>
      <c r="AM60" s="9" t="s">
        <v>5604</v>
      </c>
      <c r="AN60" s="9" t="s">
        <v>5605</v>
      </c>
      <c r="AO60" s="9" t="s">
        <v>5606</v>
      </c>
      <c r="AP60" s="9" t="s">
        <v>5607</v>
      </c>
      <c r="AQ60" s="9" t="s">
        <v>2209</v>
      </c>
      <c r="AR60" s="9" t="s">
        <v>5608</v>
      </c>
      <c r="AS60" s="9" t="s">
        <v>5609</v>
      </c>
      <c r="AT60" s="9" t="s">
        <v>699</v>
      </c>
      <c r="AU60" s="9" t="s">
        <v>5610</v>
      </c>
      <c r="AV60" s="9" t="s">
        <v>5611</v>
      </c>
      <c r="AW60" s="9" t="s">
        <v>5612</v>
      </c>
      <c r="AX60" s="9" t="s">
        <v>5613</v>
      </c>
      <c r="AY60" s="9" t="s">
        <v>5614</v>
      </c>
      <c r="AZ60" s="9" t="s">
        <v>5615</v>
      </c>
      <c r="BA60" s="9" t="s">
        <v>5616</v>
      </c>
      <c r="BB60" s="9" t="s">
        <v>5617</v>
      </c>
      <c r="BC60" s="9" t="s">
        <v>5618</v>
      </c>
      <c r="BD60" s="9" t="s">
        <v>5619</v>
      </c>
      <c r="BE60" s="29"/>
      <c r="BF60" s="29"/>
      <c r="BG60" s="29"/>
      <c r="BH60" s="29"/>
      <c r="BI60" s="29"/>
      <c r="BJ60" s="29"/>
      <c r="BK60" s="29"/>
      <c r="BL60" s="29"/>
    </row>
    <row r="61" customFormat="false" ht="115.65" hidden="false" customHeight="false" outlineLevel="0" collapsed="false">
      <c r="A61" s="9" t="s">
        <v>5620</v>
      </c>
      <c r="B61" s="9" t="s">
        <v>2920</v>
      </c>
      <c r="C61" s="9" t="s">
        <v>1986</v>
      </c>
      <c r="D61" s="9" t="s">
        <v>2128</v>
      </c>
      <c r="E61" s="9" t="s">
        <v>758</v>
      </c>
      <c r="F61" s="9" t="s">
        <v>662</v>
      </c>
      <c r="G61" s="28" t="s">
        <v>5621</v>
      </c>
      <c r="H61" s="9" t="s">
        <v>760</v>
      </c>
      <c r="I61" s="9" t="s">
        <v>5622</v>
      </c>
      <c r="J61" s="9" t="s">
        <v>5623</v>
      </c>
      <c r="K61" s="9" t="s">
        <v>5624</v>
      </c>
      <c r="L61" s="9" t="s">
        <v>5625</v>
      </c>
      <c r="M61" s="9" t="s">
        <v>5626</v>
      </c>
      <c r="N61" s="9" t="s">
        <v>5627</v>
      </c>
      <c r="O61" s="9" t="s">
        <v>97</v>
      </c>
      <c r="P61" s="9" t="s">
        <v>5628</v>
      </c>
      <c r="Q61" s="9" t="s">
        <v>291</v>
      </c>
      <c r="R61" s="9" t="s">
        <v>5629</v>
      </c>
      <c r="S61" s="9" t="s">
        <v>5630</v>
      </c>
      <c r="T61" s="9" t="s">
        <v>5631</v>
      </c>
      <c r="U61" s="9" t="s">
        <v>5632</v>
      </c>
      <c r="V61" s="9" t="s">
        <v>5633</v>
      </c>
      <c r="W61" s="9" t="s">
        <v>5634</v>
      </c>
      <c r="X61" s="9" t="s">
        <v>5635</v>
      </c>
      <c r="Y61" s="9" t="s">
        <v>5636</v>
      </c>
      <c r="Z61" s="9" t="s">
        <v>5637</v>
      </c>
      <c r="AA61" s="9" t="s">
        <v>5638</v>
      </c>
      <c r="AB61" s="9" t="s">
        <v>5639</v>
      </c>
      <c r="AC61" s="9" t="s">
        <v>5640</v>
      </c>
      <c r="AD61" s="9" t="s">
        <v>5641</v>
      </c>
      <c r="AE61" s="9" t="s">
        <v>5642</v>
      </c>
      <c r="AF61" s="9" t="s">
        <v>5643</v>
      </c>
      <c r="AG61" s="9" t="s">
        <v>5644</v>
      </c>
      <c r="AH61" s="9" t="s">
        <v>5645</v>
      </c>
      <c r="AI61" s="9" t="s">
        <v>5646</v>
      </c>
      <c r="AJ61" s="9" t="s">
        <v>5647</v>
      </c>
      <c r="AK61" s="9" t="s">
        <v>5648</v>
      </c>
      <c r="AL61" s="9" t="s">
        <v>5649</v>
      </c>
      <c r="AM61" s="9" t="s">
        <v>5650</v>
      </c>
      <c r="AN61" s="9" t="s">
        <v>5651</v>
      </c>
      <c r="AO61" s="9" t="s">
        <v>5652</v>
      </c>
      <c r="AP61" s="9" t="s">
        <v>5653</v>
      </c>
      <c r="AQ61" s="9" t="s">
        <v>648</v>
      </c>
      <c r="AR61" s="9" t="s">
        <v>5654</v>
      </c>
      <c r="AS61" s="9" t="s">
        <v>5655</v>
      </c>
      <c r="AT61" s="9" t="s">
        <v>414</v>
      </c>
      <c r="AU61" s="9" t="s">
        <v>5656</v>
      </c>
      <c r="AV61" s="9" t="s">
        <v>5657</v>
      </c>
      <c r="AW61" s="9" t="s">
        <v>5658</v>
      </c>
      <c r="AX61" s="9" t="s">
        <v>5659</v>
      </c>
      <c r="AY61" s="9" t="s">
        <v>5660</v>
      </c>
      <c r="AZ61" s="9" t="s">
        <v>5661</v>
      </c>
      <c r="BA61" s="9" t="s">
        <v>5662</v>
      </c>
      <c r="BB61" s="9" t="s">
        <v>5663</v>
      </c>
      <c r="BC61" s="9" t="s">
        <v>5664</v>
      </c>
      <c r="BD61" s="9" t="s">
        <v>5665</v>
      </c>
      <c r="BE61" s="29"/>
      <c r="BF61" s="29"/>
      <c r="BG61" s="29"/>
      <c r="BH61" s="29"/>
      <c r="BI61" s="29"/>
      <c r="BJ61" s="29"/>
      <c r="BK61" s="29"/>
      <c r="BL61" s="29"/>
    </row>
    <row r="62" customFormat="false" ht="166.4" hidden="false" customHeight="false" outlineLevel="0" collapsed="false">
      <c r="A62" s="9" t="s">
        <v>5666</v>
      </c>
      <c r="B62" s="9" t="s">
        <v>2920</v>
      </c>
      <c r="C62" s="9" t="s">
        <v>1986</v>
      </c>
      <c r="D62" s="9" t="s">
        <v>2128</v>
      </c>
      <c r="E62" s="9" t="s">
        <v>758</v>
      </c>
      <c r="F62" s="9" t="s">
        <v>997</v>
      </c>
      <c r="G62" s="28" t="s">
        <v>5667</v>
      </c>
      <c r="H62" s="9" t="s">
        <v>760</v>
      </c>
      <c r="I62" s="9" t="s">
        <v>5668</v>
      </c>
      <c r="J62" s="9" t="s">
        <v>5669</v>
      </c>
      <c r="K62" s="9" t="s">
        <v>5670</v>
      </c>
      <c r="L62" s="9" t="s">
        <v>5671</v>
      </c>
      <c r="M62" s="9" t="s">
        <v>5672</v>
      </c>
      <c r="N62" s="9" t="s">
        <v>5673</v>
      </c>
      <c r="O62" s="9" t="s">
        <v>97</v>
      </c>
      <c r="P62" s="9" t="s">
        <v>5674</v>
      </c>
      <c r="Q62" s="9" t="s">
        <v>99</v>
      </c>
      <c r="R62" s="9" t="s">
        <v>5675</v>
      </c>
      <c r="S62" s="9" t="s">
        <v>5676</v>
      </c>
      <c r="T62" s="9" t="s">
        <v>5677</v>
      </c>
      <c r="U62" s="9" t="s">
        <v>5678</v>
      </c>
      <c r="V62" s="9" t="s">
        <v>5679</v>
      </c>
      <c r="W62" s="9" t="s">
        <v>5680</v>
      </c>
      <c r="X62" s="9" t="s">
        <v>5681</v>
      </c>
      <c r="Y62" s="9" t="s">
        <v>5682</v>
      </c>
      <c r="Z62" s="9" t="s">
        <v>5683</v>
      </c>
      <c r="AA62" s="9" t="s">
        <v>5684</v>
      </c>
      <c r="AB62" s="9" t="s">
        <v>5685</v>
      </c>
      <c r="AC62" s="9" t="s">
        <v>5686</v>
      </c>
      <c r="AD62" s="9" t="s">
        <v>5687</v>
      </c>
      <c r="AE62" s="9" t="s">
        <v>5688</v>
      </c>
      <c r="AF62" s="9" t="s">
        <v>5689</v>
      </c>
      <c r="AG62" s="9" t="s">
        <v>5690</v>
      </c>
      <c r="AH62" s="9" t="s">
        <v>5691</v>
      </c>
      <c r="AI62" s="9" t="s">
        <v>5692</v>
      </c>
      <c r="AJ62" s="9" t="s">
        <v>5693</v>
      </c>
      <c r="AK62" s="9" t="s">
        <v>5694</v>
      </c>
      <c r="AL62" s="9" t="s">
        <v>5695</v>
      </c>
      <c r="AM62" s="9" t="s">
        <v>5696</v>
      </c>
      <c r="AN62" s="9" t="s">
        <v>5697</v>
      </c>
      <c r="AO62" s="9" t="s">
        <v>5698</v>
      </c>
      <c r="AP62" s="9" t="s">
        <v>5699</v>
      </c>
      <c r="AQ62" s="9" t="s">
        <v>5700</v>
      </c>
      <c r="AR62" s="9" t="s">
        <v>5701</v>
      </c>
      <c r="AS62" s="9" t="s">
        <v>5702</v>
      </c>
      <c r="AT62" s="9" t="s">
        <v>699</v>
      </c>
      <c r="AU62" s="9" t="s">
        <v>5703</v>
      </c>
      <c r="AV62" s="9" t="s">
        <v>5704</v>
      </c>
      <c r="AW62" s="9" t="s">
        <v>5705</v>
      </c>
      <c r="AX62" s="9" t="s">
        <v>5706</v>
      </c>
      <c r="AY62" s="9" t="s">
        <v>5707</v>
      </c>
      <c r="AZ62" s="9" t="s">
        <v>5708</v>
      </c>
      <c r="BA62" s="9" t="s">
        <v>5709</v>
      </c>
      <c r="BB62" s="9" t="s">
        <v>5710</v>
      </c>
      <c r="BC62" s="9" t="s">
        <v>5711</v>
      </c>
      <c r="BD62" s="9" t="s">
        <v>5712</v>
      </c>
      <c r="BE62" s="29"/>
      <c r="BF62" s="29"/>
      <c r="BG62" s="29"/>
      <c r="BH62" s="29"/>
      <c r="BI62" s="29"/>
      <c r="BJ62" s="29"/>
      <c r="BK62" s="29"/>
      <c r="BL62" s="29"/>
    </row>
  </sheetData>
  <autoFilter ref="A2:BL62"/>
  <mergeCells count="5">
    <mergeCell ref="A1:F1"/>
    <mergeCell ref="G1:S1"/>
    <mergeCell ref="T1:AO1"/>
    <mergeCell ref="AP1:BD1"/>
    <mergeCell ref="BE1:BL1"/>
  </mergeCells>
  <dataValidations count="1">
    <dataValidation allowBlank="true" error="Choose Known, Unknown, Learning or Fix." errorStyle="stop" errorTitle="Pick a status" operator="between" showDropDown="false" showErrorMessage="false" showInputMessage="false" sqref="BE3:BE62" type="list">
      <formula1>Lists!$B$2:$B$5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2" topLeftCell="H3" activePane="bottomRight" state="frozen"/>
      <selection pane="topLeft" activeCell="A1" activeCellId="0" sqref="A1"/>
      <selection pane="topRight" activeCell="H1" activeCellId="0" sqref="H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6" min="1" style="0" width="13"/>
    <col collapsed="false" customWidth="true" hidden="false" outlineLevel="0" max="7" min="7" style="0" width="34"/>
    <col collapsed="false" customWidth="true" hidden="false" outlineLevel="0" max="8" min="8" style="0" width="13"/>
    <col collapsed="false" customWidth="true" hidden="false" outlineLevel="0" max="14" min="9" style="0" width="34"/>
    <col collapsed="false" customWidth="true" hidden="false" outlineLevel="0" max="15" min="15" style="0" width="13"/>
    <col collapsed="false" customWidth="true" hidden="false" outlineLevel="0" max="16" min="16" style="0" width="34"/>
    <col collapsed="false" customWidth="true" hidden="false" outlineLevel="0" max="17" min="17" style="0" width="13"/>
    <col collapsed="false" customWidth="true" hidden="false" outlineLevel="0" max="42" min="18" style="0" width="34"/>
    <col collapsed="false" customWidth="true" hidden="false" outlineLevel="0" max="43" min="43" style="0" width="13"/>
    <col collapsed="false" customWidth="true" hidden="false" outlineLevel="0" max="45" min="44" style="0" width="34"/>
    <col collapsed="false" customWidth="true" hidden="false" outlineLevel="0" max="46" min="46" style="0" width="13"/>
    <col collapsed="false" customWidth="true" hidden="false" outlineLevel="0" max="56" min="47" style="0" width="34"/>
    <col collapsed="false" customWidth="true" hidden="false" outlineLevel="0" max="63" min="57" style="0" width="13"/>
    <col collapsed="false" customWidth="true" hidden="false" outlineLevel="0" max="64" min="64" style="0" width="30"/>
  </cols>
  <sheetData>
    <row r="1" customFormat="false" ht="15" hidden="false" customHeight="false" outlineLevel="0" collapsed="false">
      <c r="A1" s="21" t="s">
        <v>14</v>
      </c>
      <c r="B1" s="21"/>
      <c r="C1" s="21"/>
      <c r="D1" s="21"/>
      <c r="E1" s="21"/>
      <c r="F1" s="21"/>
      <c r="G1" s="22" t="s">
        <v>21</v>
      </c>
      <c r="H1" s="22"/>
      <c r="I1" s="22"/>
      <c r="J1" s="22"/>
      <c r="K1" s="22"/>
      <c r="L1" s="22"/>
      <c r="M1" s="22"/>
      <c r="N1" s="22"/>
      <c r="O1" s="22"/>
      <c r="P1" s="22"/>
      <c r="Q1" s="22"/>
      <c r="R1" s="22"/>
      <c r="S1" s="22"/>
      <c r="T1" s="23" t="s">
        <v>35</v>
      </c>
      <c r="U1" s="23"/>
      <c r="V1" s="23"/>
      <c r="W1" s="23"/>
      <c r="X1" s="23"/>
      <c r="Y1" s="23"/>
      <c r="Z1" s="23"/>
      <c r="AA1" s="23"/>
      <c r="AB1" s="23"/>
      <c r="AC1" s="23"/>
      <c r="AD1" s="23"/>
      <c r="AE1" s="23"/>
      <c r="AF1" s="23"/>
      <c r="AG1" s="23"/>
      <c r="AH1" s="23"/>
      <c r="AI1" s="23"/>
      <c r="AJ1" s="23"/>
      <c r="AK1" s="23"/>
      <c r="AL1" s="23"/>
      <c r="AM1" s="23"/>
      <c r="AN1" s="23"/>
      <c r="AO1" s="23"/>
      <c r="AP1" s="24" t="s">
        <v>58</v>
      </c>
      <c r="AQ1" s="24"/>
      <c r="AR1" s="24"/>
      <c r="AS1" s="24"/>
      <c r="AT1" s="24"/>
      <c r="AU1" s="24"/>
      <c r="AV1" s="24"/>
      <c r="AW1" s="24"/>
      <c r="AX1" s="24"/>
      <c r="AY1" s="24"/>
      <c r="AZ1" s="24"/>
      <c r="BA1" s="24"/>
      <c r="BB1" s="24"/>
      <c r="BC1" s="24"/>
      <c r="BD1" s="24"/>
      <c r="BE1" s="25" t="s">
        <v>83</v>
      </c>
      <c r="BF1" s="25"/>
      <c r="BG1" s="25"/>
      <c r="BH1" s="25"/>
      <c r="BI1" s="25"/>
      <c r="BJ1" s="25"/>
      <c r="BK1" s="25"/>
      <c r="BL1" s="25"/>
    </row>
    <row r="2" customFormat="false" ht="33.75" hidden="false" customHeight="true" outlineLevel="0" collapsed="false">
      <c r="A2" s="26" t="s">
        <v>15</v>
      </c>
      <c r="B2" s="26" t="s">
        <v>16</v>
      </c>
      <c r="C2" s="26" t="s">
        <v>17</v>
      </c>
      <c r="D2" s="26" t="s">
        <v>18</v>
      </c>
      <c r="E2" s="26" t="s">
        <v>19</v>
      </c>
      <c r="F2" s="26" t="s">
        <v>20</v>
      </c>
      <c r="G2" s="26" t="s">
        <v>22</v>
      </c>
      <c r="H2" s="26" t="s">
        <v>23</v>
      </c>
      <c r="I2" s="26" t="s">
        <v>24</v>
      </c>
      <c r="J2" s="26" t="s">
        <v>25</v>
      </c>
      <c r="K2" s="26" t="s">
        <v>26</v>
      </c>
      <c r="L2" s="26" t="s">
        <v>27</v>
      </c>
      <c r="M2" s="26" t="s">
        <v>28</v>
      </c>
      <c r="N2" s="26" t="s">
        <v>29</v>
      </c>
      <c r="O2" s="26" t="s">
        <v>30</v>
      </c>
      <c r="P2" s="26" t="s">
        <v>31</v>
      </c>
      <c r="Q2" s="26" t="s">
        <v>32</v>
      </c>
      <c r="R2" s="26" t="s">
        <v>33</v>
      </c>
      <c r="S2" s="26" t="s">
        <v>34</v>
      </c>
      <c r="T2" s="26" t="s">
        <v>36</v>
      </c>
      <c r="U2" s="26" t="s">
        <v>37</v>
      </c>
      <c r="V2" s="26" t="s">
        <v>38</v>
      </c>
      <c r="W2" s="26" t="s">
        <v>39</v>
      </c>
      <c r="X2" s="26" t="s">
        <v>40</v>
      </c>
      <c r="Y2" s="26" t="s">
        <v>41</v>
      </c>
      <c r="Z2" s="26" t="s">
        <v>42</v>
      </c>
      <c r="AA2" s="26" t="s">
        <v>43</v>
      </c>
      <c r="AB2" s="26" t="s">
        <v>44</v>
      </c>
      <c r="AC2" s="26" t="s">
        <v>45</v>
      </c>
      <c r="AD2" s="26" t="s">
        <v>46</v>
      </c>
      <c r="AE2" s="26" t="s">
        <v>47</v>
      </c>
      <c r="AF2" s="26" t="s">
        <v>48</v>
      </c>
      <c r="AG2" s="26" t="s">
        <v>49</v>
      </c>
      <c r="AH2" s="26" t="s">
        <v>50</v>
      </c>
      <c r="AI2" s="26" t="s">
        <v>51</v>
      </c>
      <c r="AJ2" s="26" t="s">
        <v>52</v>
      </c>
      <c r="AK2" s="26" t="s">
        <v>53</v>
      </c>
      <c r="AL2" s="26" t="s">
        <v>54</v>
      </c>
      <c r="AM2" s="26" t="s">
        <v>55</v>
      </c>
      <c r="AN2" s="26" t="s">
        <v>56</v>
      </c>
      <c r="AO2" s="26" t="s">
        <v>57</v>
      </c>
      <c r="AP2" s="26" t="s">
        <v>59</v>
      </c>
      <c r="AQ2" s="26" t="s">
        <v>60</v>
      </c>
      <c r="AR2" s="26" t="s">
        <v>61</v>
      </c>
      <c r="AS2" s="26" t="s">
        <v>62</v>
      </c>
      <c r="AT2" s="26" t="s">
        <v>63</v>
      </c>
      <c r="AU2" s="26" t="s">
        <v>64</v>
      </c>
      <c r="AV2" s="26" t="s">
        <v>65</v>
      </c>
      <c r="AW2" s="26" t="s">
        <v>66</v>
      </c>
      <c r="AX2" s="26" t="s">
        <v>67</v>
      </c>
      <c r="AY2" s="26" t="s">
        <v>68</v>
      </c>
      <c r="AZ2" s="26" t="s">
        <v>69</v>
      </c>
      <c r="BA2" s="26" t="s">
        <v>70</v>
      </c>
      <c r="BB2" s="26" t="s">
        <v>71</v>
      </c>
      <c r="BC2" s="26" t="s">
        <v>72</v>
      </c>
      <c r="BD2" s="26" t="s">
        <v>73</v>
      </c>
      <c r="BE2" s="27" t="s">
        <v>75</v>
      </c>
      <c r="BF2" s="27" t="s">
        <v>76</v>
      </c>
      <c r="BG2" s="27" t="s">
        <v>77</v>
      </c>
      <c r="BH2" s="27" t="s">
        <v>78</v>
      </c>
      <c r="BI2" s="27" t="s">
        <v>79</v>
      </c>
      <c r="BJ2" s="27" t="s">
        <v>80</v>
      </c>
      <c r="BK2" s="27" t="s">
        <v>81</v>
      </c>
      <c r="BL2" s="27" t="s">
        <v>82</v>
      </c>
    </row>
    <row r="3" customFormat="false" ht="90.25" hidden="false" customHeight="false" outlineLevel="0" collapsed="false">
      <c r="A3" s="9" t="s">
        <v>5713</v>
      </c>
      <c r="B3" s="9" t="s">
        <v>5714</v>
      </c>
      <c r="C3" s="9" t="s">
        <v>85</v>
      </c>
      <c r="D3" s="9" t="s">
        <v>86</v>
      </c>
      <c r="E3" s="9" t="s">
        <v>87</v>
      </c>
      <c r="F3" s="9" t="s">
        <v>88</v>
      </c>
      <c r="G3" s="28" t="s">
        <v>5715</v>
      </c>
      <c r="H3" s="9" t="s">
        <v>90</v>
      </c>
      <c r="I3" s="9" t="s">
        <v>5716</v>
      </c>
      <c r="J3" s="9" t="s">
        <v>5717</v>
      </c>
      <c r="K3" s="9" t="s">
        <v>5718</v>
      </c>
      <c r="L3" s="9" t="s">
        <v>5719</v>
      </c>
      <c r="M3" s="9" t="s">
        <v>5720</v>
      </c>
      <c r="N3" s="9" t="s">
        <v>5721</v>
      </c>
      <c r="O3" s="9" t="s">
        <v>97</v>
      </c>
      <c r="P3" s="9" t="s">
        <v>5722</v>
      </c>
      <c r="Q3" s="9" t="s">
        <v>291</v>
      </c>
      <c r="R3" s="9" t="s">
        <v>5723</v>
      </c>
      <c r="S3" s="9" t="s">
        <v>5724</v>
      </c>
      <c r="T3" s="9" t="s">
        <v>5725</v>
      </c>
      <c r="U3" s="9" t="s">
        <v>5726</v>
      </c>
      <c r="V3" s="9" t="s">
        <v>5727</v>
      </c>
      <c r="W3" s="9" t="s">
        <v>5728</v>
      </c>
      <c r="X3" s="9" t="s">
        <v>5729</v>
      </c>
      <c r="Y3" s="9" t="s">
        <v>5730</v>
      </c>
      <c r="Z3" s="9" t="s">
        <v>5731</v>
      </c>
      <c r="AA3" s="9" t="s">
        <v>5732</v>
      </c>
      <c r="AB3" s="9" t="s">
        <v>5733</v>
      </c>
      <c r="AC3" s="9" t="s">
        <v>5734</v>
      </c>
      <c r="AD3" s="9" t="s">
        <v>5735</v>
      </c>
      <c r="AE3" s="9" t="s">
        <v>5736</v>
      </c>
      <c r="AF3" s="9" t="s">
        <v>5737</v>
      </c>
      <c r="AG3" s="9" t="s">
        <v>5738</v>
      </c>
      <c r="AH3" s="9" t="s">
        <v>5739</v>
      </c>
      <c r="AI3" s="9" t="s">
        <v>5740</v>
      </c>
      <c r="AJ3" s="9" t="s">
        <v>5741</v>
      </c>
      <c r="AK3" s="9" t="s">
        <v>5742</v>
      </c>
      <c r="AL3" s="9" t="s">
        <v>5743</v>
      </c>
      <c r="AM3" s="9" t="s">
        <v>5744</v>
      </c>
      <c r="AN3" s="9" t="s">
        <v>5745</v>
      </c>
      <c r="AO3" s="9" t="s">
        <v>5746</v>
      </c>
      <c r="AP3" s="9" t="s">
        <v>5747</v>
      </c>
      <c r="AQ3" s="9" t="s">
        <v>5748</v>
      </c>
      <c r="AR3" s="9" t="s">
        <v>5749</v>
      </c>
      <c r="AS3" s="9" t="s">
        <v>5750</v>
      </c>
      <c r="AT3" s="9" t="s">
        <v>177</v>
      </c>
      <c r="AU3" s="9" t="s">
        <v>5751</v>
      </c>
      <c r="AV3" s="9" t="s">
        <v>5752</v>
      </c>
      <c r="AW3" s="9" t="s">
        <v>5715</v>
      </c>
      <c r="AX3" s="9" t="s">
        <v>5753</v>
      </c>
      <c r="AY3" s="9" t="s">
        <v>5754</v>
      </c>
      <c r="AZ3" s="9" t="s">
        <v>5755</v>
      </c>
      <c r="BA3" s="9" t="s">
        <v>5756</v>
      </c>
      <c r="BB3" s="9" t="s">
        <v>5757</v>
      </c>
      <c r="BC3" s="9" t="s">
        <v>5758</v>
      </c>
      <c r="BD3" s="9" t="s">
        <v>5759</v>
      </c>
      <c r="BE3" s="29"/>
      <c r="BF3" s="29"/>
      <c r="BG3" s="29"/>
      <c r="BH3" s="29"/>
      <c r="BI3" s="29"/>
      <c r="BJ3" s="29"/>
      <c r="BK3" s="29"/>
      <c r="BL3" s="29"/>
    </row>
    <row r="4" customFormat="false" ht="115.65" hidden="false" customHeight="false" outlineLevel="0" collapsed="false">
      <c r="A4" s="9" t="s">
        <v>5760</v>
      </c>
      <c r="B4" s="9" t="s">
        <v>5714</v>
      </c>
      <c r="C4" s="9" t="s">
        <v>85</v>
      </c>
      <c r="D4" s="9" t="s">
        <v>86</v>
      </c>
      <c r="E4" s="9" t="s">
        <v>87</v>
      </c>
      <c r="F4" s="9" t="s">
        <v>88</v>
      </c>
      <c r="G4" s="28" t="s">
        <v>5761</v>
      </c>
      <c r="H4" s="9" t="s">
        <v>90</v>
      </c>
      <c r="I4" s="9" t="s">
        <v>5762</v>
      </c>
      <c r="J4" s="9" t="s">
        <v>5763</v>
      </c>
      <c r="K4" s="9" t="s">
        <v>5764</v>
      </c>
      <c r="L4" s="9" t="s">
        <v>5765</v>
      </c>
      <c r="M4" s="9" t="s">
        <v>5766</v>
      </c>
      <c r="N4" s="9" t="s">
        <v>5767</v>
      </c>
      <c r="O4" s="9" t="s">
        <v>575</v>
      </c>
      <c r="P4" s="9" t="s">
        <v>5768</v>
      </c>
      <c r="Q4" s="9" t="s">
        <v>291</v>
      </c>
      <c r="R4" s="9" t="s">
        <v>5769</v>
      </c>
      <c r="S4" s="9" t="s">
        <v>5770</v>
      </c>
      <c r="T4" s="9" t="s">
        <v>5771</v>
      </c>
      <c r="U4" s="9" t="s">
        <v>5772</v>
      </c>
      <c r="V4" s="9" t="s">
        <v>5773</v>
      </c>
      <c r="W4" s="9" t="s">
        <v>5774</v>
      </c>
      <c r="X4" s="9" t="s">
        <v>5775</v>
      </c>
      <c r="Y4" s="9" t="s">
        <v>5776</v>
      </c>
      <c r="Z4" s="9" t="s">
        <v>5777</v>
      </c>
      <c r="AA4" s="9" t="s">
        <v>5778</v>
      </c>
      <c r="AB4" s="9" t="s">
        <v>5779</v>
      </c>
      <c r="AC4" s="9" t="s">
        <v>5780</v>
      </c>
      <c r="AD4" s="9" t="s">
        <v>5781</v>
      </c>
      <c r="AE4" s="9" t="s">
        <v>5782</v>
      </c>
      <c r="AF4" s="9" t="s">
        <v>5783</v>
      </c>
      <c r="AG4" s="9" t="s">
        <v>5784</v>
      </c>
      <c r="AH4" s="9" t="s">
        <v>5785</v>
      </c>
      <c r="AI4" s="9" t="s">
        <v>5786</v>
      </c>
      <c r="AJ4" s="9" t="s">
        <v>5787</v>
      </c>
      <c r="AK4" s="9" t="s">
        <v>5788</v>
      </c>
      <c r="AL4" s="9" t="s">
        <v>5789</v>
      </c>
      <c r="AM4" s="9" t="s">
        <v>5790</v>
      </c>
      <c r="AN4" s="9" t="s">
        <v>5791</v>
      </c>
      <c r="AO4" s="9" t="s">
        <v>5792</v>
      </c>
      <c r="AP4" s="9" t="s">
        <v>5793</v>
      </c>
      <c r="AQ4" s="9" t="s">
        <v>5794</v>
      </c>
      <c r="AR4" s="9" t="s">
        <v>5795</v>
      </c>
      <c r="AS4" s="9" t="s">
        <v>5796</v>
      </c>
      <c r="AT4" s="9" t="s">
        <v>128</v>
      </c>
      <c r="AU4" s="9" t="s">
        <v>5797</v>
      </c>
      <c r="AV4" s="9" t="s">
        <v>5798</v>
      </c>
      <c r="AW4" s="9" t="s">
        <v>5761</v>
      </c>
      <c r="AX4" s="9" t="s">
        <v>5799</v>
      </c>
      <c r="AY4" s="9" t="s">
        <v>5800</v>
      </c>
      <c r="AZ4" s="9" t="s">
        <v>5801</v>
      </c>
      <c r="BA4" s="9" t="s">
        <v>5802</v>
      </c>
      <c r="BB4" s="9" t="s">
        <v>5803</v>
      </c>
      <c r="BC4" s="9" t="s">
        <v>5804</v>
      </c>
      <c r="BD4" s="9" t="s">
        <v>5805</v>
      </c>
      <c r="BE4" s="29"/>
      <c r="BF4" s="29"/>
      <c r="BG4" s="29"/>
      <c r="BH4" s="29"/>
      <c r="BI4" s="29"/>
      <c r="BJ4" s="29"/>
      <c r="BK4" s="29"/>
      <c r="BL4" s="29"/>
    </row>
    <row r="5" customFormat="false" ht="102.95" hidden="false" customHeight="false" outlineLevel="0" collapsed="false">
      <c r="A5" s="9" t="s">
        <v>5806</v>
      </c>
      <c r="B5" s="9" t="s">
        <v>5714</v>
      </c>
      <c r="C5" s="9" t="s">
        <v>85</v>
      </c>
      <c r="D5" s="9" t="s">
        <v>86</v>
      </c>
      <c r="E5" s="9" t="s">
        <v>87</v>
      </c>
      <c r="F5" s="9" t="s">
        <v>88</v>
      </c>
      <c r="G5" s="28" t="s">
        <v>5807</v>
      </c>
      <c r="H5" s="9" t="s">
        <v>90</v>
      </c>
      <c r="I5" s="9" t="s">
        <v>5808</v>
      </c>
      <c r="J5" s="9" t="s">
        <v>5809</v>
      </c>
      <c r="K5" s="9" t="s">
        <v>5810</v>
      </c>
      <c r="L5" s="9" t="s">
        <v>5811</v>
      </c>
      <c r="M5" s="9" t="s">
        <v>5812</v>
      </c>
      <c r="N5" s="9" t="s">
        <v>5813</v>
      </c>
      <c r="O5" s="9" t="s">
        <v>97</v>
      </c>
      <c r="P5" s="9" t="s">
        <v>5814</v>
      </c>
      <c r="Q5" s="9" t="s">
        <v>291</v>
      </c>
      <c r="R5" s="9" t="s">
        <v>5815</v>
      </c>
      <c r="S5" s="9" t="s">
        <v>5816</v>
      </c>
      <c r="T5" s="9" t="s">
        <v>5817</v>
      </c>
      <c r="U5" s="9" t="s">
        <v>5818</v>
      </c>
      <c r="V5" s="9" t="s">
        <v>5819</v>
      </c>
      <c r="W5" s="9" t="s">
        <v>5820</v>
      </c>
      <c r="X5" s="9" t="s">
        <v>5821</v>
      </c>
      <c r="Y5" s="9" t="s">
        <v>5822</v>
      </c>
      <c r="Z5" s="9" t="s">
        <v>5823</v>
      </c>
      <c r="AA5" s="9" t="s">
        <v>5824</v>
      </c>
      <c r="AB5" s="9" t="s">
        <v>5825</v>
      </c>
      <c r="AC5" s="9" t="s">
        <v>5826</v>
      </c>
      <c r="AD5" s="9" t="s">
        <v>5827</v>
      </c>
      <c r="AE5" s="9" t="s">
        <v>5828</v>
      </c>
      <c r="AF5" s="9" t="s">
        <v>5829</v>
      </c>
      <c r="AG5" s="9" t="s">
        <v>5830</v>
      </c>
      <c r="AH5" s="9" t="s">
        <v>5831</v>
      </c>
      <c r="AI5" s="9" t="s">
        <v>5832</v>
      </c>
      <c r="AJ5" s="9" t="s">
        <v>5833</v>
      </c>
      <c r="AK5" s="9" t="s">
        <v>5834</v>
      </c>
      <c r="AL5" s="9" t="s">
        <v>5835</v>
      </c>
      <c r="AM5" s="9" t="s">
        <v>5836</v>
      </c>
      <c r="AN5" s="9" t="s">
        <v>5837</v>
      </c>
      <c r="AO5" s="9" t="s">
        <v>5838</v>
      </c>
      <c r="AP5" s="9" t="s">
        <v>5839</v>
      </c>
      <c r="AQ5" s="9" t="s">
        <v>5840</v>
      </c>
      <c r="AR5" s="9" t="s">
        <v>5841</v>
      </c>
      <c r="AS5" s="9" t="s">
        <v>5842</v>
      </c>
      <c r="AT5" s="9" t="s">
        <v>177</v>
      </c>
      <c r="AU5" s="9" t="s">
        <v>5843</v>
      </c>
      <c r="AV5" s="9" t="s">
        <v>5844</v>
      </c>
      <c r="AW5" s="9" t="s">
        <v>5807</v>
      </c>
      <c r="AX5" s="9" t="s">
        <v>5845</v>
      </c>
      <c r="AY5" s="9" t="s">
        <v>5846</v>
      </c>
      <c r="AZ5" s="9" t="s">
        <v>5847</v>
      </c>
      <c r="BA5" s="9" t="s">
        <v>5848</v>
      </c>
      <c r="BB5" s="9" t="s">
        <v>5849</v>
      </c>
      <c r="BC5" s="9" t="s">
        <v>5850</v>
      </c>
      <c r="BD5" s="9" t="s">
        <v>5851</v>
      </c>
      <c r="BE5" s="29"/>
      <c r="BF5" s="29"/>
      <c r="BG5" s="29"/>
      <c r="BH5" s="29"/>
      <c r="BI5" s="29"/>
      <c r="BJ5" s="29"/>
      <c r="BK5" s="29"/>
      <c r="BL5" s="29"/>
    </row>
    <row r="6" customFormat="false" ht="128.35" hidden="false" customHeight="false" outlineLevel="0" collapsed="false">
      <c r="A6" s="9" t="s">
        <v>5852</v>
      </c>
      <c r="B6" s="9" t="s">
        <v>5714</v>
      </c>
      <c r="C6" s="9" t="s">
        <v>85</v>
      </c>
      <c r="D6" s="9" t="s">
        <v>86</v>
      </c>
      <c r="E6" s="9" t="s">
        <v>87</v>
      </c>
      <c r="F6" s="9" t="s">
        <v>88</v>
      </c>
      <c r="G6" s="28" t="s">
        <v>5853</v>
      </c>
      <c r="H6" s="9" t="s">
        <v>90</v>
      </c>
      <c r="I6" s="9" t="s">
        <v>5854</v>
      </c>
      <c r="J6" s="9" t="s">
        <v>5855</v>
      </c>
      <c r="K6" s="9" t="s">
        <v>5856</v>
      </c>
      <c r="L6" s="9" t="s">
        <v>5857</v>
      </c>
      <c r="M6" s="9" t="s">
        <v>5858</v>
      </c>
      <c r="N6" s="9" t="s">
        <v>5859</v>
      </c>
      <c r="O6" s="9" t="s">
        <v>97</v>
      </c>
      <c r="P6" s="9" t="s">
        <v>5860</v>
      </c>
      <c r="Q6" s="9" t="s">
        <v>99</v>
      </c>
      <c r="R6" s="9" t="s">
        <v>5861</v>
      </c>
      <c r="S6" s="9" t="s">
        <v>5862</v>
      </c>
      <c r="T6" s="9" t="s">
        <v>5863</v>
      </c>
      <c r="U6" s="9" t="s">
        <v>5864</v>
      </c>
      <c r="V6" s="9" t="s">
        <v>5865</v>
      </c>
      <c r="W6" s="9" t="s">
        <v>5866</v>
      </c>
      <c r="X6" s="9" t="s">
        <v>5867</v>
      </c>
      <c r="Y6" s="9" t="s">
        <v>5868</v>
      </c>
      <c r="Z6" s="9" t="s">
        <v>5869</v>
      </c>
      <c r="AA6" s="9" t="s">
        <v>5870</v>
      </c>
      <c r="AB6" s="9" t="s">
        <v>5871</v>
      </c>
      <c r="AC6" s="9" t="s">
        <v>5872</v>
      </c>
      <c r="AD6" s="9" t="s">
        <v>5873</v>
      </c>
      <c r="AE6" s="9" t="s">
        <v>5874</v>
      </c>
      <c r="AF6" s="9" t="s">
        <v>5875</v>
      </c>
      <c r="AG6" s="9" t="s">
        <v>5876</v>
      </c>
      <c r="AH6" s="9" t="s">
        <v>5877</v>
      </c>
      <c r="AI6" s="9" t="s">
        <v>5878</v>
      </c>
      <c r="AJ6" s="9" t="s">
        <v>5879</v>
      </c>
      <c r="AK6" s="9" t="s">
        <v>5880</v>
      </c>
      <c r="AL6" s="9" t="s">
        <v>5881</v>
      </c>
      <c r="AM6" s="9" t="s">
        <v>5882</v>
      </c>
      <c r="AN6" s="9" t="s">
        <v>5883</v>
      </c>
      <c r="AO6" s="9" t="s">
        <v>5884</v>
      </c>
      <c r="AP6" s="9" t="s">
        <v>5885</v>
      </c>
      <c r="AQ6" s="9" t="s">
        <v>5422</v>
      </c>
      <c r="AR6" s="9" t="s">
        <v>5886</v>
      </c>
      <c r="AS6" s="9" t="s">
        <v>5887</v>
      </c>
      <c r="AT6" s="9" t="s">
        <v>128</v>
      </c>
      <c r="AU6" s="9" t="s">
        <v>5888</v>
      </c>
      <c r="AV6" s="9" t="s">
        <v>5889</v>
      </c>
      <c r="AW6" s="9" t="s">
        <v>5890</v>
      </c>
      <c r="AX6" s="9" t="s">
        <v>5891</v>
      </c>
      <c r="AY6" s="9" t="s">
        <v>5892</v>
      </c>
      <c r="AZ6" s="9" t="s">
        <v>5893</v>
      </c>
      <c r="BA6" s="9" t="s">
        <v>5894</v>
      </c>
      <c r="BB6" s="9" t="s">
        <v>5895</v>
      </c>
      <c r="BC6" s="9" t="s">
        <v>5896</v>
      </c>
      <c r="BD6" s="9" t="s">
        <v>5897</v>
      </c>
      <c r="BE6" s="29"/>
      <c r="BF6" s="29"/>
      <c r="BG6" s="29"/>
      <c r="BH6" s="29"/>
      <c r="BI6" s="29"/>
      <c r="BJ6" s="29"/>
      <c r="BK6" s="29"/>
      <c r="BL6" s="29"/>
    </row>
    <row r="7" customFormat="false" ht="141" hidden="false" customHeight="false" outlineLevel="0" collapsed="false">
      <c r="A7" s="9" t="s">
        <v>5898</v>
      </c>
      <c r="B7" s="9" t="s">
        <v>5714</v>
      </c>
      <c r="C7" s="9" t="s">
        <v>85</v>
      </c>
      <c r="D7" s="9" t="s">
        <v>86</v>
      </c>
      <c r="E7" s="9" t="s">
        <v>87</v>
      </c>
      <c r="F7" s="9" t="s">
        <v>140</v>
      </c>
      <c r="G7" s="28" t="s">
        <v>5899</v>
      </c>
      <c r="H7" s="9" t="s">
        <v>90</v>
      </c>
      <c r="I7" s="9" t="s">
        <v>5900</v>
      </c>
      <c r="J7" s="9" t="s">
        <v>5901</v>
      </c>
      <c r="K7" s="9" t="s">
        <v>5902</v>
      </c>
      <c r="L7" s="9" t="s">
        <v>5903</v>
      </c>
      <c r="M7" s="9" t="s">
        <v>5904</v>
      </c>
      <c r="N7" s="9" t="s">
        <v>5905</v>
      </c>
      <c r="O7" s="9" t="s">
        <v>97</v>
      </c>
      <c r="P7" s="9" t="s">
        <v>5906</v>
      </c>
      <c r="Q7" s="9" t="s">
        <v>99</v>
      </c>
      <c r="R7" s="9" t="s">
        <v>5907</v>
      </c>
      <c r="S7" s="9" t="s">
        <v>5908</v>
      </c>
      <c r="T7" s="9" t="s">
        <v>5909</v>
      </c>
      <c r="U7" s="9" t="s">
        <v>5910</v>
      </c>
      <c r="V7" s="9" t="s">
        <v>5911</v>
      </c>
      <c r="W7" s="9" t="s">
        <v>5912</v>
      </c>
      <c r="X7" s="9" t="s">
        <v>5913</v>
      </c>
      <c r="Y7" s="9" t="s">
        <v>5914</v>
      </c>
      <c r="Z7" s="9" t="s">
        <v>5915</v>
      </c>
      <c r="AA7" s="9" t="s">
        <v>5916</v>
      </c>
      <c r="AB7" s="9" t="s">
        <v>5917</v>
      </c>
      <c r="AC7" s="9" t="s">
        <v>5918</v>
      </c>
      <c r="AD7" s="9" t="s">
        <v>5919</v>
      </c>
      <c r="AE7" s="9" t="s">
        <v>5920</v>
      </c>
      <c r="AF7" s="9" t="s">
        <v>5921</v>
      </c>
      <c r="AG7" s="9" t="s">
        <v>5922</v>
      </c>
      <c r="AH7" s="9" t="s">
        <v>5923</v>
      </c>
      <c r="AI7" s="9" t="s">
        <v>5924</v>
      </c>
      <c r="AJ7" s="9" t="s">
        <v>5925</v>
      </c>
      <c r="AK7" s="9" t="s">
        <v>5926</v>
      </c>
      <c r="AL7" s="9" t="s">
        <v>5927</v>
      </c>
      <c r="AM7" s="9" t="s">
        <v>5928</v>
      </c>
      <c r="AN7" s="9" t="s">
        <v>5929</v>
      </c>
      <c r="AO7" s="9" t="s">
        <v>5930</v>
      </c>
      <c r="AP7" s="9" t="s">
        <v>5931</v>
      </c>
      <c r="AQ7" s="9" t="s">
        <v>222</v>
      </c>
      <c r="AR7" s="9" t="s">
        <v>5932</v>
      </c>
      <c r="AS7" s="9" t="s">
        <v>5933</v>
      </c>
      <c r="AT7" s="9" t="s">
        <v>177</v>
      </c>
      <c r="AU7" s="9" t="s">
        <v>5934</v>
      </c>
      <c r="AV7" s="9" t="s">
        <v>5935</v>
      </c>
      <c r="AW7" s="9" t="s">
        <v>5936</v>
      </c>
      <c r="AX7" s="9" t="s">
        <v>5937</v>
      </c>
      <c r="AY7" s="9" t="s">
        <v>5938</v>
      </c>
      <c r="AZ7" s="9" t="s">
        <v>5939</v>
      </c>
      <c r="BA7" s="9" t="s">
        <v>5940</v>
      </c>
      <c r="BB7" s="9" t="s">
        <v>5941</v>
      </c>
      <c r="BC7" s="9" t="s">
        <v>5942</v>
      </c>
      <c r="BD7" s="9" t="s">
        <v>5943</v>
      </c>
      <c r="BE7" s="29"/>
      <c r="BF7" s="29"/>
      <c r="BG7" s="29"/>
      <c r="BH7" s="29"/>
      <c r="BI7" s="29"/>
      <c r="BJ7" s="29"/>
      <c r="BK7" s="29"/>
      <c r="BL7" s="29"/>
    </row>
    <row r="8" customFormat="false" ht="115.65" hidden="false" customHeight="false" outlineLevel="0" collapsed="false">
      <c r="A8" s="9" t="s">
        <v>5944</v>
      </c>
      <c r="B8" s="9" t="s">
        <v>5714</v>
      </c>
      <c r="C8" s="9" t="s">
        <v>85</v>
      </c>
      <c r="D8" s="9" t="s">
        <v>86</v>
      </c>
      <c r="E8" s="9" t="s">
        <v>87</v>
      </c>
      <c r="F8" s="9" t="s">
        <v>236</v>
      </c>
      <c r="G8" s="28" t="s">
        <v>5945</v>
      </c>
      <c r="H8" s="9" t="s">
        <v>90</v>
      </c>
      <c r="I8" s="9" t="s">
        <v>5946</v>
      </c>
      <c r="J8" s="9" t="s">
        <v>5947</v>
      </c>
      <c r="K8" s="9" t="s">
        <v>5948</v>
      </c>
      <c r="L8" s="9" t="s">
        <v>5949</v>
      </c>
      <c r="M8" s="9" t="s">
        <v>5950</v>
      </c>
      <c r="N8" s="9" t="s">
        <v>5951</v>
      </c>
      <c r="O8" s="9" t="s">
        <v>97</v>
      </c>
      <c r="P8" s="9" t="s">
        <v>5952</v>
      </c>
      <c r="Q8" s="9" t="s">
        <v>291</v>
      </c>
      <c r="R8" s="9" t="s">
        <v>5953</v>
      </c>
      <c r="S8" s="9" t="s">
        <v>5954</v>
      </c>
      <c r="T8" s="9" t="s">
        <v>5955</v>
      </c>
      <c r="U8" s="9" t="s">
        <v>5956</v>
      </c>
      <c r="V8" s="9" t="s">
        <v>5957</v>
      </c>
      <c r="W8" s="9" t="s">
        <v>5958</v>
      </c>
      <c r="X8" s="9" t="s">
        <v>5959</v>
      </c>
      <c r="Y8" s="9" t="s">
        <v>5960</v>
      </c>
      <c r="Z8" s="9" t="s">
        <v>5961</v>
      </c>
      <c r="AA8" s="9" t="s">
        <v>5962</v>
      </c>
      <c r="AB8" s="9" t="s">
        <v>5963</v>
      </c>
      <c r="AC8" s="9" t="s">
        <v>5964</v>
      </c>
      <c r="AD8" s="9" t="s">
        <v>5965</v>
      </c>
      <c r="AE8" s="9" t="s">
        <v>5966</v>
      </c>
      <c r="AF8" s="9" t="s">
        <v>5967</v>
      </c>
      <c r="AG8" s="9" t="s">
        <v>5968</v>
      </c>
      <c r="AH8" s="9" t="s">
        <v>5969</v>
      </c>
      <c r="AI8" s="9" t="s">
        <v>5970</v>
      </c>
      <c r="AJ8" s="9" t="s">
        <v>5971</v>
      </c>
      <c r="AK8" s="9" t="s">
        <v>5972</v>
      </c>
      <c r="AL8" s="9" t="s">
        <v>5973</v>
      </c>
      <c r="AM8" s="9" t="s">
        <v>5974</v>
      </c>
      <c r="AN8" s="9" t="s">
        <v>5975</v>
      </c>
      <c r="AO8" s="9" t="s">
        <v>5976</v>
      </c>
      <c r="AP8" s="9" t="s">
        <v>5977</v>
      </c>
      <c r="AQ8" s="9" t="s">
        <v>1268</v>
      </c>
      <c r="AR8" s="9" t="s">
        <v>5978</v>
      </c>
      <c r="AS8" s="9" t="s">
        <v>5979</v>
      </c>
      <c r="AT8" s="9" t="s">
        <v>128</v>
      </c>
      <c r="AU8" s="9" t="s">
        <v>5980</v>
      </c>
      <c r="AV8" s="9" t="s">
        <v>5981</v>
      </c>
      <c r="AW8" s="9" t="s">
        <v>5982</v>
      </c>
      <c r="AX8" s="9" t="s">
        <v>5983</v>
      </c>
      <c r="AY8" s="9" t="s">
        <v>5984</v>
      </c>
      <c r="AZ8" s="9" t="s">
        <v>5985</v>
      </c>
      <c r="BA8" s="9" t="s">
        <v>5986</v>
      </c>
      <c r="BB8" s="9" t="s">
        <v>5987</v>
      </c>
      <c r="BC8" s="9" t="s">
        <v>5988</v>
      </c>
      <c r="BD8" s="9" t="s">
        <v>5989</v>
      </c>
      <c r="BE8" s="29"/>
      <c r="BF8" s="29"/>
      <c r="BG8" s="29"/>
      <c r="BH8" s="29"/>
      <c r="BI8" s="29"/>
      <c r="BJ8" s="29"/>
      <c r="BK8" s="29"/>
      <c r="BL8" s="29"/>
    </row>
    <row r="9" customFormat="false" ht="153.7" hidden="false" customHeight="false" outlineLevel="0" collapsed="false">
      <c r="A9" s="9" t="s">
        <v>5990</v>
      </c>
      <c r="B9" s="9" t="s">
        <v>5714</v>
      </c>
      <c r="C9" s="9" t="s">
        <v>85</v>
      </c>
      <c r="D9" s="9" t="s">
        <v>86</v>
      </c>
      <c r="E9" s="9" t="s">
        <v>87</v>
      </c>
      <c r="F9" s="9" t="s">
        <v>426</v>
      </c>
      <c r="G9" s="28" t="s">
        <v>5991</v>
      </c>
      <c r="H9" s="9" t="s">
        <v>90</v>
      </c>
      <c r="I9" s="9" t="s">
        <v>5992</v>
      </c>
      <c r="J9" s="9" t="s">
        <v>5993</v>
      </c>
      <c r="K9" s="9" t="s">
        <v>5994</v>
      </c>
      <c r="L9" s="9" t="s">
        <v>5995</v>
      </c>
      <c r="M9" s="9" t="s">
        <v>5996</v>
      </c>
      <c r="N9" s="9" t="s">
        <v>5997</v>
      </c>
      <c r="O9" s="9" t="s">
        <v>97</v>
      </c>
      <c r="P9" s="9" t="s">
        <v>5998</v>
      </c>
      <c r="Q9" s="9" t="s">
        <v>99</v>
      </c>
      <c r="R9" s="9" t="s">
        <v>5999</v>
      </c>
      <c r="S9" s="9" t="s">
        <v>6000</v>
      </c>
      <c r="T9" s="9" t="s">
        <v>6001</v>
      </c>
      <c r="U9" s="9" t="s">
        <v>6002</v>
      </c>
      <c r="V9" s="9" t="s">
        <v>6003</v>
      </c>
      <c r="W9" s="9" t="s">
        <v>6004</v>
      </c>
      <c r="X9" s="9" t="s">
        <v>6005</v>
      </c>
      <c r="Y9" s="9" t="s">
        <v>6006</v>
      </c>
      <c r="Z9" s="9" t="s">
        <v>6007</v>
      </c>
      <c r="AA9" s="9" t="s">
        <v>6008</v>
      </c>
      <c r="AB9" s="9" t="s">
        <v>6009</v>
      </c>
      <c r="AC9" s="9" t="s">
        <v>6010</v>
      </c>
      <c r="AD9" s="9" t="s">
        <v>6011</v>
      </c>
      <c r="AE9" s="9" t="s">
        <v>6012</v>
      </c>
      <c r="AF9" s="9" t="s">
        <v>6013</v>
      </c>
      <c r="AG9" s="9" t="s">
        <v>6014</v>
      </c>
      <c r="AH9" s="9" t="s">
        <v>6015</v>
      </c>
      <c r="AI9" s="9" t="s">
        <v>6016</v>
      </c>
      <c r="AJ9" s="9" t="s">
        <v>6017</v>
      </c>
      <c r="AK9" s="9" t="s">
        <v>6018</v>
      </c>
      <c r="AL9" s="9" t="s">
        <v>6019</v>
      </c>
      <c r="AM9" s="9" t="s">
        <v>6020</v>
      </c>
      <c r="AN9" s="9" t="s">
        <v>6021</v>
      </c>
      <c r="AO9" s="9" t="s">
        <v>6022</v>
      </c>
      <c r="AP9" s="9" t="s">
        <v>6023</v>
      </c>
      <c r="AQ9" s="9" t="s">
        <v>2209</v>
      </c>
      <c r="AR9" s="9" t="s">
        <v>6024</v>
      </c>
      <c r="AS9" s="9" t="s">
        <v>6025</v>
      </c>
      <c r="AT9" s="9" t="s">
        <v>128</v>
      </c>
      <c r="AU9" s="9" t="s">
        <v>6026</v>
      </c>
      <c r="AV9" s="9" t="s">
        <v>6027</v>
      </c>
      <c r="AW9" s="9" t="s">
        <v>6028</v>
      </c>
      <c r="AX9" s="9" t="s">
        <v>6029</v>
      </c>
      <c r="AY9" s="9" t="s">
        <v>6030</v>
      </c>
      <c r="AZ9" s="9" t="s">
        <v>6031</v>
      </c>
      <c r="BA9" s="9" t="s">
        <v>6032</v>
      </c>
      <c r="BB9" s="9" t="s">
        <v>6033</v>
      </c>
      <c r="BC9" s="9" t="s">
        <v>6034</v>
      </c>
      <c r="BD9" s="9" t="s">
        <v>6035</v>
      </c>
      <c r="BE9" s="29"/>
      <c r="BF9" s="29"/>
      <c r="BG9" s="29"/>
      <c r="BH9" s="29"/>
      <c r="BI9" s="29"/>
      <c r="BJ9" s="29"/>
      <c r="BK9" s="29"/>
      <c r="BL9" s="29"/>
    </row>
    <row r="10" customFormat="false" ht="141" hidden="false" customHeight="false" outlineLevel="0" collapsed="false">
      <c r="A10" s="9" t="s">
        <v>6036</v>
      </c>
      <c r="B10" s="9" t="s">
        <v>5714</v>
      </c>
      <c r="C10" s="9" t="s">
        <v>85</v>
      </c>
      <c r="D10" s="9" t="s">
        <v>86</v>
      </c>
      <c r="E10" s="9" t="s">
        <v>87</v>
      </c>
      <c r="F10" s="9" t="s">
        <v>662</v>
      </c>
      <c r="G10" s="28" t="s">
        <v>6037</v>
      </c>
      <c r="H10" s="9" t="s">
        <v>90</v>
      </c>
      <c r="I10" s="9" t="s">
        <v>6038</v>
      </c>
      <c r="J10" s="9" t="s">
        <v>6039</v>
      </c>
      <c r="K10" s="9" t="s">
        <v>6040</v>
      </c>
      <c r="L10" s="9" t="s">
        <v>6041</v>
      </c>
      <c r="M10" s="9" t="s">
        <v>6042</v>
      </c>
      <c r="N10" s="9" t="s">
        <v>6043</v>
      </c>
      <c r="O10" s="9" t="s">
        <v>575</v>
      </c>
      <c r="P10" s="9" t="s">
        <v>6044</v>
      </c>
      <c r="Q10" s="9" t="s">
        <v>291</v>
      </c>
      <c r="R10" s="9" t="s">
        <v>6045</v>
      </c>
      <c r="S10" s="9" t="s">
        <v>6046</v>
      </c>
      <c r="T10" s="9" t="s">
        <v>6047</v>
      </c>
      <c r="U10" s="9" t="s">
        <v>6048</v>
      </c>
      <c r="V10" s="9" t="s">
        <v>6049</v>
      </c>
      <c r="W10" s="9" t="s">
        <v>6050</v>
      </c>
      <c r="X10" s="9" t="s">
        <v>6051</v>
      </c>
      <c r="Y10" s="9" t="s">
        <v>6052</v>
      </c>
      <c r="Z10" s="9" t="s">
        <v>6053</v>
      </c>
      <c r="AA10" s="9" t="s">
        <v>6054</v>
      </c>
      <c r="AB10" s="9" t="s">
        <v>6055</v>
      </c>
      <c r="AC10" s="9" t="s">
        <v>6056</v>
      </c>
      <c r="AD10" s="9" t="s">
        <v>6057</v>
      </c>
      <c r="AE10" s="9" t="s">
        <v>6058</v>
      </c>
      <c r="AF10" s="9" t="s">
        <v>6059</v>
      </c>
      <c r="AG10" s="9" t="s">
        <v>6060</v>
      </c>
      <c r="AH10" s="9" t="s">
        <v>6061</v>
      </c>
      <c r="AI10" s="9" t="s">
        <v>6062</v>
      </c>
      <c r="AJ10" s="9" t="s">
        <v>6063</v>
      </c>
      <c r="AK10" s="9" t="s">
        <v>6064</v>
      </c>
      <c r="AL10" s="9" t="s">
        <v>6065</v>
      </c>
      <c r="AM10" s="9" t="s">
        <v>6066</v>
      </c>
      <c r="AN10" s="9" t="s">
        <v>6067</v>
      </c>
      <c r="AO10" s="9" t="s">
        <v>6068</v>
      </c>
      <c r="AP10" s="9" t="s">
        <v>6069</v>
      </c>
      <c r="AQ10" s="9" t="s">
        <v>2348</v>
      </c>
      <c r="AR10" s="9" t="s">
        <v>6070</v>
      </c>
      <c r="AS10" s="9" t="s">
        <v>6071</v>
      </c>
      <c r="AT10" s="9" t="s">
        <v>177</v>
      </c>
      <c r="AU10" s="9" t="s">
        <v>6072</v>
      </c>
      <c r="AV10" s="9" t="s">
        <v>6073</v>
      </c>
      <c r="AW10" s="9" t="s">
        <v>6074</v>
      </c>
      <c r="AX10" s="9" t="s">
        <v>6075</v>
      </c>
      <c r="AY10" s="9" t="s">
        <v>6076</v>
      </c>
      <c r="AZ10" s="9" t="s">
        <v>6077</v>
      </c>
      <c r="BA10" s="9" t="s">
        <v>6078</v>
      </c>
      <c r="BB10" s="9" t="s">
        <v>6079</v>
      </c>
      <c r="BC10" s="9" t="s">
        <v>6080</v>
      </c>
      <c r="BD10" s="9" t="s">
        <v>6081</v>
      </c>
      <c r="BE10" s="29"/>
      <c r="BF10" s="29"/>
      <c r="BG10" s="29"/>
      <c r="BH10" s="29"/>
      <c r="BI10" s="29"/>
      <c r="BJ10" s="29"/>
      <c r="BK10" s="29"/>
      <c r="BL10" s="29"/>
    </row>
    <row r="11" customFormat="false" ht="153.7" hidden="false" customHeight="false" outlineLevel="0" collapsed="false">
      <c r="A11" s="9" t="s">
        <v>6082</v>
      </c>
      <c r="B11" s="9" t="s">
        <v>5714</v>
      </c>
      <c r="C11" s="9" t="s">
        <v>85</v>
      </c>
      <c r="D11" s="9" t="s">
        <v>86</v>
      </c>
      <c r="E11" s="9" t="s">
        <v>87</v>
      </c>
      <c r="F11" s="9" t="s">
        <v>1330</v>
      </c>
      <c r="G11" s="28" t="s">
        <v>6083</v>
      </c>
      <c r="H11" s="9" t="s">
        <v>90</v>
      </c>
      <c r="I11" s="9" t="s">
        <v>6084</v>
      </c>
      <c r="J11" s="9" t="s">
        <v>6085</v>
      </c>
      <c r="K11" s="9" t="s">
        <v>6086</v>
      </c>
      <c r="L11" s="9" t="s">
        <v>6087</v>
      </c>
      <c r="M11" s="9" t="s">
        <v>6088</v>
      </c>
      <c r="N11" s="9" t="s">
        <v>6089</v>
      </c>
      <c r="O11" s="9" t="s">
        <v>97</v>
      </c>
      <c r="P11" s="9" t="s">
        <v>6090</v>
      </c>
      <c r="Q11" s="9" t="s">
        <v>99</v>
      </c>
      <c r="R11" s="9" t="s">
        <v>6091</v>
      </c>
      <c r="S11" s="9" t="s">
        <v>6092</v>
      </c>
      <c r="T11" s="9" t="s">
        <v>6093</v>
      </c>
      <c r="U11" s="9" t="s">
        <v>6094</v>
      </c>
      <c r="V11" s="9" t="s">
        <v>6095</v>
      </c>
      <c r="W11" s="9" t="s">
        <v>6096</v>
      </c>
      <c r="X11" s="9" t="s">
        <v>6097</v>
      </c>
      <c r="Y11" s="9" t="s">
        <v>6098</v>
      </c>
      <c r="Z11" s="9" t="s">
        <v>6099</v>
      </c>
      <c r="AA11" s="9" t="s">
        <v>6100</v>
      </c>
      <c r="AB11" s="9" t="s">
        <v>6101</v>
      </c>
      <c r="AC11" s="9" t="s">
        <v>6102</v>
      </c>
      <c r="AD11" s="9" t="s">
        <v>6103</v>
      </c>
      <c r="AE11" s="9" t="s">
        <v>6104</v>
      </c>
      <c r="AF11" s="9" t="s">
        <v>6105</v>
      </c>
      <c r="AG11" s="9" t="s">
        <v>6106</v>
      </c>
      <c r="AH11" s="9" t="s">
        <v>6107</v>
      </c>
      <c r="AI11" s="9" t="s">
        <v>6108</v>
      </c>
      <c r="AJ11" s="9" t="s">
        <v>6109</v>
      </c>
      <c r="AK11" s="9" t="s">
        <v>6110</v>
      </c>
      <c r="AL11" s="9" t="s">
        <v>6111</v>
      </c>
      <c r="AM11" s="9" t="s">
        <v>6112</v>
      </c>
      <c r="AN11" s="9" t="s">
        <v>6113</v>
      </c>
      <c r="AO11" s="9" t="s">
        <v>6114</v>
      </c>
      <c r="AP11" s="9" t="s">
        <v>6115</v>
      </c>
      <c r="AQ11" s="9" t="s">
        <v>6116</v>
      </c>
      <c r="AR11" s="9" t="s">
        <v>6117</v>
      </c>
      <c r="AS11" s="9" t="s">
        <v>6118</v>
      </c>
      <c r="AT11" s="9" t="s">
        <v>128</v>
      </c>
      <c r="AU11" s="9" t="s">
        <v>6119</v>
      </c>
      <c r="AV11" s="9" t="s">
        <v>6120</v>
      </c>
      <c r="AW11" s="9" t="s">
        <v>6121</v>
      </c>
      <c r="AX11" s="9" t="s">
        <v>6122</v>
      </c>
      <c r="AY11" s="9" t="s">
        <v>6123</v>
      </c>
      <c r="AZ11" s="9" t="s">
        <v>6124</v>
      </c>
      <c r="BA11" s="9" t="s">
        <v>6125</v>
      </c>
      <c r="BB11" s="9" t="s">
        <v>6126</v>
      </c>
      <c r="BC11" s="9" t="s">
        <v>6127</v>
      </c>
      <c r="BD11" s="9" t="s">
        <v>6128</v>
      </c>
      <c r="BE11" s="29"/>
      <c r="BF11" s="29"/>
      <c r="BG11" s="29"/>
      <c r="BH11" s="29"/>
      <c r="BI11" s="29"/>
      <c r="BJ11" s="29"/>
      <c r="BK11" s="29"/>
      <c r="BL11" s="29"/>
    </row>
    <row r="12" customFormat="false" ht="128.35" hidden="false" customHeight="false" outlineLevel="0" collapsed="false">
      <c r="A12" s="9" t="s">
        <v>6129</v>
      </c>
      <c r="B12" s="9" t="s">
        <v>5714</v>
      </c>
      <c r="C12" s="9" t="s">
        <v>85</v>
      </c>
      <c r="D12" s="9" t="s">
        <v>86</v>
      </c>
      <c r="E12" s="9" t="s">
        <v>87</v>
      </c>
      <c r="F12" s="9" t="s">
        <v>662</v>
      </c>
      <c r="G12" s="28" t="s">
        <v>6130</v>
      </c>
      <c r="H12" s="9" t="s">
        <v>90</v>
      </c>
      <c r="I12" s="9" t="s">
        <v>6131</v>
      </c>
      <c r="J12" s="9" t="s">
        <v>6132</v>
      </c>
      <c r="K12" s="9" t="s">
        <v>6133</v>
      </c>
      <c r="L12" s="9" t="s">
        <v>6134</v>
      </c>
      <c r="M12" s="9" t="s">
        <v>6135</v>
      </c>
      <c r="N12" s="9" t="s">
        <v>6136</v>
      </c>
      <c r="O12" s="9" t="s">
        <v>575</v>
      </c>
      <c r="P12" s="9" t="s">
        <v>6137</v>
      </c>
      <c r="Q12" s="9" t="s">
        <v>957</v>
      </c>
      <c r="R12" s="9" t="s">
        <v>6138</v>
      </c>
      <c r="S12" s="9" t="s">
        <v>6139</v>
      </c>
      <c r="T12" s="9" t="s">
        <v>6140</v>
      </c>
      <c r="U12" s="9" t="s">
        <v>6141</v>
      </c>
      <c r="V12" s="9" t="s">
        <v>6142</v>
      </c>
      <c r="W12" s="9" t="s">
        <v>6143</v>
      </c>
      <c r="X12" s="9" t="s">
        <v>6144</v>
      </c>
      <c r="Y12" s="9" t="s">
        <v>6145</v>
      </c>
      <c r="Z12" s="9" t="s">
        <v>6146</v>
      </c>
      <c r="AA12" s="9" t="s">
        <v>6147</v>
      </c>
      <c r="AB12" s="9" t="s">
        <v>6148</v>
      </c>
      <c r="AC12" s="9" t="s">
        <v>6149</v>
      </c>
      <c r="AD12" s="9" t="s">
        <v>6150</v>
      </c>
      <c r="AE12" s="9" t="s">
        <v>6151</v>
      </c>
      <c r="AF12" s="9" t="s">
        <v>6152</v>
      </c>
      <c r="AG12" s="9" t="s">
        <v>6153</v>
      </c>
      <c r="AH12" s="9" t="s">
        <v>6154</v>
      </c>
      <c r="AI12" s="9" t="s">
        <v>6155</v>
      </c>
      <c r="AJ12" s="9" t="s">
        <v>6156</v>
      </c>
      <c r="AK12" s="9" t="s">
        <v>6157</v>
      </c>
      <c r="AL12" s="9" t="s">
        <v>6158</v>
      </c>
      <c r="AM12" s="9" t="s">
        <v>6159</v>
      </c>
      <c r="AN12" s="9" t="s">
        <v>6160</v>
      </c>
      <c r="AO12" s="9" t="s">
        <v>6161</v>
      </c>
      <c r="AP12" s="9" t="s">
        <v>6162</v>
      </c>
      <c r="AQ12" s="9" t="s">
        <v>2209</v>
      </c>
      <c r="AR12" s="9" t="s">
        <v>6163</v>
      </c>
      <c r="AS12" s="9" t="s">
        <v>6164</v>
      </c>
      <c r="AT12" s="9" t="s">
        <v>699</v>
      </c>
      <c r="AU12" s="9" t="s">
        <v>6165</v>
      </c>
      <c r="AV12" s="9" t="s">
        <v>6166</v>
      </c>
      <c r="AW12" s="9" t="s">
        <v>6167</v>
      </c>
      <c r="AX12" s="9" t="s">
        <v>6168</v>
      </c>
      <c r="AY12" s="9" t="s">
        <v>6169</v>
      </c>
      <c r="AZ12" s="9" t="s">
        <v>6170</v>
      </c>
      <c r="BA12" s="9" t="s">
        <v>6171</v>
      </c>
      <c r="BB12" s="9" t="s">
        <v>6172</v>
      </c>
      <c r="BC12" s="9" t="s">
        <v>6173</v>
      </c>
      <c r="BD12" s="9" t="s">
        <v>6174</v>
      </c>
      <c r="BE12" s="29"/>
      <c r="BF12" s="29"/>
      <c r="BG12" s="29"/>
      <c r="BH12" s="29"/>
      <c r="BI12" s="29"/>
      <c r="BJ12" s="29"/>
      <c r="BK12" s="29"/>
      <c r="BL12" s="29"/>
    </row>
    <row r="13" customFormat="false" ht="128.35" hidden="false" customHeight="false" outlineLevel="0" collapsed="false">
      <c r="A13" s="9" t="s">
        <v>6175</v>
      </c>
      <c r="B13" s="9" t="s">
        <v>5714</v>
      </c>
      <c r="C13" s="9" t="s">
        <v>85</v>
      </c>
      <c r="D13" s="9" t="s">
        <v>86</v>
      </c>
      <c r="E13" s="9" t="s">
        <v>87</v>
      </c>
      <c r="F13" s="9" t="s">
        <v>662</v>
      </c>
      <c r="G13" s="28" t="s">
        <v>6176</v>
      </c>
      <c r="H13" s="9" t="s">
        <v>90</v>
      </c>
      <c r="I13" s="9" t="s">
        <v>6177</v>
      </c>
      <c r="J13" s="9" t="s">
        <v>6178</v>
      </c>
      <c r="K13" s="9" t="s">
        <v>6179</v>
      </c>
      <c r="L13" s="9" t="s">
        <v>6180</v>
      </c>
      <c r="M13" s="9" t="s">
        <v>6181</v>
      </c>
      <c r="N13" s="9" t="s">
        <v>6182</v>
      </c>
      <c r="O13" s="9" t="s">
        <v>97</v>
      </c>
      <c r="P13" s="9" t="s">
        <v>6183</v>
      </c>
      <c r="Q13" s="9" t="s">
        <v>957</v>
      </c>
      <c r="R13" s="9" t="s">
        <v>6184</v>
      </c>
      <c r="S13" s="9" t="s">
        <v>6185</v>
      </c>
      <c r="T13" s="9" t="s">
        <v>6186</v>
      </c>
      <c r="U13" s="9" t="s">
        <v>6187</v>
      </c>
      <c r="V13" s="9" t="s">
        <v>6188</v>
      </c>
      <c r="W13" s="9" t="s">
        <v>6189</v>
      </c>
      <c r="X13" s="9" t="s">
        <v>6190</v>
      </c>
      <c r="Y13" s="9" t="s">
        <v>6191</v>
      </c>
      <c r="Z13" s="9" t="s">
        <v>6192</v>
      </c>
      <c r="AA13" s="9" t="s">
        <v>6193</v>
      </c>
      <c r="AB13" s="9" t="s">
        <v>6194</v>
      </c>
      <c r="AC13" s="9" t="s">
        <v>6195</v>
      </c>
      <c r="AD13" s="9" t="s">
        <v>6196</v>
      </c>
      <c r="AE13" s="9" t="s">
        <v>6197</v>
      </c>
      <c r="AF13" s="9" t="s">
        <v>6198</v>
      </c>
      <c r="AG13" s="9" t="s">
        <v>6199</v>
      </c>
      <c r="AH13" s="9" t="s">
        <v>6200</v>
      </c>
      <c r="AI13" s="9" t="s">
        <v>6201</v>
      </c>
      <c r="AJ13" s="9" t="s">
        <v>6202</v>
      </c>
      <c r="AK13" s="9" t="s">
        <v>6203</v>
      </c>
      <c r="AL13" s="9" t="s">
        <v>6204</v>
      </c>
      <c r="AM13" s="9" t="s">
        <v>6205</v>
      </c>
      <c r="AN13" s="9" t="s">
        <v>6206</v>
      </c>
      <c r="AO13" s="9" t="s">
        <v>6207</v>
      </c>
      <c r="AP13" s="9" t="s">
        <v>6208</v>
      </c>
      <c r="AQ13" s="9" t="s">
        <v>6209</v>
      </c>
      <c r="AR13" s="9" t="s">
        <v>6210</v>
      </c>
      <c r="AS13" s="9" t="s">
        <v>6211</v>
      </c>
      <c r="AT13" s="9" t="s">
        <v>177</v>
      </c>
      <c r="AU13" s="9" t="s">
        <v>6212</v>
      </c>
      <c r="AV13" s="9" t="s">
        <v>6213</v>
      </c>
      <c r="AW13" s="9" t="s">
        <v>6214</v>
      </c>
      <c r="AX13" s="9" t="s">
        <v>6215</v>
      </c>
      <c r="AY13" s="9" t="s">
        <v>6216</v>
      </c>
      <c r="AZ13" s="9" t="s">
        <v>6217</v>
      </c>
      <c r="BA13" s="9" t="s">
        <v>6218</v>
      </c>
      <c r="BB13" s="9" t="s">
        <v>6219</v>
      </c>
      <c r="BC13" s="9" t="s">
        <v>6220</v>
      </c>
      <c r="BD13" s="9" t="s">
        <v>6221</v>
      </c>
      <c r="BE13" s="29"/>
      <c r="BF13" s="29"/>
      <c r="BG13" s="29"/>
      <c r="BH13" s="29"/>
      <c r="BI13" s="29"/>
      <c r="BJ13" s="29"/>
      <c r="BK13" s="29"/>
      <c r="BL13" s="29"/>
    </row>
    <row r="14" customFormat="false" ht="141" hidden="false" customHeight="false" outlineLevel="0" collapsed="false">
      <c r="A14" s="9" t="s">
        <v>6222</v>
      </c>
      <c r="B14" s="9" t="s">
        <v>5714</v>
      </c>
      <c r="C14" s="9" t="s">
        <v>85</v>
      </c>
      <c r="D14" s="9" t="s">
        <v>86</v>
      </c>
      <c r="E14" s="9" t="s">
        <v>87</v>
      </c>
      <c r="F14" s="9" t="s">
        <v>4130</v>
      </c>
      <c r="G14" s="28" t="s">
        <v>6223</v>
      </c>
      <c r="H14" s="9" t="s">
        <v>90</v>
      </c>
      <c r="I14" s="9" t="s">
        <v>6224</v>
      </c>
      <c r="J14" s="9" t="s">
        <v>6225</v>
      </c>
      <c r="K14" s="9" t="s">
        <v>6226</v>
      </c>
      <c r="L14" s="9" t="s">
        <v>6227</v>
      </c>
      <c r="M14" s="9" t="s">
        <v>6228</v>
      </c>
      <c r="N14" s="9" t="s">
        <v>6229</v>
      </c>
      <c r="O14" s="9" t="s">
        <v>575</v>
      </c>
      <c r="P14" s="9" t="s">
        <v>6230</v>
      </c>
      <c r="Q14" s="9" t="s">
        <v>291</v>
      </c>
      <c r="R14" s="9" t="s">
        <v>6231</v>
      </c>
      <c r="S14" s="9" t="s">
        <v>6232</v>
      </c>
      <c r="T14" s="9" t="s">
        <v>6233</v>
      </c>
      <c r="U14" s="9" t="s">
        <v>6234</v>
      </c>
      <c r="V14" s="9" t="s">
        <v>6235</v>
      </c>
      <c r="W14" s="9" t="s">
        <v>6236</v>
      </c>
      <c r="X14" s="9" t="s">
        <v>6237</v>
      </c>
      <c r="Y14" s="9" t="s">
        <v>6238</v>
      </c>
      <c r="Z14" s="9" t="s">
        <v>6239</v>
      </c>
      <c r="AA14" s="9" t="s">
        <v>6240</v>
      </c>
      <c r="AB14" s="9" t="s">
        <v>6241</v>
      </c>
      <c r="AC14" s="9" t="s">
        <v>6242</v>
      </c>
      <c r="AD14" s="9" t="s">
        <v>6243</v>
      </c>
      <c r="AE14" s="9" t="s">
        <v>6244</v>
      </c>
      <c r="AF14" s="9" t="s">
        <v>6245</v>
      </c>
      <c r="AG14" s="9" t="s">
        <v>6246</v>
      </c>
      <c r="AH14" s="9" t="s">
        <v>6247</v>
      </c>
      <c r="AI14" s="9" t="s">
        <v>6248</v>
      </c>
      <c r="AJ14" s="9" t="s">
        <v>6249</v>
      </c>
      <c r="AK14" s="9" t="s">
        <v>6250</v>
      </c>
      <c r="AL14" s="9" t="s">
        <v>6251</v>
      </c>
      <c r="AM14" s="9" t="s">
        <v>6252</v>
      </c>
      <c r="AN14" s="9" t="s">
        <v>6253</v>
      </c>
      <c r="AO14" s="9" t="s">
        <v>6254</v>
      </c>
      <c r="AP14" s="9" t="s">
        <v>6255</v>
      </c>
      <c r="AQ14" s="9" t="s">
        <v>6256</v>
      </c>
      <c r="AR14" s="9" t="s">
        <v>6257</v>
      </c>
      <c r="AS14" s="9" t="s">
        <v>6258</v>
      </c>
      <c r="AT14" s="9" t="s">
        <v>699</v>
      </c>
      <c r="AU14" s="9" t="s">
        <v>6259</v>
      </c>
      <c r="AV14" s="9" t="s">
        <v>6260</v>
      </c>
      <c r="AW14" s="9" t="s">
        <v>6261</v>
      </c>
      <c r="AX14" s="9" t="s">
        <v>6262</v>
      </c>
      <c r="AY14" s="9" t="s">
        <v>6263</v>
      </c>
      <c r="AZ14" s="9" t="s">
        <v>6264</v>
      </c>
      <c r="BA14" s="9" t="s">
        <v>6265</v>
      </c>
      <c r="BB14" s="9" t="s">
        <v>6266</v>
      </c>
      <c r="BC14" s="9" t="s">
        <v>6267</v>
      </c>
      <c r="BD14" s="9" t="s">
        <v>6268</v>
      </c>
      <c r="BE14" s="29"/>
      <c r="BF14" s="29"/>
      <c r="BG14" s="29"/>
      <c r="BH14" s="29"/>
      <c r="BI14" s="29"/>
      <c r="BJ14" s="29"/>
      <c r="BK14" s="29"/>
      <c r="BL14" s="29"/>
    </row>
    <row r="15" customFormat="false" ht="115.65" hidden="false" customHeight="false" outlineLevel="0" collapsed="false">
      <c r="A15" s="9" t="s">
        <v>6269</v>
      </c>
      <c r="B15" s="9" t="s">
        <v>5714</v>
      </c>
      <c r="C15" s="9" t="s">
        <v>85</v>
      </c>
      <c r="D15" s="9" t="s">
        <v>86</v>
      </c>
      <c r="E15" s="9" t="s">
        <v>87</v>
      </c>
      <c r="F15" s="9" t="s">
        <v>1140</v>
      </c>
      <c r="G15" s="28" t="s">
        <v>6270</v>
      </c>
      <c r="H15" s="9" t="s">
        <v>90</v>
      </c>
      <c r="I15" s="9" t="s">
        <v>6271</v>
      </c>
      <c r="J15" s="9" t="s">
        <v>6272</v>
      </c>
      <c r="K15" s="9" t="s">
        <v>6273</v>
      </c>
      <c r="L15" s="9" t="s">
        <v>6274</v>
      </c>
      <c r="M15" s="9" t="s">
        <v>6275</v>
      </c>
      <c r="N15" s="9" t="s">
        <v>6276</v>
      </c>
      <c r="O15" s="9" t="s">
        <v>97</v>
      </c>
      <c r="P15" s="9" t="s">
        <v>6277</v>
      </c>
      <c r="Q15" s="9" t="s">
        <v>957</v>
      </c>
      <c r="R15" s="9" t="s">
        <v>6278</v>
      </c>
      <c r="S15" s="9" t="s">
        <v>6279</v>
      </c>
      <c r="T15" s="9" t="s">
        <v>6280</v>
      </c>
      <c r="U15" s="9" t="s">
        <v>6281</v>
      </c>
      <c r="V15" s="9" t="s">
        <v>6282</v>
      </c>
      <c r="W15" s="9" t="s">
        <v>6283</v>
      </c>
      <c r="X15" s="9" t="s">
        <v>6284</v>
      </c>
      <c r="Y15" s="9" t="s">
        <v>6285</v>
      </c>
      <c r="Z15" s="9" t="s">
        <v>6286</v>
      </c>
      <c r="AA15" s="9" t="s">
        <v>6287</v>
      </c>
      <c r="AB15" s="9" t="s">
        <v>6288</v>
      </c>
      <c r="AC15" s="9" t="s">
        <v>6289</v>
      </c>
      <c r="AD15" s="9" t="s">
        <v>6290</v>
      </c>
      <c r="AE15" s="9" t="s">
        <v>6291</v>
      </c>
      <c r="AF15" s="9" t="s">
        <v>6292</v>
      </c>
      <c r="AG15" s="9" t="s">
        <v>6293</v>
      </c>
      <c r="AH15" s="9" t="s">
        <v>6294</v>
      </c>
      <c r="AI15" s="9" t="s">
        <v>6295</v>
      </c>
      <c r="AJ15" s="9" t="s">
        <v>6296</v>
      </c>
      <c r="AK15" s="9" t="s">
        <v>6297</v>
      </c>
      <c r="AL15" s="9" t="s">
        <v>6298</v>
      </c>
      <c r="AM15" s="9" t="s">
        <v>6299</v>
      </c>
      <c r="AN15" s="9" t="s">
        <v>6300</v>
      </c>
      <c r="AO15" s="9" t="s">
        <v>6301</v>
      </c>
      <c r="AP15" s="9" t="s">
        <v>6302</v>
      </c>
      <c r="AQ15" s="9" t="s">
        <v>6303</v>
      </c>
      <c r="AR15" s="9" t="s">
        <v>6304</v>
      </c>
      <c r="AS15" s="9" t="s">
        <v>6305</v>
      </c>
      <c r="AT15" s="9" t="s">
        <v>699</v>
      </c>
      <c r="AU15" s="9" t="s">
        <v>6306</v>
      </c>
      <c r="AV15" s="9" t="s">
        <v>6307</v>
      </c>
      <c r="AW15" s="9" t="s">
        <v>6308</v>
      </c>
      <c r="AX15" s="9" t="s">
        <v>6309</v>
      </c>
      <c r="AY15" s="9" t="s">
        <v>6310</v>
      </c>
      <c r="AZ15" s="9" t="s">
        <v>6311</v>
      </c>
      <c r="BA15" s="9" t="s">
        <v>6312</v>
      </c>
      <c r="BB15" s="9" t="s">
        <v>6313</v>
      </c>
      <c r="BC15" s="9" t="s">
        <v>6314</v>
      </c>
      <c r="BD15" s="9" t="s">
        <v>6315</v>
      </c>
      <c r="BE15" s="29"/>
      <c r="BF15" s="29"/>
      <c r="BG15" s="29"/>
      <c r="BH15" s="29"/>
      <c r="BI15" s="29"/>
      <c r="BJ15" s="29"/>
      <c r="BK15" s="29"/>
      <c r="BL15" s="29"/>
    </row>
    <row r="16" customFormat="false" ht="153.7" hidden="false" customHeight="false" outlineLevel="0" collapsed="false">
      <c r="A16" s="9" t="s">
        <v>6316</v>
      </c>
      <c r="B16" s="9" t="s">
        <v>5714</v>
      </c>
      <c r="C16" s="9" t="s">
        <v>85</v>
      </c>
      <c r="D16" s="9" t="s">
        <v>86</v>
      </c>
      <c r="E16" s="9" t="s">
        <v>87</v>
      </c>
      <c r="F16" s="9" t="s">
        <v>1330</v>
      </c>
      <c r="G16" s="28" t="s">
        <v>6317</v>
      </c>
      <c r="H16" s="9" t="s">
        <v>90</v>
      </c>
      <c r="I16" s="9" t="s">
        <v>6318</v>
      </c>
      <c r="J16" s="9" t="s">
        <v>6319</v>
      </c>
      <c r="K16" s="9" t="s">
        <v>6320</v>
      </c>
      <c r="L16" s="9" t="s">
        <v>6321</v>
      </c>
      <c r="M16" s="9" t="s">
        <v>6322</v>
      </c>
      <c r="N16" s="9" t="s">
        <v>6323</v>
      </c>
      <c r="O16" s="9" t="s">
        <v>97</v>
      </c>
      <c r="P16" s="9" t="s">
        <v>6324</v>
      </c>
      <c r="Q16" s="9" t="s">
        <v>291</v>
      </c>
      <c r="R16" s="9" t="s">
        <v>6325</v>
      </c>
      <c r="S16" s="9" t="s">
        <v>6326</v>
      </c>
      <c r="T16" s="9" t="s">
        <v>6327</v>
      </c>
      <c r="U16" s="9" t="s">
        <v>6328</v>
      </c>
      <c r="V16" s="9" t="s">
        <v>6329</v>
      </c>
      <c r="W16" s="9" t="s">
        <v>6330</v>
      </c>
      <c r="X16" s="9" t="s">
        <v>6331</v>
      </c>
      <c r="Y16" s="9" t="s">
        <v>6332</v>
      </c>
      <c r="Z16" s="9" t="s">
        <v>6333</v>
      </c>
      <c r="AA16" s="9" t="s">
        <v>6334</v>
      </c>
      <c r="AB16" s="9" t="s">
        <v>6335</v>
      </c>
      <c r="AC16" s="9" t="s">
        <v>6336</v>
      </c>
      <c r="AD16" s="9" t="s">
        <v>6337</v>
      </c>
      <c r="AE16" s="9" t="s">
        <v>6338</v>
      </c>
      <c r="AF16" s="9" t="s">
        <v>6339</v>
      </c>
      <c r="AG16" s="9" t="s">
        <v>6340</v>
      </c>
      <c r="AH16" s="9" t="s">
        <v>6341</v>
      </c>
      <c r="AI16" s="9" t="s">
        <v>6342</v>
      </c>
      <c r="AJ16" s="9" t="s">
        <v>6343</v>
      </c>
      <c r="AK16" s="9" t="s">
        <v>6344</v>
      </c>
      <c r="AL16" s="9" t="s">
        <v>6345</v>
      </c>
      <c r="AM16" s="9" t="s">
        <v>6346</v>
      </c>
      <c r="AN16" s="9" t="s">
        <v>6347</v>
      </c>
      <c r="AO16" s="9" t="s">
        <v>6348</v>
      </c>
      <c r="AP16" s="9" t="s">
        <v>6349</v>
      </c>
      <c r="AQ16" s="9" t="s">
        <v>5422</v>
      </c>
      <c r="AR16" s="9" t="s">
        <v>6350</v>
      </c>
      <c r="AS16" s="9" t="s">
        <v>6351</v>
      </c>
      <c r="AT16" s="9" t="s">
        <v>414</v>
      </c>
      <c r="AU16" s="9" t="s">
        <v>6352</v>
      </c>
      <c r="AV16" s="9" t="s">
        <v>6353</v>
      </c>
      <c r="AW16" s="9" t="s">
        <v>6354</v>
      </c>
      <c r="AX16" s="9" t="s">
        <v>6355</v>
      </c>
      <c r="AY16" s="9" t="s">
        <v>6356</v>
      </c>
      <c r="AZ16" s="9" t="s">
        <v>6357</v>
      </c>
      <c r="BA16" s="9" t="s">
        <v>6358</v>
      </c>
      <c r="BB16" s="9" t="s">
        <v>6359</v>
      </c>
      <c r="BC16" s="9" t="s">
        <v>6360</v>
      </c>
      <c r="BD16" s="9" t="s">
        <v>6361</v>
      </c>
      <c r="BE16" s="29"/>
      <c r="BF16" s="29"/>
      <c r="BG16" s="29"/>
      <c r="BH16" s="29"/>
      <c r="BI16" s="29"/>
      <c r="BJ16" s="29"/>
      <c r="BK16" s="29"/>
      <c r="BL16" s="29"/>
    </row>
    <row r="17" customFormat="false" ht="128.35" hidden="false" customHeight="false" outlineLevel="0" collapsed="false">
      <c r="A17" s="9" t="s">
        <v>6362</v>
      </c>
      <c r="B17" s="9" t="s">
        <v>5714</v>
      </c>
      <c r="C17" s="9" t="s">
        <v>85</v>
      </c>
      <c r="D17" s="9" t="s">
        <v>86</v>
      </c>
      <c r="E17" s="9" t="s">
        <v>758</v>
      </c>
      <c r="F17" s="9" t="s">
        <v>88</v>
      </c>
      <c r="G17" s="28" t="s">
        <v>6363</v>
      </c>
      <c r="H17" s="9" t="s">
        <v>760</v>
      </c>
      <c r="I17" s="9" t="s">
        <v>6364</v>
      </c>
      <c r="J17" s="9" t="s">
        <v>6365</v>
      </c>
      <c r="K17" s="9" t="s">
        <v>6366</v>
      </c>
      <c r="L17" s="9" t="s">
        <v>6367</v>
      </c>
      <c r="M17" s="9" t="s">
        <v>6368</v>
      </c>
      <c r="N17" s="9" t="s">
        <v>6369</v>
      </c>
      <c r="O17" s="9" t="s">
        <v>6370</v>
      </c>
      <c r="P17" s="9" t="s">
        <v>6371</v>
      </c>
      <c r="Q17" s="9" t="s">
        <v>99</v>
      </c>
      <c r="R17" s="9" t="s">
        <v>6372</v>
      </c>
      <c r="S17" s="9" t="s">
        <v>6373</v>
      </c>
      <c r="T17" s="9" t="s">
        <v>6374</v>
      </c>
      <c r="U17" s="9" t="s">
        <v>6375</v>
      </c>
      <c r="V17" s="9" t="s">
        <v>6376</v>
      </c>
      <c r="W17" s="9" t="s">
        <v>6377</v>
      </c>
      <c r="X17" s="9" t="s">
        <v>6378</v>
      </c>
      <c r="Y17" s="9" t="s">
        <v>6379</v>
      </c>
      <c r="Z17" s="9" t="s">
        <v>6380</v>
      </c>
      <c r="AA17" s="9" t="s">
        <v>6381</v>
      </c>
      <c r="AB17" s="9" t="s">
        <v>6382</v>
      </c>
      <c r="AC17" s="9" t="s">
        <v>6383</v>
      </c>
      <c r="AD17" s="9" t="s">
        <v>6384</v>
      </c>
      <c r="AE17" s="9" t="s">
        <v>6385</v>
      </c>
      <c r="AF17" s="9" t="s">
        <v>6386</v>
      </c>
      <c r="AG17" s="9" t="s">
        <v>6387</v>
      </c>
      <c r="AH17" s="9" t="s">
        <v>6388</v>
      </c>
      <c r="AI17" s="9" t="s">
        <v>6389</v>
      </c>
      <c r="AJ17" s="9" t="s">
        <v>6390</v>
      </c>
      <c r="AK17" s="9" t="s">
        <v>6391</v>
      </c>
      <c r="AL17" s="9" t="s">
        <v>6392</v>
      </c>
      <c r="AM17" s="9" t="s">
        <v>6393</v>
      </c>
      <c r="AN17" s="9" t="s">
        <v>6394</v>
      </c>
      <c r="AO17" s="9" t="s">
        <v>6395</v>
      </c>
      <c r="AP17" s="9" t="s">
        <v>6396</v>
      </c>
      <c r="AQ17" s="9" t="s">
        <v>6397</v>
      </c>
      <c r="AR17" s="9" t="s">
        <v>6398</v>
      </c>
      <c r="AS17" s="9" t="s">
        <v>6399</v>
      </c>
      <c r="AT17" s="9" t="s">
        <v>699</v>
      </c>
      <c r="AU17" s="9" t="s">
        <v>6400</v>
      </c>
      <c r="AV17" s="9" t="s">
        <v>6401</v>
      </c>
      <c r="AW17" s="9" t="s">
        <v>6402</v>
      </c>
      <c r="AX17" s="9" t="s">
        <v>6403</v>
      </c>
      <c r="AY17" s="9" t="s">
        <v>6404</v>
      </c>
      <c r="AZ17" s="9" t="s">
        <v>6405</v>
      </c>
      <c r="BA17" s="9" t="s">
        <v>6406</v>
      </c>
      <c r="BB17" s="9" t="s">
        <v>6407</v>
      </c>
      <c r="BC17" s="9" t="s">
        <v>6408</v>
      </c>
      <c r="BD17" s="9" t="s">
        <v>6409</v>
      </c>
      <c r="BE17" s="29"/>
      <c r="BF17" s="29"/>
      <c r="BG17" s="29"/>
      <c r="BH17" s="29"/>
      <c r="BI17" s="29"/>
      <c r="BJ17" s="29"/>
      <c r="BK17" s="29"/>
      <c r="BL17" s="29"/>
    </row>
    <row r="18" customFormat="false" ht="115.65" hidden="false" customHeight="false" outlineLevel="0" collapsed="false">
      <c r="A18" s="9" t="s">
        <v>6410</v>
      </c>
      <c r="B18" s="9" t="s">
        <v>5714</v>
      </c>
      <c r="C18" s="9" t="s">
        <v>85</v>
      </c>
      <c r="D18" s="9" t="s">
        <v>86</v>
      </c>
      <c r="E18" s="9" t="s">
        <v>758</v>
      </c>
      <c r="F18" s="9" t="s">
        <v>88</v>
      </c>
      <c r="G18" s="28" t="s">
        <v>6411</v>
      </c>
      <c r="H18" s="9" t="s">
        <v>760</v>
      </c>
      <c r="I18" s="9" t="s">
        <v>6412</v>
      </c>
      <c r="J18" s="9" t="s">
        <v>6413</v>
      </c>
      <c r="K18" s="9" t="s">
        <v>6414</v>
      </c>
      <c r="L18" s="9" t="s">
        <v>6415</v>
      </c>
      <c r="M18" s="9" t="s">
        <v>6416</v>
      </c>
      <c r="N18" s="9" t="s">
        <v>6417</v>
      </c>
      <c r="O18" s="9" t="s">
        <v>6370</v>
      </c>
      <c r="P18" s="9" t="s">
        <v>6418</v>
      </c>
      <c r="Q18" s="9" t="s">
        <v>957</v>
      </c>
      <c r="R18" s="9" t="s">
        <v>6419</v>
      </c>
      <c r="S18" s="9" t="s">
        <v>6420</v>
      </c>
      <c r="T18" s="9" t="s">
        <v>6421</v>
      </c>
      <c r="U18" s="9" t="s">
        <v>6422</v>
      </c>
      <c r="V18" s="9" t="s">
        <v>6423</v>
      </c>
      <c r="W18" s="9" t="s">
        <v>6424</v>
      </c>
      <c r="X18" s="9" t="s">
        <v>6425</v>
      </c>
      <c r="Y18" s="9" t="s">
        <v>6426</v>
      </c>
      <c r="Z18" s="9" t="s">
        <v>6427</v>
      </c>
      <c r="AA18" s="9" t="s">
        <v>6428</v>
      </c>
      <c r="AB18" s="9" t="s">
        <v>6429</v>
      </c>
      <c r="AC18" s="9" t="s">
        <v>6430</v>
      </c>
      <c r="AD18" s="9" t="s">
        <v>6431</v>
      </c>
      <c r="AE18" s="9" t="s">
        <v>6432</v>
      </c>
      <c r="AF18" s="9" t="s">
        <v>6433</v>
      </c>
      <c r="AG18" s="9" t="s">
        <v>6434</v>
      </c>
      <c r="AH18" s="9" t="s">
        <v>6435</v>
      </c>
      <c r="AI18" s="9" t="s">
        <v>6436</v>
      </c>
      <c r="AJ18" s="9" t="s">
        <v>6437</v>
      </c>
      <c r="AK18" s="9" t="s">
        <v>6438</v>
      </c>
      <c r="AL18" s="9" t="s">
        <v>6439</v>
      </c>
      <c r="AM18" s="9" t="s">
        <v>6440</v>
      </c>
      <c r="AN18" s="9" t="s">
        <v>6441</v>
      </c>
      <c r="AO18" s="9" t="s">
        <v>6442</v>
      </c>
      <c r="AP18" s="9" t="s">
        <v>6443</v>
      </c>
      <c r="AQ18" s="9" t="s">
        <v>6444</v>
      </c>
      <c r="AR18" s="9" t="s">
        <v>6445</v>
      </c>
      <c r="AS18" s="9" t="s">
        <v>6446</v>
      </c>
      <c r="AT18" s="9" t="s">
        <v>699</v>
      </c>
      <c r="AU18" s="9" t="s">
        <v>6447</v>
      </c>
      <c r="AV18" s="9" t="s">
        <v>6448</v>
      </c>
      <c r="AW18" s="9" t="s">
        <v>6411</v>
      </c>
      <c r="AX18" s="9" t="s">
        <v>6449</v>
      </c>
      <c r="AY18" s="9" t="s">
        <v>6450</v>
      </c>
      <c r="AZ18" s="9" t="s">
        <v>6451</v>
      </c>
      <c r="BA18" s="9" t="s">
        <v>6452</v>
      </c>
      <c r="BB18" s="9" t="s">
        <v>6453</v>
      </c>
      <c r="BC18" s="9" t="s">
        <v>6454</v>
      </c>
      <c r="BD18" s="9" t="s">
        <v>6455</v>
      </c>
      <c r="BE18" s="29"/>
      <c r="BF18" s="29"/>
      <c r="BG18" s="29"/>
      <c r="BH18" s="29"/>
      <c r="BI18" s="29"/>
      <c r="BJ18" s="29"/>
      <c r="BK18" s="29"/>
      <c r="BL18" s="29"/>
    </row>
    <row r="19" customFormat="false" ht="102.95" hidden="false" customHeight="false" outlineLevel="0" collapsed="false">
      <c r="A19" s="9" t="s">
        <v>6456</v>
      </c>
      <c r="B19" s="9" t="s">
        <v>5714</v>
      </c>
      <c r="C19" s="9" t="s">
        <v>85</v>
      </c>
      <c r="D19" s="9" t="s">
        <v>86</v>
      </c>
      <c r="E19" s="9" t="s">
        <v>758</v>
      </c>
      <c r="F19" s="9" t="s">
        <v>236</v>
      </c>
      <c r="G19" s="28" t="s">
        <v>6457</v>
      </c>
      <c r="H19" s="9" t="s">
        <v>760</v>
      </c>
      <c r="I19" s="9" t="s">
        <v>6458</v>
      </c>
      <c r="J19" s="9" t="s">
        <v>6459</v>
      </c>
      <c r="K19" s="9" t="s">
        <v>6460</v>
      </c>
      <c r="L19" s="9" t="s">
        <v>6461</v>
      </c>
      <c r="M19" s="9" t="s">
        <v>6462</v>
      </c>
      <c r="N19" s="9" t="s">
        <v>6463</v>
      </c>
      <c r="O19" s="9" t="s">
        <v>6370</v>
      </c>
      <c r="P19" s="9" t="s">
        <v>6464</v>
      </c>
      <c r="Q19" s="9" t="s">
        <v>957</v>
      </c>
      <c r="R19" s="9" t="s">
        <v>6465</v>
      </c>
      <c r="S19" s="9" t="s">
        <v>6466</v>
      </c>
      <c r="T19" s="9" t="s">
        <v>6467</v>
      </c>
      <c r="U19" s="9" t="s">
        <v>6468</v>
      </c>
      <c r="V19" s="9" t="s">
        <v>6469</v>
      </c>
      <c r="W19" s="9" t="s">
        <v>6470</v>
      </c>
      <c r="X19" s="9" t="s">
        <v>6471</v>
      </c>
      <c r="Y19" s="9" t="s">
        <v>6472</v>
      </c>
      <c r="Z19" s="9" t="s">
        <v>6473</v>
      </c>
      <c r="AA19" s="9" t="s">
        <v>6474</v>
      </c>
      <c r="AB19" s="9" t="s">
        <v>6475</v>
      </c>
      <c r="AC19" s="9" t="s">
        <v>6476</v>
      </c>
      <c r="AD19" s="9" t="s">
        <v>6477</v>
      </c>
      <c r="AE19" s="9" t="s">
        <v>6478</v>
      </c>
      <c r="AF19" s="9" t="s">
        <v>6479</v>
      </c>
      <c r="AG19" s="9" t="s">
        <v>6480</v>
      </c>
      <c r="AH19" s="9" t="s">
        <v>6481</v>
      </c>
      <c r="AI19" s="9" t="s">
        <v>6482</v>
      </c>
      <c r="AJ19" s="9" t="s">
        <v>6483</v>
      </c>
      <c r="AK19" s="9" t="s">
        <v>6484</v>
      </c>
      <c r="AL19" s="9" t="s">
        <v>6485</v>
      </c>
      <c r="AM19" s="9" t="s">
        <v>6486</v>
      </c>
      <c r="AN19" s="9" t="s">
        <v>6487</v>
      </c>
      <c r="AO19" s="9" t="s">
        <v>6488</v>
      </c>
      <c r="AP19" s="9" t="s">
        <v>6489</v>
      </c>
      <c r="AQ19" s="9" t="s">
        <v>6490</v>
      </c>
      <c r="AR19" s="9" t="s">
        <v>6491</v>
      </c>
      <c r="AS19" s="9" t="s">
        <v>6492</v>
      </c>
      <c r="AT19" s="9" t="s">
        <v>414</v>
      </c>
      <c r="AU19" s="9" t="s">
        <v>6493</v>
      </c>
      <c r="AV19" s="9" t="s">
        <v>6494</v>
      </c>
      <c r="AW19" s="9" t="s">
        <v>6495</v>
      </c>
      <c r="AX19" s="9" t="s">
        <v>6496</v>
      </c>
      <c r="AY19" s="9" t="s">
        <v>6497</v>
      </c>
      <c r="AZ19" s="9" t="s">
        <v>6498</v>
      </c>
      <c r="BA19" s="9" t="s">
        <v>6499</v>
      </c>
      <c r="BB19" s="9" t="s">
        <v>6500</v>
      </c>
      <c r="BC19" s="9" t="s">
        <v>6501</v>
      </c>
      <c r="BD19" s="9" t="s">
        <v>6502</v>
      </c>
      <c r="BE19" s="29"/>
      <c r="BF19" s="29"/>
      <c r="BG19" s="29"/>
      <c r="BH19" s="29"/>
      <c r="BI19" s="29"/>
      <c r="BJ19" s="29"/>
      <c r="BK19" s="29"/>
      <c r="BL19" s="29"/>
    </row>
    <row r="20" customFormat="false" ht="128.35" hidden="false" customHeight="false" outlineLevel="0" collapsed="false">
      <c r="A20" s="9" t="s">
        <v>6503</v>
      </c>
      <c r="B20" s="9" t="s">
        <v>5714</v>
      </c>
      <c r="C20" s="9" t="s">
        <v>85</v>
      </c>
      <c r="D20" s="9" t="s">
        <v>86</v>
      </c>
      <c r="E20" s="9" t="s">
        <v>758</v>
      </c>
      <c r="F20" s="9" t="s">
        <v>4130</v>
      </c>
      <c r="G20" s="28" t="s">
        <v>6504</v>
      </c>
      <c r="H20" s="9" t="s">
        <v>760</v>
      </c>
      <c r="I20" s="9" t="s">
        <v>6505</v>
      </c>
      <c r="J20" s="9" t="s">
        <v>6506</v>
      </c>
      <c r="K20" s="9" t="s">
        <v>6507</v>
      </c>
      <c r="L20" s="9" t="s">
        <v>6508</v>
      </c>
      <c r="M20" s="9" t="s">
        <v>6509</v>
      </c>
      <c r="N20" s="9" t="s">
        <v>6510</v>
      </c>
      <c r="O20" s="9" t="s">
        <v>6370</v>
      </c>
      <c r="P20" s="9" t="s">
        <v>6511</v>
      </c>
      <c r="Q20" s="9" t="s">
        <v>99</v>
      </c>
      <c r="R20" s="9" t="s">
        <v>6512</v>
      </c>
      <c r="S20" s="9" t="s">
        <v>6513</v>
      </c>
      <c r="T20" s="9" t="s">
        <v>6514</v>
      </c>
      <c r="U20" s="9" t="s">
        <v>6515</v>
      </c>
      <c r="V20" s="9" t="s">
        <v>6516</v>
      </c>
      <c r="W20" s="9" t="s">
        <v>6517</v>
      </c>
      <c r="X20" s="9" t="s">
        <v>6518</v>
      </c>
      <c r="Y20" s="9" t="s">
        <v>6519</v>
      </c>
      <c r="Z20" s="9" t="s">
        <v>6520</v>
      </c>
      <c r="AA20" s="9" t="s">
        <v>6521</v>
      </c>
      <c r="AB20" s="9" t="s">
        <v>6522</v>
      </c>
      <c r="AC20" s="9" t="s">
        <v>6523</v>
      </c>
      <c r="AD20" s="9" t="s">
        <v>6524</v>
      </c>
      <c r="AE20" s="9" t="s">
        <v>6525</v>
      </c>
      <c r="AF20" s="9" t="s">
        <v>6526</v>
      </c>
      <c r="AG20" s="9" t="s">
        <v>6527</v>
      </c>
      <c r="AH20" s="9" t="s">
        <v>6528</v>
      </c>
      <c r="AI20" s="9" t="s">
        <v>6529</v>
      </c>
      <c r="AJ20" s="9" t="s">
        <v>6530</v>
      </c>
      <c r="AK20" s="9" t="s">
        <v>6531</v>
      </c>
      <c r="AL20" s="9" t="s">
        <v>6532</v>
      </c>
      <c r="AM20" s="9" t="s">
        <v>6533</v>
      </c>
      <c r="AN20" s="9" t="s">
        <v>6534</v>
      </c>
      <c r="AO20" s="9" t="s">
        <v>6535</v>
      </c>
      <c r="AP20" s="9" t="s">
        <v>6536</v>
      </c>
      <c r="AQ20" s="9" t="s">
        <v>6537</v>
      </c>
      <c r="AR20" s="9" t="s">
        <v>6538</v>
      </c>
      <c r="AS20" s="9" t="s">
        <v>6539</v>
      </c>
      <c r="AT20" s="9" t="s">
        <v>414</v>
      </c>
      <c r="AU20" s="9" t="s">
        <v>6540</v>
      </c>
      <c r="AV20" s="9" t="s">
        <v>6541</v>
      </c>
      <c r="AW20" s="9" t="s">
        <v>6542</v>
      </c>
      <c r="AX20" s="9" t="s">
        <v>6543</v>
      </c>
      <c r="AY20" s="9" t="s">
        <v>6544</v>
      </c>
      <c r="AZ20" s="9" t="s">
        <v>6545</v>
      </c>
      <c r="BA20" s="9" t="s">
        <v>6546</v>
      </c>
      <c r="BB20" s="9" t="s">
        <v>6547</v>
      </c>
      <c r="BC20" s="9" t="s">
        <v>6548</v>
      </c>
      <c r="BD20" s="9" t="s">
        <v>6549</v>
      </c>
      <c r="BE20" s="29"/>
      <c r="BF20" s="29"/>
      <c r="BG20" s="29"/>
      <c r="BH20" s="29"/>
      <c r="BI20" s="29"/>
      <c r="BJ20" s="29"/>
      <c r="BK20" s="29"/>
      <c r="BL20" s="29"/>
    </row>
    <row r="21" customFormat="false" ht="102.95" hidden="false" customHeight="false" outlineLevel="0" collapsed="false">
      <c r="A21" s="9" t="s">
        <v>6550</v>
      </c>
      <c r="B21" s="9" t="s">
        <v>5714</v>
      </c>
      <c r="C21" s="9" t="s">
        <v>85</v>
      </c>
      <c r="D21" s="9" t="s">
        <v>86</v>
      </c>
      <c r="E21" s="9" t="s">
        <v>758</v>
      </c>
      <c r="F21" s="9" t="s">
        <v>662</v>
      </c>
      <c r="G21" s="28" t="s">
        <v>6551</v>
      </c>
      <c r="H21" s="9" t="s">
        <v>760</v>
      </c>
      <c r="I21" s="9" t="s">
        <v>6552</v>
      </c>
      <c r="J21" s="9" t="s">
        <v>6553</v>
      </c>
      <c r="K21" s="9" t="s">
        <v>6554</v>
      </c>
      <c r="L21" s="9" t="s">
        <v>6555</v>
      </c>
      <c r="M21" s="9" t="s">
        <v>6556</v>
      </c>
      <c r="N21" s="9" t="s">
        <v>6557</v>
      </c>
      <c r="O21" s="9" t="s">
        <v>6370</v>
      </c>
      <c r="P21" s="9" t="s">
        <v>6558</v>
      </c>
      <c r="Q21" s="9" t="s">
        <v>6559</v>
      </c>
      <c r="R21" s="9" t="s">
        <v>6560</v>
      </c>
      <c r="S21" s="9" t="s">
        <v>6561</v>
      </c>
      <c r="T21" s="9" t="s">
        <v>6562</v>
      </c>
      <c r="U21" s="9" t="s">
        <v>6563</v>
      </c>
      <c r="V21" s="9" t="s">
        <v>6564</v>
      </c>
      <c r="W21" s="9" t="s">
        <v>6565</v>
      </c>
      <c r="X21" s="9" t="s">
        <v>6566</v>
      </c>
      <c r="Y21" s="9" t="s">
        <v>6567</v>
      </c>
      <c r="Z21" s="9" t="s">
        <v>6568</v>
      </c>
      <c r="AA21" s="9" t="s">
        <v>6569</v>
      </c>
      <c r="AB21" s="9" t="s">
        <v>6570</v>
      </c>
      <c r="AC21" s="9" t="s">
        <v>6571</v>
      </c>
      <c r="AD21" s="9" t="s">
        <v>6572</v>
      </c>
      <c r="AE21" s="9" t="s">
        <v>6573</v>
      </c>
      <c r="AF21" s="9" t="s">
        <v>6574</v>
      </c>
      <c r="AG21" s="9" t="s">
        <v>6575</v>
      </c>
      <c r="AH21" s="9" t="s">
        <v>6576</v>
      </c>
      <c r="AI21" s="9" t="s">
        <v>6577</v>
      </c>
      <c r="AJ21" s="9" t="s">
        <v>6578</v>
      </c>
      <c r="AK21" s="9" t="s">
        <v>6579</v>
      </c>
      <c r="AL21" s="9" t="s">
        <v>6580</v>
      </c>
      <c r="AM21" s="9" t="s">
        <v>6581</v>
      </c>
      <c r="AN21" s="9" t="s">
        <v>6582</v>
      </c>
      <c r="AO21" s="9" t="s">
        <v>6583</v>
      </c>
      <c r="AP21" s="9" t="s">
        <v>6584</v>
      </c>
      <c r="AQ21" s="9" t="s">
        <v>1268</v>
      </c>
      <c r="AR21" s="9" t="s">
        <v>6585</v>
      </c>
      <c r="AS21" s="9" t="s">
        <v>6586</v>
      </c>
      <c r="AT21" s="9" t="s">
        <v>414</v>
      </c>
      <c r="AU21" s="9" t="s">
        <v>6587</v>
      </c>
      <c r="AV21" s="9" t="s">
        <v>6588</v>
      </c>
      <c r="AW21" s="9" t="s">
        <v>6551</v>
      </c>
      <c r="AX21" s="9" t="s">
        <v>6589</v>
      </c>
      <c r="AY21" s="9" t="s">
        <v>6590</v>
      </c>
      <c r="AZ21" s="9" t="s">
        <v>6591</v>
      </c>
      <c r="BA21" s="9" t="s">
        <v>6592</v>
      </c>
      <c r="BB21" s="9" t="s">
        <v>6593</v>
      </c>
      <c r="BC21" s="9" t="s">
        <v>6594</v>
      </c>
      <c r="BD21" s="9" t="s">
        <v>6595</v>
      </c>
      <c r="BE21" s="29"/>
      <c r="BF21" s="29"/>
      <c r="BG21" s="29"/>
      <c r="BH21" s="29"/>
      <c r="BI21" s="29"/>
      <c r="BJ21" s="29"/>
      <c r="BK21" s="29"/>
      <c r="BL21" s="29"/>
    </row>
    <row r="22" customFormat="false" ht="115.65" hidden="false" customHeight="false" outlineLevel="0" collapsed="false">
      <c r="A22" s="9" t="s">
        <v>6596</v>
      </c>
      <c r="B22" s="9" t="s">
        <v>5714</v>
      </c>
      <c r="C22" s="9" t="s">
        <v>85</v>
      </c>
      <c r="D22" s="9" t="s">
        <v>86</v>
      </c>
      <c r="E22" s="9" t="s">
        <v>758</v>
      </c>
      <c r="F22" s="9" t="s">
        <v>4130</v>
      </c>
      <c r="G22" s="28" t="s">
        <v>6597</v>
      </c>
      <c r="H22" s="9" t="s">
        <v>760</v>
      </c>
      <c r="I22" s="9" t="s">
        <v>6598</v>
      </c>
      <c r="J22" s="9" t="s">
        <v>6599</v>
      </c>
      <c r="K22" s="9" t="s">
        <v>6600</v>
      </c>
      <c r="L22" s="9" t="s">
        <v>6601</v>
      </c>
      <c r="M22" s="9" t="s">
        <v>6602</v>
      </c>
      <c r="N22" s="9" t="s">
        <v>6603</v>
      </c>
      <c r="O22" s="9" t="s">
        <v>97</v>
      </c>
      <c r="P22" s="9" t="s">
        <v>6604</v>
      </c>
      <c r="Q22" s="9" t="s">
        <v>99</v>
      </c>
      <c r="R22" s="9" t="s">
        <v>6605</v>
      </c>
      <c r="S22" s="9" t="s">
        <v>6606</v>
      </c>
      <c r="T22" s="9" t="s">
        <v>6607</v>
      </c>
      <c r="U22" s="9" t="s">
        <v>6608</v>
      </c>
      <c r="V22" s="9" t="s">
        <v>6609</v>
      </c>
      <c r="W22" s="9" t="s">
        <v>6610</v>
      </c>
      <c r="X22" s="9" t="s">
        <v>6611</v>
      </c>
      <c r="Y22" s="9" t="s">
        <v>6612</v>
      </c>
      <c r="Z22" s="9" t="s">
        <v>6613</v>
      </c>
      <c r="AA22" s="9" t="s">
        <v>6614</v>
      </c>
      <c r="AB22" s="9" t="s">
        <v>6615</v>
      </c>
      <c r="AC22" s="9" t="s">
        <v>6616</v>
      </c>
      <c r="AD22" s="9" t="s">
        <v>6617</v>
      </c>
      <c r="AE22" s="9" t="s">
        <v>6618</v>
      </c>
      <c r="AF22" s="9" t="s">
        <v>6619</v>
      </c>
      <c r="AG22" s="9" t="s">
        <v>6620</v>
      </c>
      <c r="AH22" s="9" t="s">
        <v>6621</v>
      </c>
      <c r="AI22" s="9" t="s">
        <v>6622</v>
      </c>
      <c r="AJ22" s="9" t="s">
        <v>6623</v>
      </c>
      <c r="AK22" s="9" t="s">
        <v>6624</v>
      </c>
      <c r="AL22" s="9" t="s">
        <v>6625</v>
      </c>
      <c r="AM22" s="9" t="s">
        <v>6626</v>
      </c>
      <c r="AN22" s="9" t="s">
        <v>6627</v>
      </c>
      <c r="AO22" s="9" t="s">
        <v>6628</v>
      </c>
      <c r="AP22" s="9" t="s">
        <v>6629</v>
      </c>
      <c r="AQ22" s="9" t="s">
        <v>6630</v>
      </c>
      <c r="AR22" s="9" t="s">
        <v>6631</v>
      </c>
      <c r="AS22" s="9" t="s">
        <v>6632</v>
      </c>
      <c r="AT22" s="9" t="s">
        <v>414</v>
      </c>
      <c r="AU22" s="9" t="s">
        <v>6633</v>
      </c>
      <c r="AV22" s="9" t="s">
        <v>6634</v>
      </c>
      <c r="AW22" s="9" t="s">
        <v>6635</v>
      </c>
      <c r="AX22" s="9" t="s">
        <v>6636</v>
      </c>
      <c r="AY22" s="9" t="s">
        <v>6637</v>
      </c>
      <c r="AZ22" s="9" t="s">
        <v>6638</v>
      </c>
      <c r="BA22" s="9" t="s">
        <v>6639</v>
      </c>
      <c r="BB22" s="9" t="s">
        <v>6640</v>
      </c>
      <c r="BC22" s="9" t="s">
        <v>6641</v>
      </c>
      <c r="BD22" s="9" t="s">
        <v>6642</v>
      </c>
      <c r="BE22" s="29"/>
      <c r="BF22" s="29"/>
      <c r="BG22" s="29"/>
      <c r="BH22" s="29"/>
      <c r="BI22" s="29"/>
      <c r="BJ22" s="29"/>
      <c r="BK22" s="29"/>
      <c r="BL22" s="29"/>
    </row>
    <row r="23" customFormat="false" ht="128.35" hidden="false" customHeight="false" outlineLevel="0" collapsed="false">
      <c r="A23" s="9" t="s">
        <v>6643</v>
      </c>
      <c r="B23" s="9" t="s">
        <v>5714</v>
      </c>
      <c r="C23" s="9" t="s">
        <v>1044</v>
      </c>
      <c r="D23" s="9" t="s">
        <v>188</v>
      </c>
      <c r="E23" s="9" t="s">
        <v>87</v>
      </c>
      <c r="F23" s="9" t="s">
        <v>236</v>
      </c>
      <c r="G23" s="28" t="s">
        <v>6644</v>
      </c>
      <c r="H23" s="9" t="s">
        <v>90</v>
      </c>
      <c r="I23" s="9" t="s">
        <v>6645</v>
      </c>
      <c r="J23" s="9" t="s">
        <v>6646</v>
      </c>
      <c r="K23" s="9" t="s">
        <v>6647</v>
      </c>
      <c r="L23" s="9" t="s">
        <v>6648</v>
      </c>
      <c r="M23" s="9" t="s">
        <v>6649</v>
      </c>
      <c r="N23" s="9" t="s">
        <v>6650</v>
      </c>
      <c r="O23" s="9" t="s">
        <v>97</v>
      </c>
      <c r="P23" s="9" t="s">
        <v>6651</v>
      </c>
      <c r="Q23" s="9" t="s">
        <v>99</v>
      </c>
      <c r="R23" s="9" t="s">
        <v>6652</v>
      </c>
      <c r="S23" s="9" t="s">
        <v>6653</v>
      </c>
      <c r="T23" s="9" t="s">
        <v>6654</v>
      </c>
      <c r="U23" s="9" t="s">
        <v>6655</v>
      </c>
      <c r="V23" s="9" t="s">
        <v>6656</v>
      </c>
      <c r="W23" s="9" t="s">
        <v>6657</v>
      </c>
      <c r="X23" s="9" t="s">
        <v>6658</v>
      </c>
      <c r="Y23" s="9" t="s">
        <v>6659</v>
      </c>
      <c r="Z23" s="9" t="s">
        <v>6660</v>
      </c>
      <c r="AA23" s="9" t="s">
        <v>6661</v>
      </c>
      <c r="AB23" s="9" t="s">
        <v>6662</v>
      </c>
      <c r="AC23" s="9" t="s">
        <v>6663</v>
      </c>
      <c r="AD23" s="9" t="s">
        <v>6664</v>
      </c>
      <c r="AE23" s="9" t="s">
        <v>6665</v>
      </c>
      <c r="AF23" s="9" t="s">
        <v>6666</v>
      </c>
      <c r="AG23" s="9" t="s">
        <v>6667</v>
      </c>
      <c r="AH23" s="9" t="s">
        <v>6668</v>
      </c>
      <c r="AI23" s="9" t="s">
        <v>6669</v>
      </c>
      <c r="AJ23" s="9" t="s">
        <v>6670</v>
      </c>
      <c r="AK23" s="9" t="s">
        <v>6671</v>
      </c>
      <c r="AL23" s="9" t="s">
        <v>6672</v>
      </c>
      <c r="AM23" s="9" t="s">
        <v>6673</v>
      </c>
      <c r="AN23" s="9" t="s">
        <v>6674</v>
      </c>
      <c r="AO23" s="9" t="s">
        <v>6675</v>
      </c>
      <c r="AP23" s="9" t="s">
        <v>6676</v>
      </c>
      <c r="AQ23" s="9" t="s">
        <v>6677</v>
      </c>
      <c r="AR23" s="9" t="s">
        <v>6678</v>
      </c>
      <c r="AS23" s="9" t="s">
        <v>6679</v>
      </c>
      <c r="AT23" s="9" t="s">
        <v>128</v>
      </c>
      <c r="AU23" s="9" t="s">
        <v>6680</v>
      </c>
      <c r="AV23" s="9" t="s">
        <v>6681</v>
      </c>
      <c r="AW23" s="9" t="s">
        <v>6682</v>
      </c>
      <c r="AX23" s="9" t="s">
        <v>6683</v>
      </c>
      <c r="AY23" s="9" t="s">
        <v>6684</v>
      </c>
      <c r="AZ23" s="9" t="s">
        <v>6685</v>
      </c>
      <c r="BA23" s="9" t="s">
        <v>6686</v>
      </c>
      <c r="BB23" s="9" t="s">
        <v>6687</v>
      </c>
      <c r="BC23" s="9" t="s">
        <v>6688</v>
      </c>
      <c r="BD23" s="9" t="s">
        <v>6689</v>
      </c>
      <c r="BE23" s="29"/>
      <c r="BF23" s="29"/>
      <c r="BG23" s="29"/>
      <c r="BH23" s="29"/>
      <c r="BI23" s="29"/>
      <c r="BJ23" s="29"/>
      <c r="BK23" s="29"/>
      <c r="BL23" s="29"/>
    </row>
    <row r="24" customFormat="false" ht="141" hidden="false" customHeight="false" outlineLevel="0" collapsed="false">
      <c r="A24" s="9" t="s">
        <v>6690</v>
      </c>
      <c r="B24" s="9" t="s">
        <v>5714</v>
      </c>
      <c r="C24" s="9" t="s">
        <v>1044</v>
      </c>
      <c r="D24" s="9" t="s">
        <v>188</v>
      </c>
      <c r="E24" s="9" t="s">
        <v>87</v>
      </c>
      <c r="F24" s="9" t="s">
        <v>1140</v>
      </c>
      <c r="G24" s="28" t="s">
        <v>6691</v>
      </c>
      <c r="H24" s="9" t="s">
        <v>90</v>
      </c>
      <c r="I24" s="9" t="s">
        <v>6692</v>
      </c>
      <c r="J24" s="9" t="s">
        <v>6693</v>
      </c>
      <c r="K24" s="9" t="s">
        <v>6694</v>
      </c>
      <c r="L24" s="9" t="s">
        <v>6695</v>
      </c>
      <c r="M24" s="9" t="s">
        <v>6696</v>
      </c>
      <c r="N24" s="9" t="s">
        <v>6697</v>
      </c>
      <c r="O24" s="9" t="s">
        <v>97</v>
      </c>
      <c r="P24" s="9" t="s">
        <v>6698</v>
      </c>
      <c r="Q24" s="9" t="s">
        <v>291</v>
      </c>
      <c r="R24" s="9" t="s">
        <v>6699</v>
      </c>
      <c r="S24" s="9" t="s">
        <v>6700</v>
      </c>
      <c r="T24" s="9" t="s">
        <v>6701</v>
      </c>
      <c r="U24" s="9" t="s">
        <v>6702</v>
      </c>
      <c r="V24" s="9" t="s">
        <v>6703</v>
      </c>
      <c r="W24" s="9" t="s">
        <v>6704</v>
      </c>
      <c r="X24" s="9" t="s">
        <v>6705</v>
      </c>
      <c r="Y24" s="9" t="s">
        <v>6706</v>
      </c>
      <c r="Z24" s="9" t="s">
        <v>6707</v>
      </c>
      <c r="AA24" s="9" t="s">
        <v>6708</v>
      </c>
      <c r="AB24" s="9" t="s">
        <v>6709</v>
      </c>
      <c r="AC24" s="9" t="s">
        <v>6710</v>
      </c>
      <c r="AD24" s="9" t="s">
        <v>6711</v>
      </c>
      <c r="AE24" s="9" t="s">
        <v>6712</v>
      </c>
      <c r="AF24" s="9" t="s">
        <v>6713</v>
      </c>
      <c r="AG24" s="9" t="s">
        <v>6714</v>
      </c>
      <c r="AH24" s="9" t="s">
        <v>6715</v>
      </c>
      <c r="AI24" s="9" t="s">
        <v>6716</v>
      </c>
      <c r="AJ24" s="9" t="s">
        <v>6717</v>
      </c>
      <c r="AK24" s="9" t="s">
        <v>6718</v>
      </c>
      <c r="AL24" s="9" t="s">
        <v>6719</v>
      </c>
      <c r="AM24" s="9" t="s">
        <v>6720</v>
      </c>
      <c r="AN24" s="9" t="s">
        <v>6721</v>
      </c>
      <c r="AO24" s="9" t="s">
        <v>6722</v>
      </c>
      <c r="AP24" s="9" t="s">
        <v>6723</v>
      </c>
      <c r="AQ24" s="9" t="s">
        <v>6724</v>
      </c>
      <c r="AR24" s="9" t="s">
        <v>6725</v>
      </c>
      <c r="AS24" s="9" t="s">
        <v>6726</v>
      </c>
      <c r="AT24" s="9" t="s">
        <v>128</v>
      </c>
      <c r="AU24" s="9" t="s">
        <v>6727</v>
      </c>
      <c r="AV24" s="9" t="s">
        <v>6728</v>
      </c>
      <c r="AW24" s="9" t="s">
        <v>6729</v>
      </c>
      <c r="AX24" s="9" t="s">
        <v>6730</v>
      </c>
      <c r="AY24" s="9" t="s">
        <v>6731</v>
      </c>
      <c r="AZ24" s="9" t="s">
        <v>6732</v>
      </c>
      <c r="BA24" s="9" t="s">
        <v>6733</v>
      </c>
      <c r="BB24" s="9" t="s">
        <v>6734</v>
      </c>
      <c r="BC24" s="9" t="s">
        <v>6735</v>
      </c>
      <c r="BD24" s="9" t="s">
        <v>6736</v>
      </c>
      <c r="BE24" s="29"/>
      <c r="BF24" s="29"/>
      <c r="BG24" s="29"/>
      <c r="BH24" s="29"/>
      <c r="BI24" s="29"/>
      <c r="BJ24" s="29"/>
      <c r="BK24" s="29"/>
      <c r="BL24" s="29"/>
    </row>
    <row r="25" customFormat="false" ht="128.35" hidden="false" customHeight="false" outlineLevel="0" collapsed="false">
      <c r="A25" s="9" t="s">
        <v>6737</v>
      </c>
      <c r="B25" s="9" t="s">
        <v>5714</v>
      </c>
      <c r="C25" s="9" t="s">
        <v>1044</v>
      </c>
      <c r="D25" s="9" t="s">
        <v>188</v>
      </c>
      <c r="E25" s="9" t="s">
        <v>87</v>
      </c>
      <c r="F25" s="9" t="s">
        <v>1330</v>
      </c>
      <c r="G25" s="28" t="s">
        <v>6738</v>
      </c>
      <c r="H25" s="9" t="s">
        <v>90</v>
      </c>
      <c r="I25" s="9" t="s">
        <v>6739</v>
      </c>
      <c r="J25" s="9" t="s">
        <v>6740</v>
      </c>
      <c r="K25" s="9" t="s">
        <v>6741</v>
      </c>
      <c r="L25" s="9" t="s">
        <v>6742</v>
      </c>
      <c r="M25" s="9" t="s">
        <v>6743</v>
      </c>
      <c r="N25" s="9" t="s">
        <v>6744</v>
      </c>
      <c r="O25" s="9" t="s">
        <v>97</v>
      </c>
      <c r="P25" s="9" t="s">
        <v>6745</v>
      </c>
      <c r="Q25" s="9" t="s">
        <v>99</v>
      </c>
      <c r="R25" s="9" t="s">
        <v>6746</v>
      </c>
      <c r="S25" s="9" t="s">
        <v>6747</v>
      </c>
      <c r="T25" s="9" t="s">
        <v>6748</v>
      </c>
      <c r="U25" s="9" t="s">
        <v>6749</v>
      </c>
      <c r="V25" s="9" t="s">
        <v>6750</v>
      </c>
      <c r="W25" s="9" t="s">
        <v>6751</v>
      </c>
      <c r="X25" s="9" t="s">
        <v>6752</v>
      </c>
      <c r="Y25" s="9" t="s">
        <v>6753</v>
      </c>
      <c r="Z25" s="9" t="s">
        <v>6754</v>
      </c>
      <c r="AA25" s="9" t="s">
        <v>6755</v>
      </c>
      <c r="AB25" s="9" t="s">
        <v>6756</v>
      </c>
      <c r="AC25" s="9" t="s">
        <v>6757</v>
      </c>
      <c r="AD25" s="9" t="s">
        <v>6758</v>
      </c>
      <c r="AE25" s="9" t="s">
        <v>6759</v>
      </c>
      <c r="AF25" s="9" t="s">
        <v>6760</v>
      </c>
      <c r="AG25" s="9" t="s">
        <v>6761</v>
      </c>
      <c r="AH25" s="9" t="s">
        <v>6762</v>
      </c>
      <c r="AI25" s="9" t="s">
        <v>6763</v>
      </c>
      <c r="AJ25" s="9" t="s">
        <v>6764</v>
      </c>
      <c r="AK25" s="9" t="s">
        <v>6765</v>
      </c>
      <c r="AL25" s="9" t="s">
        <v>6766</v>
      </c>
      <c r="AM25" s="9" t="s">
        <v>6767</v>
      </c>
      <c r="AN25" s="9" t="s">
        <v>6768</v>
      </c>
      <c r="AO25" s="9" t="s">
        <v>6769</v>
      </c>
      <c r="AP25" s="9" t="s">
        <v>6770</v>
      </c>
      <c r="AQ25" s="9" t="s">
        <v>6771</v>
      </c>
      <c r="AR25" s="9" t="s">
        <v>6772</v>
      </c>
      <c r="AS25" s="9" t="s">
        <v>6773</v>
      </c>
      <c r="AT25" s="9" t="s">
        <v>128</v>
      </c>
      <c r="AU25" s="9" t="s">
        <v>6774</v>
      </c>
      <c r="AV25" s="9" t="s">
        <v>6775</v>
      </c>
      <c r="AW25" s="9" t="s">
        <v>6776</v>
      </c>
      <c r="AX25" s="9" t="s">
        <v>6777</v>
      </c>
      <c r="AY25" s="9" t="s">
        <v>6778</v>
      </c>
      <c r="AZ25" s="9" t="s">
        <v>6779</v>
      </c>
      <c r="BA25" s="9" t="s">
        <v>6780</v>
      </c>
      <c r="BB25" s="9" t="s">
        <v>6781</v>
      </c>
      <c r="BC25" s="9" t="s">
        <v>6782</v>
      </c>
      <c r="BD25" s="9" t="s">
        <v>6783</v>
      </c>
      <c r="BE25" s="29"/>
      <c r="BF25" s="29"/>
      <c r="BG25" s="29"/>
      <c r="BH25" s="29"/>
      <c r="BI25" s="29"/>
      <c r="BJ25" s="29"/>
      <c r="BK25" s="29"/>
      <c r="BL25" s="29"/>
    </row>
    <row r="26" customFormat="false" ht="153.7" hidden="false" customHeight="false" outlineLevel="0" collapsed="false">
      <c r="A26" s="9" t="s">
        <v>6784</v>
      </c>
      <c r="B26" s="9" t="s">
        <v>5714</v>
      </c>
      <c r="C26" s="9" t="s">
        <v>1044</v>
      </c>
      <c r="D26" s="9" t="s">
        <v>188</v>
      </c>
      <c r="E26" s="9" t="s">
        <v>87</v>
      </c>
      <c r="F26" s="9" t="s">
        <v>236</v>
      </c>
      <c r="G26" s="28" t="s">
        <v>6785</v>
      </c>
      <c r="H26" s="9" t="s">
        <v>90</v>
      </c>
      <c r="I26" s="9" t="s">
        <v>6786</v>
      </c>
      <c r="J26" s="9" t="s">
        <v>6787</v>
      </c>
      <c r="K26" s="9" t="s">
        <v>6788</v>
      </c>
      <c r="L26" s="9" t="s">
        <v>6789</v>
      </c>
      <c r="M26" s="9" t="s">
        <v>6790</v>
      </c>
      <c r="N26" s="9" t="s">
        <v>6791</v>
      </c>
      <c r="O26" s="9" t="s">
        <v>97</v>
      </c>
      <c r="P26" s="9" t="s">
        <v>6792</v>
      </c>
      <c r="Q26" s="9" t="s">
        <v>291</v>
      </c>
      <c r="R26" s="9" t="s">
        <v>6793</v>
      </c>
      <c r="S26" s="9" t="s">
        <v>6794</v>
      </c>
      <c r="T26" s="9" t="s">
        <v>6795</v>
      </c>
      <c r="U26" s="9" t="s">
        <v>6796</v>
      </c>
      <c r="V26" s="9" t="s">
        <v>6797</v>
      </c>
      <c r="W26" s="9" t="s">
        <v>6798</v>
      </c>
      <c r="X26" s="9" t="s">
        <v>6799</v>
      </c>
      <c r="Y26" s="9" t="s">
        <v>6800</v>
      </c>
      <c r="Z26" s="9" t="s">
        <v>6801</v>
      </c>
      <c r="AA26" s="9" t="s">
        <v>6802</v>
      </c>
      <c r="AB26" s="9" t="s">
        <v>6803</v>
      </c>
      <c r="AC26" s="9" t="s">
        <v>6804</v>
      </c>
      <c r="AD26" s="9" t="s">
        <v>6805</v>
      </c>
      <c r="AE26" s="9" t="s">
        <v>6806</v>
      </c>
      <c r="AF26" s="9" t="s">
        <v>6807</v>
      </c>
      <c r="AG26" s="9" t="s">
        <v>6808</v>
      </c>
      <c r="AH26" s="9" t="s">
        <v>6809</v>
      </c>
      <c r="AI26" s="9" t="s">
        <v>6810</v>
      </c>
      <c r="AJ26" s="9" t="s">
        <v>6811</v>
      </c>
      <c r="AK26" s="9" t="s">
        <v>6812</v>
      </c>
      <c r="AL26" s="9" t="s">
        <v>6813</v>
      </c>
      <c r="AM26" s="9" t="s">
        <v>6814</v>
      </c>
      <c r="AN26" s="9" t="s">
        <v>6815</v>
      </c>
      <c r="AO26" s="9" t="s">
        <v>6816</v>
      </c>
      <c r="AP26" s="9" t="s">
        <v>6817</v>
      </c>
      <c r="AQ26" s="9" t="s">
        <v>6818</v>
      </c>
      <c r="AR26" s="9" t="s">
        <v>6819</v>
      </c>
      <c r="AS26" s="9" t="s">
        <v>6820</v>
      </c>
      <c r="AT26" s="9" t="s">
        <v>128</v>
      </c>
      <c r="AU26" s="9" t="s">
        <v>6821</v>
      </c>
      <c r="AV26" s="9" t="s">
        <v>6822</v>
      </c>
      <c r="AW26" s="9" t="s">
        <v>6823</v>
      </c>
      <c r="AX26" s="9" t="s">
        <v>6824</v>
      </c>
      <c r="AY26" s="9" t="s">
        <v>6825</v>
      </c>
      <c r="AZ26" s="9" t="s">
        <v>6826</v>
      </c>
      <c r="BA26" s="9" t="s">
        <v>6827</v>
      </c>
      <c r="BB26" s="9" t="s">
        <v>6828</v>
      </c>
      <c r="BC26" s="9" t="s">
        <v>6829</v>
      </c>
      <c r="BD26" s="9" t="s">
        <v>6830</v>
      </c>
      <c r="BE26" s="29"/>
      <c r="BF26" s="29"/>
      <c r="BG26" s="29"/>
      <c r="BH26" s="29"/>
      <c r="BI26" s="29"/>
      <c r="BJ26" s="29"/>
      <c r="BK26" s="29"/>
      <c r="BL26" s="29"/>
    </row>
    <row r="27" customFormat="false" ht="128.35" hidden="false" customHeight="false" outlineLevel="0" collapsed="false">
      <c r="A27" s="9" t="s">
        <v>6831</v>
      </c>
      <c r="B27" s="9" t="s">
        <v>5714</v>
      </c>
      <c r="C27" s="9" t="s">
        <v>1044</v>
      </c>
      <c r="D27" s="9" t="s">
        <v>188</v>
      </c>
      <c r="E27" s="9" t="s">
        <v>87</v>
      </c>
      <c r="F27" s="9" t="s">
        <v>426</v>
      </c>
      <c r="G27" s="28" t="s">
        <v>6832</v>
      </c>
      <c r="H27" s="9" t="s">
        <v>90</v>
      </c>
      <c r="I27" s="9" t="s">
        <v>6833</v>
      </c>
      <c r="J27" s="9" t="s">
        <v>6834</v>
      </c>
      <c r="K27" s="9" t="s">
        <v>6835</v>
      </c>
      <c r="L27" s="9" t="s">
        <v>6836</v>
      </c>
      <c r="M27" s="9" t="s">
        <v>6837</v>
      </c>
      <c r="N27" s="9" t="s">
        <v>6838</v>
      </c>
      <c r="O27" s="9" t="s">
        <v>97</v>
      </c>
      <c r="P27" s="9" t="s">
        <v>3115</v>
      </c>
      <c r="Q27" s="9" t="s">
        <v>99</v>
      </c>
      <c r="R27" s="9" t="s">
        <v>6839</v>
      </c>
      <c r="S27" s="9" t="s">
        <v>6840</v>
      </c>
      <c r="T27" s="9" t="s">
        <v>6841</v>
      </c>
      <c r="U27" s="9" t="s">
        <v>6842</v>
      </c>
      <c r="V27" s="9" t="s">
        <v>6843</v>
      </c>
      <c r="W27" s="9" t="s">
        <v>6844</v>
      </c>
      <c r="X27" s="9" t="s">
        <v>6845</v>
      </c>
      <c r="Y27" s="9" t="s">
        <v>6846</v>
      </c>
      <c r="Z27" s="9" t="s">
        <v>6847</v>
      </c>
      <c r="AA27" s="9" t="s">
        <v>6848</v>
      </c>
      <c r="AB27" s="9" t="s">
        <v>6849</v>
      </c>
      <c r="AC27" s="9" t="s">
        <v>6850</v>
      </c>
      <c r="AD27" s="9" t="s">
        <v>6851</v>
      </c>
      <c r="AE27" s="9" t="s">
        <v>6852</v>
      </c>
      <c r="AF27" s="9" t="s">
        <v>6853</v>
      </c>
      <c r="AG27" s="9" t="s">
        <v>6854</v>
      </c>
      <c r="AH27" s="9" t="s">
        <v>6855</v>
      </c>
      <c r="AI27" s="9" t="s">
        <v>6856</v>
      </c>
      <c r="AJ27" s="9" t="s">
        <v>6857</v>
      </c>
      <c r="AK27" s="9" t="s">
        <v>6858</v>
      </c>
      <c r="AL27" s="9" t="s">
        <v>6859</v>
      </c>
      <c r="AM27" s="9" t="s">
        <v>6860</v>
      </c>
      <c r="AN27" s="9" t="s">
        <v>6861</v>
      </c>
      <c r="AO27" s="9" t="s">
        <v>6862</v>
      </c>
      <c r="AP27" s="9" t="s">
        <v>6863</v>
      </c>
      <c r="AQ27" s="9" t="s">
        <v>6444</v>
      </c>
      <c r="AR27" s="9" t="s">
        <v>6864</v>
      </c>
      <c r="AS27" s="9" t="s">
        <v>6865</v>
      </c>
      <c r="AT27" s="9" t="s">
        <v>128</v>
      </c>
      <c r="AU27" s="9" t="s">
        <v>6866</v>
      </c>
      <c r="AV27" s="9" t="s">
        <v>6867</v>
      </c>
      <c r="AW27" s="9" t="s">
        <v>6868</v>
      </c>
      <c r="AX27" s="9" t="s">
        <v>6869</v>
      </c>
      <c r="AY27" s="9" t="s">
        <v>6870</v>
      </c>
      <c r="AZ27" s="9" t="s">
        <v>6871</v>
      </c>
      <c r="BA27" s="9" t="s">
        <v>6872</v>
      </c>
      <c r="BB27" s="9" t="s">
        <v>6873</v>
      </c>
      <c r="BC27" s="9" t="s">
        <v>6874</v>
      </c>
      <c r="BD27" s="9" t="s">
        <v>6875</v>
      </c>
      <c r="BE27" s="29"/>
      <c r="BF27" s="29"/>
      <c r="BG27" s="29"/>
      <c r="BH27" s="29"/>
      <c r="BI27" s="29"/>
      <c r="BJ27" s="29"/>
      <c r="BK27" s="29"/>
      <c r="BL27" s="29"/>
    </row>
    <row r="28" customFormat="false" ht="128.35" hidden="false" customHeight="false" outlineLevel="0" collapsed="false">
      <c r="A28" s="9" t="s">
        <v>6876</v>
      </c>
      <c r="B28" s="9" t="s">
        <v>5714</v>
      </c>
      <c r="C28" s="9" t="s">
        <v>1044</v>
      </c>
      <c r="D28" s="9" t="s">
        <v>188</v>
      </c>
      <c r="E28" s="9" t="s">
        <v>87</v>
      </c>
      <c r="F28" s="9" t="s">
        <v>1330</v>
      </c>
      <c r="G28" s="28" t="s">
        <v>6877</v>
      </c>
      <c r="H28" s="9" t="s">
        <v>90</v>
      </c>
      <c r="I28" s="9" t="s">
        <v>6878</v>
      </c>
      <c r="J28" s="9" t="s">
        <v>6879</v>
      </c>
      <c r="K28" s="9" t="s">
        <v>6880</v>
      </c>
      <c r="L28" s="9" t="s">
        <v>6881</v>
      </c>
      <c r="M28" s="9" t="s">
        <v>6882</v>
      </c>
      <c r="N28" s="9" t="s">
        <v>6883</v>
      </c>
      <c r="O28" s="9" t="s">
        <v>97</v>
      </c>
      <c r="P28" s="9" t="s">
        <v>6884</v>
      </c>
      <c r="Q28" s="9" t="s">
        <v>99</v>
      </c>
      <c r="R28" s="9" t="s">
        <v>6885</v>
      </c>
      <c r="S28" s="9" t="s">
        <v>6886</v>
      </c>
      <c r="T28" s="9" t="s">
        <v>6887</v>
      </c>
      <c r="U28" s="9" t="s">
        <v>6888</v>
      </c>
      <c r="V28" s="9" t="s">
        <v>6889</v>
      </c>
      <c r="W28" s="9" t="s">
        <v>6890</v>
      </c>
      <c r="X28" s="9" t="s">
        <v>6891</v>
      </c>
      <c r="Y28" s="9" t="s">
        <v>6892</v>
      </c>
      <c r="Z28" s="9" t="s">
        <v>6893</v>
      </c>
      <c r="AA28" s="9" t="s">
        <v>6894</v>
      </c>
      <c r="AB28" s="9" t="s">
        <v>6895</v>
      </c>
      <c r="AC28" s="9" t="s">
        <v>6896</v>
      </c>
      <c r="AD28" s="9" t="s">
        <v>6897</v>
      </c>
      <c r="AE28" s="9" t="s">
        <v>6898</v>
      </c>
      <c r="AF28" s="9" t="s">
        <v>6899</v>
      </c>
      <c r="AG28" s="9" t="s">
        <v>6900</v>
      </c>
      <c r="AH28" s="9" t="s">
        <v>6901</v>
      </c>
      <c r="AI28" s="9" t="s">
        <v>6902</v>
      </c>
      <c r="AJ28" s="9" t="s">
        <v>6903</v>
      </c>
      <c r="AK28" s="9" t="s">
        <v>6904</v>
      </c>
      <c r="AL28" s="9" t="s">
        <v>6905</v>
      </c>
      <c r="AM28" s="9" t="s">
        <v>6906</v>
      </c>
      <c r="AN28" s="9" t="s">
        <v>6907</v>
      </c>
      <c r="AO28" s="9" t="s">
        <v>6908</v>
      </c>
      <c r="AP28" s="9" t="s">
        <v>6909</v>
      </c>
      <c r="AQ28" s="9" t="s">
        <v>6910</v>
      </c>
      <c r="AR28" s="9" t="s">
        <v>6911</v>
      </c>
      <c r="AS28" s="9" t="s">
        <v>6912</v>
      </c>
      <c r="AT28" s="9" t="s">
        <v>177</v>
      </c>
      <c r="AU28" s="9" t="s">
        <v>6913</v>
      </c>
      <c r="AV28" s="9" t="s">
        <v>6914</v>
      </c>
      <c r="AW28" s="9" t="s">
        <v>6915</v>
      </c>
      <c r="AX28" s="9" t="s">
        <v>6916</v>
      </c>
      <c r="AY28" s="9" t="s">
        <v>6917</v>
      </c>
      <c r="AZ28" s="9" t="s">
        <v>6918</v>
      </c>
      <c r="BA28" s="9" t="s">
        <v>6919</v>
      </c>
      <c r="BB28" s="9" t="s">
        <v>6920</v>
      </c>
      <c r="BC28" s="9" t="s">
        <v>6921</v>
      </c>
      <c r="BD28" s="9" t="s">
        <v>6922</v>
      </c>
      <c r="BE28" s="29"/>
      <c r="BF28" s="29"/>
      <c r="BG28" s="29"/>
      <c r="BH28" s="29"/>
      <c r="BI28" s="29"/>
      <c r="BJ28" s="29"/>
      <c r="BK28" s="29"/>
      <c r="BL28" s="29"/>
    </row>
    <row r="29" customFormat="false" ht="128.35" hidden="false" customHeight="false" outlineLevel="0" collapsed="false">
      <c r="A29" s="9" t="s">
        <v>6923</v>
      </c>
      <c r="B29" s="9" t="s">
        <v>5714</v>
      </c>
      <c r="C29" s="9" t="s">
        <v>1044</v>
      </c>
      <c r="D29" s="9" t="s">
        <v>188</v>
      </c>
      <c r="E29" s="9" t="s">
        <v>87</v>
      </c>
      <c r="F29" s="9" t="s">
        <v>1140</v>
      </c>
      <c r="G29" s="28" t="s">
        <v>6924</v>
      </c>
      <c r="H29" s="9" t="s">
        <v>90</v>
      </c>
      <c r="I29" s="9" t="s">
        <v>6925</v>
      </c>
      <c r="J29" s="9" t="s">
        <v>6926</v>
      </c>
      <c r="K29" s="9" t="s">
        <v>6927</v>
      </c>
      <c r="L29" s="9" t="s">
        <v>6928</v>
      </c>
      <c r="M29" s="9" t="s">
        <v>6929</v>
      </c>
      <c r="N29" s="9" t="s">
        <v>6930</v>
      </c>
      <c r="O29" s="9" t="s">
        <v>97</v>
      </c>
      <c r="P29" s="9" t="s">
        <v>6931</v>
      </c>
      <c r="Q29" s="9" t="s">
        <v>291</v>
      </c>
      <c r="R29" s="9" t="s">
        <v>6932</v>
      </c>
      <c r="S29" s="9" t="s">
        <v>6933</v>
      </c>
      <c r="T29" s="9" t="s">
        <v>6934</v>
      </c>
      <c r="U29" s="9" t="s">
        <v>6935</v>
      </c>
      <c r="V29" s="9" t="s">
        <v>6936</v>
      </c>
      <c r="W29" s="9" t="s">
        <v>6937</v>
      </c>
      <c r="X29" s="9" t="s">
        <v>6938</v>
      </c>
      <c r="Y29" s="9" t="s">
        <v>6939</v>
      </c>
      <c r="Z29" s="9" t="s">
        <v>6940</v>
      </c>
      <c r="AA29" s="9" t="s">
        <v>6941</v>
      </c>
      <c r="AB29" s="9" t="s">
        <v>6942</v>
      </c>
      <c r="AC29" s="9" t="s">
        <v>6943</v>
      </c>
      <c r="AD29" s="9" t="s">
        <v>6944</v>
      </c>
      <c r="AE29" s="9" t="s">
        <v>6945</v>
      </c>
      <c r="AF29" s="9" t="s">
        <v>6946</v>
      </c>
      <c r="AG29" s="9" t="s">
        <v>6947</v>
      </c>
      <c r="AH29" s="9" t="s">
        <v>6948</v>
      </c>
      <c r="AI29" s="9" t="s">
        <v>6949</v>
      </c>
      <c r="AJ29" s="9" t="s">
        <v>6950</v>
      </c>
      <c r="AK29" s="9" t="s">
        <v>6951</v>
      </c>
      <c r="AL29" s="9" t="s">
        <v>6952</v>
      </c>
      <c r="AM29" s="9" t="s">
        <v>6953</v>
      </c>
      <c r="AN29" s="9" t="s">
        <v>6954</v>
      </c>
      <c r="AO29" s="9" t="s">
        <v>4209</v>
      </c>
      <c r="AP29" s="9" t="s">
        <v>6955</v>
      </c>
      <c r="AQ29" s="9" t="s">
        <v>6956</v>
      </c>
      <c r="AR29" s="9" t="s">
        <v>6957</v>
      </c>
      <c r="AS29" s="9" t="s">
        <v>6958</v>
      </c>
      <c r="AT29" s="9" t="s">
        <v>177</v>
      </c>
      <c r="AU29" s="9" t="s">
        <v>6959</v>
      </c>
      <c r="AV29" s="9" t="s">
        <v>6960</v>
      </c>
      <c r="AW29" s="9" t="s">
        <v>6961</v>
      </c>
      <c r="AX29" s="9" t="s">
        <v>6962</v>
      </c>
      <c r="AY29" s="9" t="s">
        <v>6963</v>
      </c>
      <c r="AZ29" s="9" t="s">
        <v>6964</v>
      </c>
      <c r="BA29" s="9" t="s">
        <v>6965</v>
      </c>
      <c r="BB29" s="9" t="s">
        <v>6966</v>
      </c>
      <c r="BC29" s="9" t="s">
        <v>6967</v>
      </c>
      <c r="BD29" s="9" t="s">
        <v>6968</v>
      </c>
      <c r="BE29" s="29"/>
      <c r="BF29" s="29"/>
      <c r="BG29" s="29"/>
      <c r="BH29" s="29"/>
      <c r="BI29" s="29"/>
      <c r="BJ29" s="29"/>
      <c r="BK29" s="29"/>
      <c r="BL29" s="29"/>
    </row>
    <row r="30" customFormat="false" ht="141" hidden="false" customHeight="false" outlineLevel="0" collapsed="false">
      <c r="A30" s="9" t="s">
        <v>6969</v>
      </c>
      <c r="B30" s="9" t="s">
        <v>5714</v>
      </c>
      <c r="C30" s="9" t="s">
        <v>1044</v>
      </c>
      <c r="D30" s="9" t="s">
        <v>1092</v>
      </c>
      <c r="E30" s="9" t="s">
        <v>87</v>
      </c>
      <c r="F30" s="9" t="s">
        <v>1378</v>
      </c>
      <c r="G30" s="28" t="s">
        <v>6970</v>
      </c>
      <c r="H30" s="9" t="s">
        <v>90</v>
      </c>
      <c r="I30" s="9" t="s">
        <v>6971</v>
      </c>
      <c r="J30" s="9" t="s">
        <v>6972</v>
      </c>
      <c r="K30" s="9" t="s">
        <v>6973</v>
      </c>
      <c r="L30" s="9" t="s">
        <v>6974</v>
      </c>
      <c r="M30" s="9" t="s">
        <v>6975</v>
      </c>
      <c r="N30" s="9" t="s">
        <v>6976</v>
      </c>
      <c r="O30" s="9" t="s">
        <v>97</v>
      </c>
      <c r="P30" s="9" t="s">
        <v>6977</v>
      </c>
      <c r="Q30" s="9" t="s">
        <v>99</v>
      </c>
      <c r="R30" s="9" t="s">
        <v>6978</v>
      </c>
      <c r="S30" s="9" t="s">
        <v>6979</v>
      </c>
      <c r="T30" s="9" t="s">
        <v>6980</v>
      </c>
      <c r="U30" s="9" t="s">
        <v>6981</v>
      </c>
      <c r="V30" s="9" t="s">
        <v>6982</v>
      </c>
      <c r="W30" s="9" t="s">
        <v>6983</v>
      </c>
      <c r="X30" s="9" t="s">
        <v>6984</v>
      </c>
      <c r="Y30" s="9" t="s">
        <v>6985</v>
      </c>
      <c r="Z30" s="9" t="s">
        <v>6986</v>
      </c>
      <c r="AA30" s="9" t="s">
        <v>6987</v>
      </c>
      <c r="AB30" s="9" t="s">
        <v>6988</v>
      </c>
      <c r="AC30" s="9" t="s">
        <v>6989</v>
      </c>
      <c r="AD30" s="9" t="s">
        <v>6990</v>
      </c>
      <c r="AE30" s="9" t="s">
        <v>6991</v>
      </c>
      <c r="AF30" s="9" t="s">
        <v>6992</v>
      </c>
      <c r="AG30" s="9" t="s">
        <v>6993</v>
      </c>
      <c r="AH30" s="9" t="s">
        <v>6994</v>
      </c>
      <c r="AI30" s="9" t="s">
        <v>6995</v>
      </c>
      <c r="AJ30" s="9" t="s">
        <v>6996</v>
      </c>
      <c r="AK30" s="9" t="s">
        <v>6997</v>
      </c>
      <c r="AL30" s="9" t="s">
        <v>6998</v>
      </c>
      <c r="AM30" s="9" t="s">
        <v>6999</v>
      </c>
      <c r="AN30" s="9" t="s">
        <v>7000</v>
      </c>
      <c r="AO30" s="9" t="s">
        <v>7001</v>
      </c>
      <c r="AP30" s="9" t="s">
        <v>7002</v>
      </c>
      <c r="AQ30" s="9" t="s">
        <v>7003</v>
      </c>
      <c r="AR30" s="9" t="s">
        <v>7004</v>
      </c>
      <c r="AS30" s="9" t="s">
        <v>7005</v>
      </c>
      <c r="AT30" s="9" t="s">
        <v>414</v>
      </c>
      <c r="AU30" s="9" t="s">
        <v>7006</v>
      </c>
      <c r="AV30" s="9" t="s">
        <v>7007</v>
      </c>
      <c r="AW30" s="9" t="s">
        <v>7008</v>
      </c>
      <c r="AX30" s="9" t="s">
        <v>7009</v>
      </c>
      <c r="AY30" s="9" t="s">
        <v>7010</v>
      </c>
      <c r="AZ30" s="9" t="s">
        <v>7011</v>
      </c>
      <c r="BA30" s="9" t="s">
        <v>7012</v>
      </c>
      <c r="BB30" s="9" t="s">
        <v>7013</v>
      </c>
      <c r="BC30" s="9" t="s">
        <v>7014</v>
      </c>
      <c r="BD30" s="9" t="s">
        <v>7015</v>
      </c>
      <c r="BE30" s="29"/>
      <c r="BF30" s="29"/>
      <c r="BG30" s="29"/>
      <c r="BH30" s="29"/>
      <c r="BI30" s="29"/>
      <c r="BJ30" s="29"/>
      <c r="BK30" s="29"/>
      <c r="BL30" s="29"/>
    </row>
    <row r="31" customFormat="false" ht="166.4" hidden="false" customHeight="false" outlineLevel="0" collapsed="false">
      <c r="A31" s="9" t="s">
        <v>7016</v>
      </c>
      <c r="B31" s="9" t="s">
        <v>5714</v>
      </c>
      <c r="C31" s="9" t="s">
        <v>1044</v>
      </c>
      <c r="D31" s="9" t="s">
        <v>188</v>
      </c>
      <c r="E31" s="9" t="s">
        <v>87</v>
      </c>
      <c r="F31" s="9" t="s">
        <v>854</v>
      </c>
      <c r="G31" s="28" t="s">
        <v>7017</v>
      </c>
      <c r="H31" s="9" t="s">
        <v>90</v>
      </c>
      <c r="I31" s="9" t="s">
        <v>7018</v>
      </c>
      <c r="J31" s="9" t="s">
        <v>7019</v>
      </c>
      <c r="K31" s="9" t="s">
        <v>7020</v>
      </c>
      <c r="L31" s="9" t="s">
        <v>7021</v>
      </c>
      <c r="M31" s="9" t="s">
        <v>7022</v>
      </c>
      <c r="N31" s="9" t="s">
        <v>7023</v>
      </c>
      <c r="O31" s="9" t="s">
        <v>97</v>
      </c>
      <c r="P31" s="9" t="s">
        <v>7024</v>
      </c>
      <c r="Q31" s="9" t="s">
        <v>291</v>
      </c>
      <c r="R31" s="9" t="s">
        <v>7025</v>
      </c>
      <c r="S31" s="9" t="s">
        <v>7026</v>
      </c>
      <c r="T31" s="9" t="s">
        <v>7027</v>
      </c>
      <c r="U31" s="9" t="s">
        <v>7028</v>
      </c>
      <c r="V31" s="9" t="s">
        <v>7029</v>
      </c>
      <c r="W31" s="9" t="s">
        <v>7030</v>
      </c>
      <c r="X31" s="9" t="s">
        <v>7031</v>
      </c>
      <c r="Y31" s="9" t="s">
        <v>7032</v>
      </c>
      <c r="Z31" s="9" t="s">
        <v>7033</v>
      </c>
      <c r="AA31" s="9" t="s">
        <v>7034</v>
      </c>
      <c r="AB31" s="9" t="s">
        <v>7035</v>
      </c>
      <c r="AC31" s="9" t="s">
        <v>7036</v>
      </c>
      <c r="AD31" s="9" t="s">
        <v>7037</v>
      </c>
      <c r="AE31" s="9" t="s">
        <v>7038</v>
      </c>
      <c r="AF31" s="9" t="s">
        <v>7039</v>
      </c>
      <c r="AG31" s="9" t="s">
        <v>7040</v>
      </c>
      <c r="AH31" s="9" t="s">
        <v>7041</v>
      </c>
      <c r="AI31" s="9" t="s">
        <v>7042</v>
      </c>
      <c r="AJ31" s="9" t="s">
        <v>7043</v>
      </c>
      <c r="AK31" s="9" t="s">
        <v>7044</v>
      </c>
      <c r="AL31" s="9" t="s">
        <v>7045</v>
      </c>
      <c r="AM31" s="9" t="s">
        <v>7046</v>
      </c>
      <c r="AN31" s="9" t="s">
        <v>7047</v>
      </c>
      <c r="AO31" s="9" t="s">
        <v>7048</v>
      </c>
      <c r="AP31" s="9" t="s">
        <v>7049</v>
      </c>
      <c r="AQ31" s="9" t="s">
        <v>5422</v>
      </c>
      <c r="AR31" s="9" t="s">
        <v>7050</v>
      </c>
      <c r="AS31" s="9" t="s">
        <v>7051</v>
      </c>
      <c r="AT31" s="9" t="s">
        <v>699</v>
      </c>
      <c r="AU31" s="9" t="s">
        <v>7052</v>
      </c>
      <c r="AV31" s="9" t="s">
        <v>7053</v>
      </c>
      <c r="AW31" s="9" t="s">
        <v>7054</v>
      </c>
      <c r="AX31" s="9" t="s">
        <v>7055</v>
      </c>
      <c r="AY31" s="9" t="s">
        <v>7056</v>
      </c>
      <c r="AZ31" s="9" t="s">
        <v>7057</v>
      </c>
      <c r="BA31" s="9" t="s">
        <v>7058</v>
      </c>
      <c r="BB31" s="9" t="s">
        <v>7059</v>
      </c>
      <c r="BC31" s="9" t="s">
        <v>7060</v>
      </c>
      <c r="BD31" s="9" t="s">
        <v>7061</v>
      </c>
      <c r="BE31" s="29"/>
      <c r="BF31" s="29"/>
      <c r="BG31" s="29"/>
      <c r="BH31" s="29"/>
      <c r="BI31" s="29"/>
      <c r="BJ31" s="29"/>
      <c r="BK31" s="29"/>
      <c r="BL31" s="29"/>
    </row>
    <row r="32" customFormat="false" ht="128.35" hidden="false" customHeight="false" outlineLevel="0" collapsed="false">
      <c r="A32" s="9" t="s">
        <v>7062</v>
      </c>
      <c r="B32" s="9" t="s">
        <v>5714</v>
      </c>
      <c r="C32" s="9" t="s">
        <v>1044</v>
      </c>
      <c r="D32" s="9" t="s">
        <v>188</v>
      </c>
      <c r="E32" s="9" t="s">
        <v>87</v>
      </c>
      <c r="F32" s="9" t="s">
        <v>4130</v>
      </c>
      <c r="G32" s="28" t="s">
        <v>7063</v>
      </c>
      <c r="H32" s="9" t="s">
        <v>90</v>
      </c>
      <c r="I32" s="9" t="s">
        <v>7064</v>
      </c>
      <c r="J32" s="9" t="s">
        <v>7065</v>
      </c>
      <c r="K32" s="9" t="s">
        <v>7066</v>
      </c>
      <c r="L32" s="9" t="s">
        <v>7067</v>
      </c>
      <c r="M32" s="9" t="s">
        <v>7068</v>
      </c>
      <c r="N32" s="9" t="s">
        <v>7069</v>
      </c>
      <c r="O32" s="9" t="s">
        <v>97</v>
      </c>
      <c r="P32" s="9" t="s">
        <v>7070</v>
      </c>
      <c r="Q32" s="9" t="s">
        <v>957</v>
      </c>
      <c r="R32" s="9" t="s">
        <v>7071</v>
      </c>
      <c r="S32" s="9" t="s">
        <v>7072</v>
      </c>
      <c r="T32" s="9" t="s">
        <v>7073</v>
      </c>
      <c r="U32" s="9" t="s">
        <v>7074</v>
      </c>
      <c r="V32" s="9" t="s">
        <v>7075</v>
      </c>
      <c r="W32" s="9" t="s">
        <v>7076</v>
      </c>
      <c r="X32" s="9" t="s">
        <v>7077</v>
      </c>
      <c r="Y32" s="9" t="s">
        <v>7078</v>
      </c>
      <c r="Z32" s="9" t="s">
        <v>7079</v>
      </c>
      <c r="AA32" s="9" t="s">
        <v>7080</v>
      </c>
      <c r="AB32" s="9" t="s">
        <v>7081</v>
      </c>
      <c r="AC32" s="9" t="s">
        <v>7082</v>
      </c>
      <c r="AD32" s="9" t="s">
        <v>7083</v>
      </c>
      <c r="AE32" s="9" t="s">
        <v>7084</v>
      </c>
      <c r="AF32" s="9" t="s">
        <v>7085</v>
      </c>
      <c r="AG32" s="9" t="s">
        <v>7086</v>
      </c>
      <c r="AH32" s="9" t="s">
        <v>7087</v>
      </c>
      <c r="AI32" s="9" t="s">
        <v>7088</v>
      </c>
      <c r="AJ32" s="9" t="s">
        <v>7089</v>
      </c>
      <c r="AK32" s="9" t="s">
        <v>7090</v>
      </c>
      <c r="AL32" s="9" t="s">
        <v>7091</v>
      </c>
      <c r="AM32" s="9" t="s">
        <v>7092</v>
      </c>
      <c r="AN32" s="9" t="s">
        <v>7093</v>
      </c>
      <c r="AO32" s="9" t="s">
        <v>7094</v>
      </c>
      <c r="AP32" s="9" t="s">
        <v>7095</v>
      </c>
      <c r="AQ32" s="9" t="s">
        <v>7096</v>
      </c>
      <c r="AR32" s="9" t="s">
        <v>7097</v>
      </c>
      <c r="AS32" s="9" t="s">
        <v>7098</v>
      </c>
      <c r="AT32" s="9" t="s">
        <v>699</v>
      </c>
      <c r="AU32" s="9" t="s">
        <v>7099</v>
      </c>
      <c r="AV32" s="9" t="s">
        <v>7100</v>
      </c>
      <c r="AW32" s="9" t="s">
        <v>7101</v>
      </c>
      <c r="AX32" s="9" t="s">
        <v>7102</v>
      </c>
      <c r="AY32" s="9" t="s">
        <v>7103</v>
      </c>
      <c r="AZ32" s="9" t="s">
        <v>7104</v>
      </c>
      <c r="BA32" s="9" t="s">
        <v>7105</v>
      </c>
      <c r="BB32" s="9" t="s">
        <v>7106</v>
      </c>
      <c r="BC32" s="9" t="s">
        <v>7107</v>
      </c>
      <c r="BD32" s="9" t="s">
        <v>7108</v>
      </c>
      <c r="BE32" s="29"/>
      <c r="BF32" s="29"/>
      <c r="BG32" s="29"/>
      <c r="BH32" s="29"/>
      <c r="BI32" s="29"/>
      <c r="BJ32" s="29"/>
      <c r="BK32" s="29"/>
      <c r="BL32" s="29"/>
    </row>
    <row r="33" customFormat="false" ht="153.7" hidden="false" customHeight="false" outlineLevel="0" collapsed="false">
      <c r="A33" s="9" t="s">
        <v>7109</v>
      </c>
      <c r="B33" s="9" t="s">
        <v>5714</v>
      </c>
      <c r="C33" s="9" t="s">
        <v>1044</v>
      </c>
      <c r="D33" s="9" t="s">
        <v>188</v>
      </c>
      <c r="E33" s="9" t="s">
        <v>87</v>
      </c>
      <c r="F33" s="9" t="s">
        <v>662</v>
      </c>
      <c r="G33" s="28" t="s">
        <v>7110</v>
      </c>
      <c r="H33" s="9" t="s">
        <v>90</v>
      </c>
      <c r="I33" s="9" t="s">
        <v>7111</v>
      </c>
      <c r="J33" s="9" t="s">
        <v>7112</v>
      </c>
      <c r="K33" s="9" t="s">
        <v>7113</v>
      </c>
      <c r="L33" s="9" t="s">
        <v>7114</v>
      </c>
      <c r="M33" s="9" t="s">
        <v>7115</v>
      </c>
      <c r="N33" s="9" t="s">
        <v>7116</v>
      </c>
      <c r="O33" s="9" t="s">
        <v>575</v>
      </c>
      <c r="P33" s="9" t="s">
        <v>7117</v>
      </c>
      <c r="Q33" s="9" t="s">
        <v>957</v>
      </c>
      <c r="R33" s="9" t="s">
        <v>7118</v>
      </c>
      <c r="S33" s="9" t="s">
        <v>7119</v>
      </c>
      <c r="T33" s="9" t="s">
        <v>7120</v>
      </c>
      <c r="U33" s="9" t="s">
        <v>7121</v>
      </c>
      <c r="V33" s="9" t="s">
        <v>7122</v>
      </c>
      <c r="W33" s="9" t="s">
        <v>7123</v>
      </c>
      <c r="X33" s="9" t="s">
        <v>7124</v>
      </c>
      <c r="Y33" s="9" t="s">
        <v>7125</v>
      </c>
      <c r="Z33" s="9" t="s">
        <v>7126</v>
      </c>
      <c r="AA33" s="9" t="s">
        <v>7127</v>
      </c>
      <c r="AB33" s="9" t="s">
        <v>7128</v>
      </c>
      <c r="AC33" s="9" t="s">
        <v>7129</v>
      </c>
      <c r="AD33" s="9" t="s">
        <v>7130</v>
      </c>
      <c r="AE33" s="9" t="s">
        <v>7131</v>
      </c>
      <c r="AF33" s="9" t="s">
        <v>7132</v>
      </c>
      <c r="AG33" s="9" t="s">
        <v>7133</v>
      </c>
      <c r="AH33" s="9" t="s">
        <v>7134</v>
      </c>
      <c r="AI33" s="9" t="s">
        <v>7135</v>
      </c>
      <c r="AJ33" s="9" t="s">
        <v>7136</v>
      </c>
      <c r="AK33" s="9" t="s">
        <v>7137</v>
      </c>
      <c r="AL33" s="9" t="s">
        <v>7138</v>
      </c>
      <c r="AM33" s="9" t="s">
        <v>7139</v>
      </c>
      <c r="AN33" s="9" t="s">
        <v>7140</v>
      </c>
      <c r="AO33" s="9" t="s">
        <v>7141</v>
      </c>
      <c r="AP33" s="9" t="s">
        <v>7142</v>
      </c>
      <c r="AQ33" s="9" t="s">
        <v>648</v>
      </c>
      <c r="AR33" s="9" t="s">
        <v>7143</v>
      </c>
      <c r="AS33" s="9" t="s">
        <v>7144</v>
      </c>
      <c r="AT33" s="9" t="s">
        <v>699</v>
      </c>
      <c r="AU33" s="9" t="s">
        <v>7145</v>
      </c>
      <c r="AV33" s="9" t="s">
        <v>7146</v>
      </c>
      <c r="AW33" s="9" t="s">
        <v>7147</v>
      </c>
      <c r="AX33" s="9" t="s">
        <v>7148</v>
      </c>
      <c r="AY33" s="9" t="s">
        <v>7149</v>
      </c>
      <c r="AZ33" s="9" t="s">
        <v>7150</v>
      </c>
      <c r="BA33" s="9" t="s">
        <v>7151</v>
      </c>
      <c r="BB33" s="9" t="s">
        <v>7152</v>
      </c>
      <c r="BC33" s="9" t="s">
        <v>7153</v>
      </c>
      <c r="BD33" s="9" t="s">
        <v>7154</v>
      </c>
      <c r="BE33" s="29"/>
      <c r="BF33" s="29"/>
      <c r="BG33" s="29"/>
      <c r="BH33" s="29"/>
      <c r="BI33" s="29"/>
      <c r="BJ33" s="29"/>
      <c r="BK33" s="29"/>
      <c r="BL33" s="29"/>
    </row>
    <row r="34" customFormat="false" ht="128.35" hidden="false" customHeight="false" outlineLevel="0" collapsed="false">
      <c r="A34" s="9" t="s">
        <v>7155</v>
      </c>
      <c r="B34" s="9" t="s">
        <v>5714</v>
      </c>
      <c r="C34" s="9" t="s">
        <v>1044</v>
      </c>
      <c r="D34" s="9" t="s">
        <v>188</v>
      </c>
      <c r="E34" s="9" t="s">
        <v>87</v>
      </c>
      <c r="F34" s="9" t="s">
        <v>662</v>
      </c>
      <c r="G34" s="28" t="s">
        <v>7156</v>
      </c>
      <c r="H34" s="9" t="s">
        <v>90</v>
      </c>
      <c r="I34" s="9" t="s">
        <v>7157</v>
      </c>
      <c r="J34" s="9" t="s">
        <v>7158</v>
      </c>
      <c r="K34" s="9" t="s">
        <v>7159</v>
      </c>
      <c r="L34" s="9" t="s">
        <v>7160</v>
      </c>
      <c r="M34" s="9" t="s">
        <v>7161</v>
      </c>
      <c r="N34" s="9" t="s">
        <v>7162</v>
      </c>
      <c r="O34" s="9" t="s">
        <v>575</v>
      </c>
      <c r="P34" s="9" t="s">
        <v>7163</v>
      </c>
      <c r="Q34" s="9" t="s">
        <v>6559</v>
      </c>
      <c r="R34" s="9" t="s">
        <v>7164</v>
      </c>
      <c r="S34" s="9" t="s">
        <v>7165</v>
      </c>
      <c r="T34" s="9" t="s">
        <v>7166</v>
      </c>
      <c r="U34" s="9" t="s">
        <v>7167</v>
      </c>
      <c r="V34" s="9" t="s">
        <v>7168</v>
      </c>
      <c r="W34" s="9" t="s">
        <v>7169</v>
      </c>
      <c r="X34" s="9" t="s">
        <v>7170</v>
      </c>
      <c r="Y34" s="9" t="s">
        <v>7171</v>
      </c>
      <c r="Z34" s="9" t="s">
        <v>7172</v>
      </c>
      <c r="AA34" s="9" t="s">
        <v>7173</v>
      </c>
      <c r="AB34" s="9" t="s">
        <v>7174</v>
      </c>
      <c r="AC34" s="9" t="s">
        <v>7175</v>
      </c>
      <c r="AD34" s="9" t="s">
        <v>7176</v>
      </c>
      <c r="AE34" s="9" t="s">
        <v>7177</v>
      </c>
      <c r="AF34" s="9" t="s">
        <v>7178</v>
      </c>
      <c r="AG34" s="9" t="s">
        <v>7179</v>
      </c>
      <c r="AH34" s="9" t="s">
        <v>7180</v>
      </c>
      <c r="AI34" s="9" t="s">
        <v>7181</v>
      </c>
      <c r="AJ34" s="9" t="s">
        <v>7182</v>
      </c>
      <c r="AK34" s="9" t="s">
        <v>7183</v>
      </c>
      <c r="AL34" s="9" t="s">
        <v>7184</v>
      </c>
      <c r="AM34" s="9" t="s">
        <v>7185</v>
      </c>
      <c r="AN34" s="9" t="s">
        <v>7186</v>
      </c>
      <c r="AO34" s="9" t="s">
        <v>7187</v>
      </c>
      <c r="AP34" s="9" t="s">
        <v>7188</v>
      </c>
      <c r="AQ34" s="9" t="s">
        <v>840</v>
      </c>
      <c r="AR34" s="9" t="s">
        <v>7189</v>
      </c>
      <c r="AS34" s="9" t="s">
        <v>7190</v>
      </c>
      <c r="AT34" s="9" t="s">
        <v>414</v>
      </c>
      <c r="AU34" s="9" t="s">
        <v>7191</v>
      </c>
      <c r="AV34" s="9" t="s">
        <v>7192</v>
      </c>
      <c r="AW34" s="9" t="s">
        <v>7193</v>
      </c>
      <c r="AX34" s="9" t="s">
        <v>7194</v>
      </c>
      <c r="AY34" s="9" t="s">
        <v>7195</v>
      </c>
      <c r="AZ34" s="9" t="s">
        <v>7196</v>
      </c>
      <c r="BA34" s="9" t="s">
        <v>7197</v>
      </c>
      <c r="BB34" s="9" t="s">
        <v>7198</v>
      </c>
      <c r="BC34" s="9" t="s">
        <v>7199</v>
      </c>
      <c r="BD34" s="9" t="s">
        <v>7200</v>
      </c>
      <c r="BE34" s="29"/>
      <c r="BF34" s="29"/>
      <c r="BG34" s="29"/>
      <c r="BH34" s="29"/>
      <c r="BI34" s="29"/>
      <c r="BJ34" s="29"/>
      <c r="BK34" s="29"/>
      <c r="BL34" s="29"/>
    </row>
    <row r="35" customFormat="false" ht="115.65" hidden="false" customHeight="false" outlineLevel="0" collapsed="false">
      <c r="A35" s="9" t="s">
        <v>7201</v>
      </c>
      <c r="B35" s="9" t="s">
        <v>5714</v>
      </c>
      <c r="C35" s="9" t="s">
        <v>1044</v>
      </c>
      <c r="D35" s="9" t="s">
        <v>188</v>
      </c>
      <c r="E35" s="9" t="s">
        <v>87</v>
      </c>
      <c r="F35" s="9" t="s">
        <v>1330</v>
      </c>
      <c r="G35" s="28" t="s">
        <v>7202</v>
      </c>
      <c r="H35" s="9" t="s">
        <v>90</v>
      </c>
      <c r="I35" s="9" t="s">
        <v>7203</v>
      </c>
      <c r="J35" s="9" t="s">
        <v>7204</v>
      </c>
      <c r="K35" s="9" t="s">
        <v>7205</v>
      </c>
      <c r="L35" s="9" t="s">
        <v>7206</v>
      </c>
      <c r="M35" s="9" t="s">
        <v>7207</v>
      </c>
      <c r="N35" s="9" t="s">
        <v>7208</v>
      </c>
      <c r="O35" s="9" t="s">
        <v>97</v>
      </c>
      <c r="P35" s="9" t="s">
        <v>7209</v>
      </c>
      <c r="Q35" s="9" t="s">
        <v>99</v>
      </c>
      <c r="R35" s="9" t="s">
        <v>7210</v>
      </c>
      <c r="S35" s="9" t="s">
        <v>7211</v>
      </c>
      <c r="T35" s="9" t="s">
        <v>7212</v>
      </c>
      <c r="U35" s="9" t="s">
        <v>7213</v>
      </c>
      <c r="V35" s="9" t="s">
        <v>7214</v>
      </c>
      <c r="W35" s="9" t="s">
        <v>7215</v>
      </c>
      <c r="X35" s="9" t="s">
        <v>7216</v>
      </c>
      <c r="Y35" s="9" t="s">
        <v>7217</v>
      </c>
      <c r="Z35" s="9" t="s">
        <v>7218</v>
      </c>
      <c r="AA35" s="9" t="s">
        <v>7219</v>
      </c>
      <c r="AB35" s="9" t="s">
        <v>7220</v>
      </c>
      <c r="AC35" s="9" t="s">
        <v>7221</v>
      </c>
      <c r="AD35" s="9" t="s">
        <v>7222</v>
      </c>
      <c r="AE35" s="9" t="s">
        <v>7223</v>
      </c>
      <c r="AF35" s="9" t="s">
        <v>7224</v>
      </c>
      <c r="AG35" s="9" t="s">
        <v>7225</v>
      </c>
      <c r="AH35" s="9" t="s">
        <v>7226</v>
      </c>
      <c r="AI35" s="9" t="s">
        <v>7227</v>
      </c>
      <c r="AJ35" s="9" t="s">
        <v>7228</v>
      </c>
      <c r="AK35" s="9" t="s">
        <v>7229</v>
      </c>
      <c r="AL35" s="9" t="s">
        <v>7230</v>
      </c>
      <c r="AM35" s="9" t="s">
        <v>7231</v>
      </c>
      <c r="AN35" s="9" t="s">
        <v>7232</v>
      </c>
      <c r="AO35" s="9" t="s">
        <v>7233</v>
      </c>
      <c r="AP35" s="9" t="s">
        <v>7234</v>
      </c>
      <c r="AQ35" s="9" t="s">
        <v>1972</v>
      </c>
      <c r="AR35" s="9" t="s">
        <v>7235</v>
      </c>
      <c r="AS35" s="9" t="s">
        <v>7236</v>
      </c>
      <c r="AT35" s="9" t="s">
        <v>177</v>
      </c>
      <c r="AU35" s="9" t="s">
        <v>7237</v>
      </c>
      <c r="AV35" s="9" t="s">
        <v>7238</v>
      </c>
      <c r="AW35" s="9" t="s">
        <v>7239</v>
      </c>
      <c r="AX35" s="9" t="s">
        <v>7240</v>
      </c>
      <c r="AY35" s="9" t="s">
        <v>7241</v>
      </c>
      <c r="AZ35" s="9" t="s">
        <v>7242</v>
      </c>
      <c r="BA35" s="9" t="s">
        <v>7243</v>
      </c>
      <c r="BB35" s="9" t="s">
        <v>7244</v>
      </c>
      <c r="BC35" s="9" t="s">
        <v>7245</v>
      </c>
      <c r="BD35" s="9" t="s">
        <v>7246</v>
      </c>
      <c r="BE35" s="29"/>
      <c r="BF35" s="29"/>
      <c r="BG35" s="29"/>
      <c r="BH35" s="29"/>
      <c r="BI35" s="29"/>
      <c r="BJ35" s="29"/>
      <c r="BK35" s="29"/>
      <c r="BL35" s="29"/>
    </row>
    <row r="36" customFormat="false" ht="128.35" hidden="false" customHeight="false" outlineLevel="0" collapsed="false">
      <c r="A36" s="9" t="s">
        <v>7247</v>
      </c>
      <c r="B36" s="9" t="s">
        <v>5714</v>
      </c>
      <c r="C36" s="9" t="s">
        <v>1044</v>
      </c>
      <c r="D36" s="9" t="s">
        <v>188</v>
      </c>
      <c r="E36" s="9" t="s">
        <v>87</v>
      </c>
      <c r="F36" s="9" t="s">
        <v>662</v>
      </c>
      <c r="G36" s="28" t="s">
        <v>7248</v>
      </c>
      <c r="H36" s="9" t="s">
        <v>90</v>
      </c>
      <c r="I36" s="9" t="s">
        <v>7249</v>
      </c>
      <c r="J36" s="9" t="s">
        <v>7250</v>
      </c>
      <c r="K36" s="9" t="s">
        <v>7251</v>
      </c>
      <c r="L36" s="9" t="s">
        <v>7252</v>
      </c>
      <c r="M36" s="9" t="s">
        <v>7253</v>
      </c>
      <c r="N36" s="9" t="s">
        <v>7254</v>
      </c>
      <c r="O36" s="9" t="s">
        <v>97</v>
      </c>
      <c r="P36" s="9" t="s">
        <v>7255</v>
      </c>
      <c r="Q36" s="9" t="s">
        <v>957</v>
      </c>
      <c r="R36" s="9" t="s">
        <v>7256</v>
      </c>
      <c r="S36" s="9" t="s">
        <v>7257</v>
      </c>
      <c r="T36" s="9" t="s">
        <v>7258</v>
      </c>
      <c r="U36" s="9" t="s">
        <v>7259</v>
      </c>
      <c r="V36" s="9" t="s">
        <v>7260</v>
      </c>
      <c r="W36" s="9" t="s">
        <v>7261</v>
      </c>
      <c r="X36" s="9" t="s">
        <v>7262</v>
      </c>
      <c r="Y36" s="9" t="s">
        <v>7263</v>
      </c>
      <c r="Z36" s="9" t="s">
        <v>7264</v>
      </c>
      <c r="AA36" s="9" t="s">
        <v>7265</v>
      </c>
      <c r="AB36" s="9" t="s">
        <v>7266</v>
      </c>
      <c r="AC36" s="9" t="s">
        <v>7267</v>
      </c>
      <c r="AD36" s="9" t="s">
        <v>7268</v>
      </c>
      <c r="AE36" s="9" t="s">
        <v>7269</v>
      </c>
      <c r="AF36" s="9" t="s">
        <v>7270</v>
      </c>
      <c r="AG36" s="9" t="s">
        <v>7271</v>
      </c>
      <c r="AH36" s="9" t="s">
        <v>7272</v>
      </c>
      <c r="AI36" s="9" t="s">
        <v>7273</v>
      </c>
      <c r="AJ36" s="9" t="s">
        <v>7274</v>
      </c>
      <c r="AK36" s="9" t="s">
        <v>7275</v>
      </c>
      <c r="AL36" s="9" t="s">
        <v>7276</v>
      </c>
      <c r="AM36" s="9" t="s">
        <v>7277</v>
      </c>
      <c r="AN36" s="9" t="s">
        <v>7278</v>
      </c>
      <c r="AO36" s="9" t="s">
        <v>7279</v>
      </c>
      <c r="AP36" s="9" t="s">
        <v>7280</v>
      </c>
      <c r="AQ36" s="9" t="s">
        <v>7281</v>
      </c>
      <c r="AR36" s="9" t="s">
        <v>7282</v>
      </c>
      <c r="AS36" s="9" t="s">
        <v>7283</v>
      </c>
      <c r="AT36" s="9" t="s">
        <v>177</v>
      </c>
      <c r="AU36" s="9" t="s">
        <v>7284</v>
      </c>
      <c r="AV36" s="9" t="s">
        <v>7285</v>
      </c>
      <c r="AW36" s="9" t="s">
        <v>3565</v>
      </c>
      <c r="AX36" s="9" t="s">
        <v>7286</v>
      </c>
      <c r="AY36" s="9" t="s">
        <v>7287</v>
      </c>
      <c r="AZ36" s="9" t="s">
        <v>7288</v>
      </c>
      <c r="BA36" s="9" t="s">
        <v>7289</v>
      </c>
      <c r="BB36" s="9" t="s">
        <v>7290</v>
      </c>
      <c r="BC36" s="9" t="s">
        <v>7291</v>
      </c>
      <c r="BD36" s="9" t="s">
        <v>7292</v>
      </c>
      <c r="BE36" s="29"/>
      <c r="BF36" s="29"/>
      <c r="BG36" s="29"/>
      <c r="BH36" s="29"/>
      <c r="BI36" s="29"/>
      <c r="BJ36" s="29"/>
      <c r="BK36" s="29"/>
      <c r="BL36" s="29"/>
    </row>
    <row r="37" customFormat="false" ht="153.7" hidden="false" customHeight="false" outlineLevel="0" collapsed="false">
      <c r="A37" s="9" t="s">
        <v>7293</v>
      </c>
      <c r="B37" s="9" t="s">
        <v>5714</v>
      </c>
      <c r="C37" s="9" t="s">
        <v>1044</v>
      </c>
      <c r="D37" s="9" t="s">
        <v>1092</v>
      </c>
      <c r="E37" s="9" t="s">
        <v>758</v>
      </c>
      <c r="F37" s="9" t="s">
        <v>236</v>
      </c>
      <c r="G37" s="28" t="s">
        <v>7294</v>
      </c>
      <c r="H37" s="9" t="s">
        <v>760</v>
      </c>
      <c r="I37" s="9" t="s">
        <v>7295</v>
      </c>
      <c r="J37" s="9" t="s">
        <v>7296</v>
      </c>
      <c r="K37" s="9" t="s">
        <v>7297</v>
      </c>
      <c r="L37" s="9" t="s">
        <v>7298</v>
      </c>
      <c r="M37" s="9" t="s">
        <v>7299</v>
      </c>
      <c r="N37" s="9" t="s">
        <v>7300</v>
      </c>
      <c r="O37" s="9" t="s">
        <v>6370</v>
      </c>
      <c r="P37" s="9" t="s">
        <v>7301</v>
      </c>
      <c r="Q37" s="9" t="s">
        <v>291</v>
      </c>
      <c r="R37" s="9" t="s">
        <v>7302</v>
      </c>
      <c r="S37" s="9" t="s">
        <v>7303</v>
      </c>
      <c r="T37" s="9" t="s">
        <v>7304</v>
      </c>
      <c r="U37" s="9" t="s">
        <v>7305</v>
      </c>
      <c r="V37" s="9" t="s">
        <v>7306</v>
      </c>
      <c r="W37" s="9" t="s">
        <v>7307</v>
      </c>
      <c r="X37" s="9" t="s">
        <v>7308</v>
      </c>
      <c r="Y37" s="9" t="s">
        <v>7309</v>
      </c>
      <c r="Z37" s="9" t="s">
        <v>7310</v>
      </c>
      <c r="AA37" s="9" t="s">
        <v>7311</v>
      </c>
      <c r="AB37" s="9" t="s">
        <v>7312</v>
      </c>
      <c r="AC37" s="9" t="s">
        <v>7313</v>
      </c>
      <c r="AD37" s="9" t="s">
        <v>7314</v>
      </c>
      <c r="AE37" s="9" t="s">
        <v>7315</v>
      </c>
      <c r="AF37" s="9" t="s">
        <v>7316</v>
      </c>
      <c r="AG37" s="9" t="s">
        <v>7317</v>
      </c>
      <c r="AH37" s="9" t="s">
        <v>7318</v>
      </c>
      <c r="AI37" s="9" t="s">
        <v>7319</v>
      </c>
      <c r="AJ37" s="9" t="s">
        <v>7320</v>
      </c>
      <c r="AK37" s="9" t="s">
        <v>7321</v>
      </c>
      <c r="AL37" s="9" t="s">
        <v>7322</v>
      </c>
      <c r="AM37" s="9" t="s">
        <v>7323</v>
      </c>
      <c r="AN37" s="9" t="s">
        <v>7324</v>
      </c>
      <c r="AO37" s="9" t="s">
        <v>7325</v>
      </c>
      <c r="AP37" s="9" t="s">
        <v>7326</v>
      </c>
      <c r="AQ37" s="9" t="s">
        <v>7327</v>
      </c>
      <c r="AR37" s="9" t="s">
        <v>7328</v>
      </c>
      <c r="AS37" s="9" t="s">
        <v>7329</v>
      </c>
      <c r="AT37" s="9" t="s">
        <v>177</v>
      </c>
      <c r="AU37" s="9" t="s">
        <v>7330</v>
      </c>
      <c r="AV37" s="9" t="s">
        <v>7331</v>
      </c>
      <c r="AW37" s="9" t="s">
        <v>7332</v>
      </c>
      <c r="AX37" s="9" t="s">
        <v>7333</v>
      </c>
      <c r="AY37" s="9" t="s">
        <v>7334</v>
      </c>
      <c r="AZ37" s="9" t="s">
        <v>7335</v>
      </c>
      <c r="BA37" s="9" t="s">
        <v>7336</v>
      </c>
      <c r="BB37" s="9" t="s">
        <v>7337</v>
      </c>
      <c r="BC37" s="9" t="s">
        <v>7338</v>
      </c>
      <c r="BD37" s="9" t="s">
        <v>7339</v>
      </c>
      <c r="BE37" s="29"/>
      <c r="BF37" s="29"/>
      <c r="BG37" s="29"/>
      <c r="BH37" s="29"/>
      <c r="BI37" s="29"/>
      <c r="BJ37" s="29"/>
      <c r="BK37" s="29"/>
      <c r="BL37" s="29"/>
    </row>
    <row r="38" customFormat="false" ht="141" hidden="false" customHeight="false" outlineLevel="0" collapsed="false">
      <c r="A38" s="9" t="s">
        <v>7340</v>
      </c>
      <c r="B38" s="9" t="s">
        <v>5714</v>
      </c>
      <c r="C38" s="9" t="s">
        <v>1044</v>
      </c>
      <c r="D38" s="9" t="s">
        <v>188</v>
      </c>
      <c r="E38" s="9" t="s">
        <v>758</v>
      </c>
      <c r="F38" s="9" t="s">
        <v>236</v>
      </c>
      <c r="G38" s="28" t="s">
        <v>7341</v>
      </c>
      <c r="H38" s="9" t="s">
        <v>760</v>
      </c>
      <c r="I38" s="9" t="s">
        <v>7342</v>
      </c>
      <c r="J38" s="9" t="s">
        <v>7343</v>
      </c>
      <c r="K38" s="9" t="s">
        <v>7344</v>
      </c>
      <c r="L38" s="9" t="s">
        <v>7345</v>
      </c>
      <c r="M38" s="9" t="s">
        <v>7346</v>
      </c>
      <c r="N38" s="9" t="s">
        <v>7347</v>
      </c>
      <c r="O38" s="9" t="s">
        <v>6370</v>
      </c>
      <c r="P38" s="9" t="s">
        <v>7348</v>
      </c>
      <c r="Q38" s="9" t="s">
        <v>291</v>
      </c>
      <c r="R38" s="9" t="s">
        <v>7349</v>
      </c>
      <c r="S38" s="9" t="s">
        <v>7350</v>
      </c>
      <c r="T38" s="9" t="s">
        <v>7351</v>
      </c>
      <c r="U38" s="9" t="s">
        <v>7352</v>
      </c>
      <c r="V38" s="9" t="s">
        <v>7353</v>
      </c>
      <c r="W38" s="9" t="s">
        <v>7354</v>
      </c>
      <c r="X38" s="9" t="s">
        <v>7355</v>
      </c>
      <c r="Y38" s="9" t="s">
        <v>7356</v>
      </c>
      <c r="Z38" s="9" t="s">
        <v>7357</v>
      </c>
      <c r="AA38" s="9" t="s">
        <v>7358</v>
      </c>
      <c r="AB38" s="9" t="s">
        <v>7359</v>
      </c>
      <c r="AC38" s="9" t="s">
        <v>7360</v>
      </c>
      <c r="AD38" s="9" t="s">
        <v>7361</v>
      </c>
      <c r="AE38" s="9" t="s">
        <v>7362</v>
      </c>
      <c r="AF38" s="9" t="s">
        <v>7363</v>
      </c>
      <c r="AG38" s="9" t="s">
        <v>7364</v>
      </c>
      <c r="AH38" s="9" t="s">
        <v>7365</v>
      </c>
      <c r="AI38" s="9" t="s">
        <v>7366</v>
      </c>
      <c r="AJ38" s="9" t="s">
        <v>7367</v>
      </c>
      <c r="AK38" s="9" t="s">
        <v>7368</v>
      </c>
      <c r="AL38" s="9" t="s">
        <v>7369</v>
      </c>
      <c r="AM38" s="9" t="s">
        <v>7370</v>
      </c>
      <c r="AN38" s="9" t="s">
        <v>7371</v>
      </c>
      <c r="AO38" s="9" t="s">
        <v>7372</v>
      </c>
      <c r="AP38" s="9" t="s">
        <v>7373</v>
      </c>
      <c r="AQ38" s="9" t="s">
        <v>554</v>
      </c>
      <c r="AR38" s="9" t="s">
        <v>7374</v>
      </c>
      <c r="AS38" s="9" t="s">
        <v>7375</v>
      </c>
      <c r="AT38" s="9" t="s">
        <v>699</v>
      </c>
      <c r="AU38" s="9" t="s">
        <v>7376</v>
      </c>
      <c r="AV38" s="9" t="s">
        <v>7377</v>
      </c>
      <c r="AW38" s="9" t="s">
        <v>7378</v>
      </c>
      <c r="AX38" s="9" t="s">
        <v>7379</v>
      </c>
      <c r="AY38" s="9" t="s">
        <v>7380</v>
      </c>
      <c r="AZ38" s="9" t="s">
        <v>7381</v>
      </c>
      <c r="BA38" s="9" t="s">
        <v>7382</v>
      </c>
      <c r="BB38" s="9" t="s">
        <v>7383</v>
      </c>
      <c r="BC38" s="9" t="s">
        <v>7384</v>
      </c>
      <c r="BD38" s="9" t="s">
        <v>7385</v>
      </c>
      <c r="BE38" s="29"/>
      <c r="BF38" s="29"/>
      <c r="BG38" s="29"/>
      <c r="BH38" s="29"/>
      <c r="BI38" s="29"/>
      <c r="BJ38" s="29"/>
      <c r="BK38" s="29"/>
      <c r="BL38" s="29"/>
    </row>
    <row r="39" customFormat="false" ht="141" hidden="false" customHeight="false" outlineLevel="0" collapsed="false">
      <c r="A39" s="9" t="s">
        <v>7386</v>
      </c>
      <c r="B39" s="9" t="s">
        <v>5714</v>
      </c>
      <c r="C39" s="9" t="s">
        <v>1044</v>
      </c>
      <c r="D39" s="9" t="s">
        <v>1092</v>
      </c>
      <c r="E39" s="9" t="s">
        <v>758</v>
      </c>
      <c r="F39" s="9" t="s">
        <v>4130</v>
      </c>
      <c r="G39" s="28" t="s">
        <v>7387</v>
      </c>
      <c r="H39" s="9" t="s">
        <v>760</v>
      </c>
      <c r="I39" s="9" t="s">
        <v>7388</v>
      </c>
      <c r="J39" s="9" t="s">
        <v>7389</v>
      </c>
      <c r="K39" s="9" t="s">
        <v>7390</v>
      </c>
      <c r="L39" s="9" t="s">
        <v>7391</v>
      </c>
      <c r="M39" s="9" t="s">
        <v>7392</v>
      </c>
      <c r="N39" s="9" t="s">
        <v>7393</v>
      </c>
      <c r="O39" s="9" t="s">
        <v>6370</v>
      </c>
      <c r="P39" s="9" t="s">
        <v>7394</v>
      </c>
      <c r="Q39" s="9" t="s">
        <v>99</v>
      </c>
      <c r="R39" s="9" t="s">
        <v>7395</v>
      </c>
      <c r="S39" s="9" t="s">
        <v>7396</v>
      </c>
      <c r="T39" s="9" t="s">
        <v>7397</v>
      </c>
      <c r="U39" s="9" t="s">
        <v>7398</v>
      </c>
      <c r="V39" s="9" t="s">
        <v>7399</v>
      </c>
      <c r="W39" s="9" t="s">
        <v>7400</v>
      </c>
      <c r="X39" s="9" t="s">
        <v>7401</v>
      </c>
      <c r="Y39" s="9" t="s">
        <v>7402</v>
      </c>
      <c r="Z39" s="9" t="s">
        <v>7403</v>
      </c>
      <c r="AA39" s="9" t="s">
        <v>7404</v>
      </c>
      <c r="AB39" s="9" t="s">
        <v>7405</v>
      </c>
      <c r="AC39" s="9" t="s">
        <v>7406</v>
      </c>
      <c r="AD39" s="9" t="s">
        <v>7407</v>
      </c>
      <c r="AE39" s="9" t="s">
        <v>7408</v>
      </c>
      <c r="AF39" s="9" t="s">
        <v>7409</v>
      </c>
      <c r="AG39" s="9" t="s">
        <v>7410</v>
      </c>
      <c r="AH39" s="9" t="s">
        <v>7411</v>
      </c>
      <c r="AI39" s="9" t="s">
        <v>7412</v>
      </c>
      <c r="AJ39" s="9" t="s">
        <v>7413</v>
      </c>
      <c r="AK39" s="9" t="s">
        <v>7414</v>
      </c>
      <c r="AL39" s="9" t="s">
        <v>7415</v>
      </c>
      <c r="AM39" s="9" t="s">
        <v>7416</v>
      </c>
      <c r="AN39" s="9" t="s">
        <v>7417</v>
      </c>
      <c r="AO39" s="9" t="s">
        <v>7418</v>
      </c>
      <c r="AP39" s="9" t="s">
        <v>7419</v>
      </c>
      <c r="AQ39" s="9" t="s">
        <v>7420</v>
      </c>
      <c r="AR39" s="9" t="s">
        <v>7421</v>
      </c>
      <c r="AS39" s="9" t="s">
        <v>7422</v>
      </c>
      <c r="AT39" s="9" t="s">
        <v>699</v>
      </c>
      <c r="AU39" s="9" t="s">
        <v>7423</v>
      </c>
      <c r="AV39" s="9" t="s">
        <v>7424</v>
      </c>
      <c r="AW39" s="9" t="s">
        <v>7425</v>
      </c>
      <c r="AX39" s="9" t="s">
        <v>7426</v>
      </c>
      <c r="AY39" s="9" t="s">
        <v>7427</v>
      </c>
      <c r="AZ39" s="9" t="s">
        <v>7428</v>
      </c>
      <c r="BA39" s="9" t="s">
        <v>7429</v>
      </c>
      <c r="BB39" s="9" t="s">
        <v>7430</v>
      </c>
      <c r="BC39" s="9" t="s">
        <v>7431</v>
      </c>
      <c r="BD39" s="9" t="s">
        <v>7432</v>
      </c>
      <c r="BE39" s="29"/>
      <c r="BF39" s="29"/>
      <c r="BG39" s="29"/>
      <c r="BH39" s="29"/>
      <c r="BI39" s="29"/>
      <c r="BJ39" s="29"/>
      <c r="BK39" s="29"/>
      <c r="BL39" s="29"/>
    </row>
    <row r="40" customFormat="false" ht="128.35" hidden="false" customHeight="false" outlineLevel="0" collapsed="false">
      <c r="A40" s="9" t="s">
        <v>7433</v>
      </c>
      <c r="B40" s="9" t="s">
        <v>5714</v>
      </c>
      <c r="C40" s="9" t="s">
        <v>1044</v>
      </c>
      <c r="D40" s="9" t="s">
        <v>188</v>
      </c>
      <c r="E40" s="9" t="s">
        <v>758</v>
      </c>
      <c r="F40" s="9" t="s">
        <v>4130</v>
      </c>
      <c r="G40" s="28" t="s">
        <v>7434</v>
      </c>
      <c r="H40" s="9" t="s">
        <v>760</v>
      </c>
      <c r="I40" s="9" t="s">
        <v>7435</v>
      </c>
      <c r="J40" s="9" t="s">
        <v>7436</v>
      </c>
      <c r="K40" s="9" t="s">
        <v>7437</v>
      </c>
      <c r="L40" s="9" t="s">
        <v>7438</v>
      </c>
      <c r="M40" s="9" t="s">
        <v>7439</v>
      </c>
      <c r="N40" s="9" t="s">
        <v>7440</v>
      </c>
      <c r="O40" s="9" t="s">
        <v>6370</v>
      </c>
      <c r="P40" s="9" t="s">
        <v>7441</v>
      </c>
      <c r="Q40" s="9" t="s">
        <v>291</v>
      </c>
      <c r="R40" s="9" t="s">
        <v>7442</v>
      </c>
      <c r="S40" s="9" t="s">
        <v>7443</v>
      </c>
      <c r="T40" s="9" t="s">
        <v>7444</v>
      </c>
      <c r="U40" s="9" t="s">
        <v>7445</v>
      </c>
      <c r="V40" s="9" t="s">
        <v>7446</v>
      </c>
      <c r="W40" s="9" t="s">
        <v>7447</v>
      </c>
      <c r="X40" s="9" t="s">
        <v>7448</v>
      </c>
      <c r="Y40" s="9" t="s">
        <v>7449</v>
      </c>
      <c r="Z40" s="9" t="s">
        <v>7450</v>
      </c>
      <c r="AA40" s="9" t="s">
        <v>7451</v>
      </c>
      <c r="AB40" s="9" t="s">
        <v>7452</v>
      </c>
      <c r="AC40" s="9" t="s">
        <v>7453</v>
      </c>
      <c r="AD40" s="9" t="s">
        <v>7454</v>
      </c>
      <c r="AE40" s="9" t="s">
        <v>7455</v>
      </c>
      <c r="AF40" s="9" t="s">
        <v>7456</v>
      </c>
      <c r="AG40" s="9" t="s">
        <v>7457</v>
      </c>
      <c r="AH40" s="9" t="s">
        <v>7458</v>
      </c>
      <c r="AI40" s="9" t="s">
        <v>7459</v>
      </c>
      <c r="AJ40" s="9" t="s">
        <v>7460</v>
      </c>
      <c r="AK40" s="9" t="s">
        <v>7461</v>
      </c>
      <c r="AL40" s="9" t="s">
        <v>7462</v>
      </c>
      <c r="AM40" s="9" t="s">
        <v>7463</v>
      </c>
      <c r="AN40" s="9" t="s">
        <v>7464</v>
      </c>
      <c r="AO40" s="9" t="s">
        <v>7465</v>
      </c>
      <c r="AP40" s="9" t="s">
        <v>7466</v>
      </c>
      <c r="AQ40" s="9" t="s">
        <v>7467</v>
      </c>
      <c r="AR40" s="9" t="s">
        <v>7468</v>
      </c>
      <c r="AS40" s="9" t="s">
        <v>7469</v>
      </c>
      <c r="AT40" s="9" t="s">
        <v>414</v>
      </c>
      <c r="AU40" s="9" t="s">
        <v>7470</v>
      </c>
      <c r="AV40" s="9" t="s">
        <v>7471</v>
      </c>
      <c r="AW40" s="9" t="s">
        <v>7472</v>
      </c>
      <c r="AX40" s="9" t="s">
        <v>7473</v>
      </c>
      <c r="AY40" s="9" t="s">
        <v>7474</v>
      </c>
      <c r="AZ40" s="9" t="s">
        <v>7475</v>
      </c>
      <c r="BA40" s="9" t="s">
        <v>7476</v>
      </c>
      <c r="BB40" s="9" t="s">
        <v>7477</v>
      </c>
      <c r="BC40" s="9" t="s">
        <v>7478</v>
      </c>
      <c r="BD40" s="9" t="s">
        <v>7479</v>
      </c>
      <c r="BE40" s="29"/>
      <c r="BF40" s="29"/>
      <c r="BG40" s="29"/>
      <c r="BH40" s="29"/>
      <c r="BI40" s="29"/>
      <c r="BJ40" s="29"/>
      <c r="BK40" s="29"/>
      <c r="BL40" s="29"/>
    </row>
    <row r="41" customFormat="false" ht="128.35" hidden="false" customHeight="false" outlineLevel="0" collapsed="false">
      <c r="A41" s="9" t="s">
        <v>7480</v>
      </c>
      <c r="B41" s="9" t="s">
        <v>5714</v>
      </c>
      <c r="C41" s="9" t="s">
        <v>1044</v>
      </c>
      <c r="D41" s="9" t="s">
        <v>1092</v>
      </c>
      <c r="E41" s="9" t="s">
        <v>758</v>
      </c>
      <c r="F41" s="9" t="s">
        <v>1330</v>
      </c>
      <c r="G41" s="28" t="s">
        <v>7481</v>
      </c>
      <c r="H41" s="9" t="s">
        <v>760</v>
      </c>
      <c r="I41" s="9" t="s">
        <v>7482</v>
      </c>
      <c r="J41" s="9" t="s">
        <v>7483</v>
      </c>
      <c r="K41" s="9" t="s">
        <v>7484</v>
      </c>
      <c r="L41" s="9" t="s">
        <v>7485</v>
      </c>
      <c r="M41" s="9" t="s">
        <v>7486</v>
      </c>
      <c r="N41" s="9" t="s">
        <v>7487</v>
      </c>
      <c r="O41" s="9" t="s">
        <v>6370</v>
      </c>
      <c r="P41" s="9" t="s">
        <v>7488</v>
      </c>
      <c r="Q41" s="9" t="s">
        <v>291</v>
      </c>
      <c r="R41" s="9" t="s">
        <v>7489</v>
      </c>
      <c r="S41" s="9" t="s">
        <v>7490</v>
      </c>
      <c r="T41" s="9" t="s">
        <v>7491</v>
      </c>
      <c r="U41" s="9" t="s">
        <v>7492</v>
      </c>
      <c r="V41" s="9" t="s">
        <v>7493</v>
      </c>
      <c r="W41" s="9" t="s">
        <v>7494</v>
      </c>
      <c r="X41" s="9" t="s">
        <v>7495</v>
      </c>
      <c r="Y41" s="9" t="s">
        <v>7496</v>
      </c>
      <c r="Z41" s="9" t="s">
        <v>7497</v>
      </c>
      <c r="AA41" s="9" t="s">
        <v>7498</v>
      </c>
      <c r="AB41" s="9" t="s">
        <v>7499</v>
      </c>
      <c r="AC41" s="9" t="s">
        <v>7500</v>
      </c>
      <c r="AD41" s="9" t="s">
        <v>7501</v>
      </c>
      <c r="AE41" s="9" t="s">
        <v>7502</v>
      </c>
      <c r="AF41" s="9" t="s">
        <v>7503</v>
      </c>
      <c r="AG41" s="9" t="s">
        <v>7504</v>
      </c>
      <c r="AH41" s="9" t="s">
        <v>7505</v>
      </c>
      <c r="AI41" s="9" t="s">
        <v>7506</v>
      </c>
      <c r="AJ41" s="9" t="s">
        <v>7507</v>
      </c>
      <c r="AK41" s="9" t="s">
        <v>7508</v>
      </c>
      <c r="AL41" s="9" t="s">
        <v>7509</v>
      </c>
      <c r="AM41" s="9" t="s">
        <v>7510</v>
      </c>
      <c r="AN41" s="9" t="s">
        <v>7511</v>
      </c>
      <c r="AO41" s="9" t="s">
        <v>7512</v>
      </c>
      <c r="AP41" s="9" t="s">
        <v>7513</v>
      </c>
      <c r="AQ41" s="9" t="s">
        <v>6630</v>
      </c>
      <c r="AR41" s="9" t="s">
        <v>7514</v>
      </c>
      <c r="AS41" s="9" t="s">
        <v>7515</v>
      </c>
      <c r="AT41" s="9" t="s">
        <v>414</v>
      </c>
      <c r="AU41" s="9" t="s">
        <v>7516</v>
      </c>
      <c r="AV41" s="9" t="s">
        <v>7517</v>
      </c>
      <c r="AW41" s="9" t="s">
        <v>7518</v>
      </c>
      <c r="AX41" s="9" t="s">
        <v>7519</v>
      </c>
      <c r="AY41" s="9" t="s">
        <v>7520</v>
      </c>
      <c r="AZ41" s="9" t="s">
        <v>7521</v>
      </c>
      <c r="BA41" s="9" t="s">
        <v>7522</v>
      </c>
      <c r="BB41" s="9" t="s">
        <v>7523</v>
      </c>
      <c r="BC41" s="9" t="s">
        <v>7524</v>
      </c>
      <c r="BD41" s="9" t="s">
        <v>7525</v>
      </c>
      <c r="BE41" s="29"/>
      <c r="BF41" s="29"/>
      <c r="BG41" s="29"/>
      <c r="BH41" s="29"/>
      <c r="BI41" s="29"/>
      <c r="BJ41" s="29"/>
      <c r="BK41" s="29"/>
      <c r="BL41" s="29"/>
    </row>
    <row r="42" customFormat="false" ht="153.7" hidden="false" customHeight="false" outlineLevel="0" collapsed="false">
      <c r="A42" s="9" t="s">
        <v>7526</v>
      </c>
      <c r="B42" s="9" t="s">
        <v>5714</v>
      </c>
      <c r="C42" s="9" t="s">
        <v>1044</v>
      </c>
      <c r="D42" s="9" t="s">
        <v>1092</v>
      </c>
      <c r="E42" s="9" t="s">
        <v>758</v>
      </c>
      <c r="F42" s="9" t="s">
        <v>997</v>
      </c>
      <c r="G42" s="28" t="s">
        <v>7527</v>
      </c>
      <c r="H42" s="9" t="s">
        <v>760</v>
      </c>
      <c r="I42" s="9" t="s">
        <v>7528</v>
      </c>
      <c r="J42" s="9" t="s">
        <v>7529</v>
      </c>
      <c r="K42" s="9" t="s">
        <v>7530</v>
      </c>
      <c r="L42" s="9" t="s">
        <v>7531</v>
      </c>
      <c r="M42" s="9" t="s">
        <v>7532</v>
      </c>
      <c r="N42" s="9" t="s">
        <v>7533</v>
      </c>
      <c r="O42" s="9" t="s">
        <v>6370</v>
      </c>
      <c r="P42" s="9" t="s">
        <v>7534</v>
      </c>
      <c r="Q42" s="9" t="s">
        <v>99</v>
      </c>
      <c r="R42" s="9" t="s">
        <v>7535</v>
      </c>
      <c r="S42" s="9" t="s">
        <v>7536</v>
      </c>
      <c r="T42" s="9" t="s">
        <v>7537</v>
      </c>
      <c r="U42" s="9" t="s">
        <v>7538</v>
      </c>
      <c r="V42" s="9" t="s">
        <v>7539</v>
      </c>
      <c r="W42" s="9" t="s">
        <v>7540</v>
      </c>
      <c r="X42" s="9" t="s">
        <v>7541</v>
      </c>
      <c r="Y42" s="9" t="s">
        <v>7542</v>
      </c>
      <c r="Z42" s="9" t="s">
        <v>7543</v>
      </c>
      <c r="AA42" s="9" t="s">
        <v>7544</v>
      </c>
      <c r="AB42" s="9" t="s">
        <v>7545</v>
      </c>
      <c r="AC42" s="9" t="s">
        <v>7546</v>
      </c>
      <c r="AD42" s="9" t="s">
        <v>7547</v>
      </c>
      <c r="AE42" s="9" t="s">
        <v>7548</v>
      </c>
      <c r="AF42" s="9" t="s">
        <v>7549</v>
      </c>
      <c r="AG42" s="9" t="s">
        <v>7550</v>
      </c>
      <c r="AH42" s="9" t="s">
        <v>7551</v>
      </c>
      <c r="AI42" s="9" t="s">
        <v>7552</v>
      </c>
      <c r="AJ42" s="9" t="s">
        <v>7553</v>
      </c>
      <c r="AK42" s="9" t="s">
        <v>7554</v>
      </c>
      <c r="AL42" s="9" t="s">
        <v>7555</v>
      </c>
      <c r="AM42" s="9" t="s">
        <v>7556</v>
      </c>
      <c r="AN42" s="9" t="s">
        <v>7557</v>
      </c>
      <c r="AO42" s="9" t="s">
        <v>7558</v>
      </c>
      <c r="AP42" s="9" t="s">
        <v>7559</v>
      </c>
      <c r="AQ42" s="9" t="s">
        <v>7560</v>
      </c>
      <c r="AR42" s="9" t="s">
        <v>7561</v>
      </c>
      <c r="AS42" s="9" t="s">
        <v>7562</v>
      </c>
      <c r="AT42" s="9" t="s">
        <v>414</v>
      </c>
      <c r="AU42" s="9" t="s">
        <v>7563</v>
      </c>
      <c r="AV42" s="9" t="s">
        <v>7564</v>
      </c>
      <c r="AW42" s="9" t="s">
        <v>7565</v>
      </c>
      <c r="AX42" s="9" t="s">
        <v>7566</v>
      </c>
      <c r="AY42" s="9" t="s">
        <v>7567</v>
      </c>
      <c r="AZ42" s="9" t="s">
        <v>7568</v>
      </c>
      <c r="BA42" s="9" t="s">
        <v>7569</v>
      </c>
      <c r="BB42" s="9" t="s">
        <v>7570</v>
      </c>
      <c r="BC42" s="9" t="s">
        <v>7571</v>
      </c>
      <c r="BD42" s="9" t="s">
        <v>7572</v>
      </c>
      <c r="BE42" s="29"/>
      <c r="BF42" s="29"/>
      <c r="BG42" s="29"/>
      <c r="BH42" s="29"/>
      <c r="BI42" s="29"/>
      <c r="BJ42" s="29"/>
      <c r="BK42" s="29"/>
      <c r="BL42" s="29"/>
    </row>
    <row r="43" customFormat="false" ht="191.75" hidden="false" customHeight="false" outlineLevel="0" collapsed="false">
      <c r="A43" s="9" t="s">
        <v>7573</v>
      </c>
      <c r="B43" s="9" t="s">
        <v>5714</v>
      </c>
      <c r="C43" s="9" t="s">
        <v>1986</v>
      </c>
      <c r="D43" s="9" t="s">
        <v>2128</v>
      </c>
      <c r="E43" s="9" t="s">
        <v>87</v>
      </c>
      <c r="F43" s="9" t="s">
        <v>426</v>
      </c>
      <c r="G43" s="28" t="s">
        <v>7574</v>
      </c>
      <c r="H43" s="9" t="s">
        <v>90</v>
      </c>
      <c r="I43" s="9" t="s">
        <v>7575</v>
      </c>
      <c r="J43" s="9" t="s">
        <v>7576</v>
      </c>
      <c r="K43" s="9" t="s">
        <v>7577</v>
      </c>
      <c r="L43" s="9" t="s">
        <v>7578</v>
      </c>
      <c r="M43" s="9" t="s">
        <v>7579</v>
      </c>
      <c r="N43" s="9" t="s">
        <v>7580</v>
      </c>
      <c r="O43" s="9" t="s">
        <v>6370</v>
      </c>
      <c r="P43" s="9" t="s">
        <v>7581</v>
      </c>
      <c r="Q43" s="9" t="s">
        <v>99</v>
      </c>
      <c r="R43" s="9" t="s">
        <v>7582</v>
      </c>
      <c r="S43" s="9" t="s">
        <v>7583</v>
      </c>
      <c r="T43" s="9" t="s">
        <v>7584</v>
      </c>
      <c r="U43" s="9" t="s">
        <v>7585</v>
      </c>
      <c r="V43" s="9" t="s">
        <v>7586</v>
      </c>
      <c r="W43" s="9" t="s">
        <v>7587</v>
      </c>
      <c r="X43" s="9" t="s">
        <v>7588</v>
      </c>
      <c r="Y43" s="9" t="s">
        <v>7589</v>
      </c>
      <c r="Z43" s="9" t="s">
        <v>7590</v>
      </c>
      <c r="AA43" s="9" t="s">
        <v>7591</v>
      </c>
      <c r="AB43" s="9" t="s">
        <v>7592</v>
      </c>
      <c r="AC43" s="9" t="s">
        <v>7593</v>
      </c>
      <c r="AD43" s="9" t="s">
        <v>7594</v>
      </c>
      <c r="AE43" s="9" t="s">
        <v>7595</v>
      </c>
      <c r="AF43" s="9" t="s">
        <v>7596</v>
      </c>
      <c r="AG43" s="9" t="s">
        <v>7597</v>
      </c>
      <c r="AH43" s="9" t="s">
        <v>7598</v>
      </c>
      <c r="AI43" s="9" t="s">
        <v>7599</v>
      </c>
      <c r="AJ43" s="9" t="s">
        <v>7600</v>
      </c>
      <c r="AK43" s="9" t="s">
        <v>7601</v>
      </c>
      <c r="AL43" s="9" t="s">
        <v>7602</v>
      </c>
      <c r="AM43" s="9" t="s">
        <v>7603</v>
      </c>
      <c r="AN43" s="9" t="s">
        <v>7604</v>
      </c>
      <c r="AO43" s="9" t="s">
        <v>7605</v>
      </c>
      <c r="AP43" s="9" t="s">
        <v>7606</v>
      </c>
      <c r="AQ43" s="9" t="s">
        <v>7607</v>
      </c>
      <c r="AR43" s="9" t="s">
        <v>7608</v>
      </c>
      <c r="AS43" s="9" t="s">
        <v>7609</v>
      </c>
      <c r="AT43" s="9" t="s">
        <v>128</v>
      </c>
      <c r="AU43" s="9" t="s">
        <v>7610</v>
      </c>
      <c r="AV43" s="9" t="s">
        <v>7611</v>
      </c>
      <c r="AW43" s="9" t="s">
        <v>7612</v>
      </c>
      <c r="AX43" s="9" t="s">
        <v>7613</v>
      </c>
      <c r="AY43" s="9" t="s">
        <v>7614</v>
      </c>
      <c r="AZ43" s="9" t="s">
        <v>7615</v>
      </c>
      <c r="BA43" s="9" t="s">
        <v>7616</v>
      </c>
      <c r="BB43" s="9" t="s">
        <v>7617</v>
      </c>
      <c r="BC43" s="9" t="s">
        <v>7618</v>
      </c>
      <c r="BD43" s="9" t="s">
        <v>7619</v>
      </c>
      <c r="BE43" s="29"/>
      <c r="BF43" s="29"/>
      <c r="BG43" s="29"/>
      <c r="BH43" s="29"/>
      <c r="BI43" s="29"/>
      <c r="BJ43" s="29"/>
      <c r="BK43" s="29"/>
      <c r="BL43" s="29"/>
    </row>
    <row r="44" customFormat="false" ht="166.4" hidden="false" customHeight="false" outlineLevel="0" collapsed="false">
      <c r="A44" s="9" t="s">
        <v>7620</v>
      </c>
      <c r="B44" s="9" t="s">
        <v>5714</v>
      </c>
      <c r="C44" s="9" t="s">
        <v>1986</v>
      </c>
      <c r="D44" s="9" t="s">
        <v>1092</v>
      </c>
      <c r="E44" s="9" t="s">
        <v>87</v>
      </c>
      <c r="F44" s="9" t="s">
        <v>1378</v>
      </c>
      <c r="G44" s="28" t="s">
        <v>7621</v>
      </c>
      <c r="H44" s="9" t="s">
        <v>90</v>
      </c>
      <c r="I44" s="9" t="s">
        <v>7622</v>
      </c>
      <c r="J44" s="9" t="s">
        <v>7623</v>
      </c>
      <c r="K44" s="9" t="s">
        <v>7624</v>
      </c>
      <c r="L44" s="9" t="s">
        <v>7625</v>
      </c>
      <c r="M44" s="9" t="s">
        <v>7626</v>
      </c>
      <c r="N44" s="9" t="s">
        <v>7627</v>
      </c>
      <c r="O44" s="9" t="s">
        <v>6370</v>
      </c>
      <c r="P44" s="9" t="s">
        <v>4837</v>
      </c>
      <c r="Q44" s="9" t="s">
        <v>99</v>
      </c>
      <c r="R44" s="9" t="s">
        <v>7628</v>
      </c>
      <c r="S44" s="9" t="s">
        <v>7629</v>
      </c>
      <c r="T44" s="9" t="s">
        <v>7630</v>
      </c>
      <c r="U44" s="9" t="s">
        <v>7631</v>
      </c>
      <c r="V44" s="9" t="s">
        <v>7632</v>
      </c>
      <c r="W44" s="9" t="s">
        <v>7633</v>
      </c>
      <c r="X44" s="9" t="s">
        <v>7634</v>
      </c>
      <c r="Y44" s="9" t="s">
        <v>7635</v>
      </c>
      <c r="Z44" s="9" t="s">
        <v>7636</v>
      </c>
      <c r="AA44" s="9" t="s">
        <v>7637</v>
      </c>
      <c r="AB44" s="9" t="s">
        <v>7638</v>
      </c>
      <c r="AC44" s="9" t="s">
        <v>7639</v>
      </c>
      <c r="AD44" s="9" t="s">
        <v>7640</v>
      </c>
      <c r="AE44" s="9" t="s">
        <v>7641</v>
      </c>
      <c r="AF44" s="9" t="s">
        <v>7642</v>
      </c>
      <c r="AG44" s="9" t="s">
        <v>7643</v>
      </c>
      <c r="AH44" s="9" t="s">
        <v>7644</v>
      </c>
      <c r="AI44" s="9" t="s">
        <v>7645</v>
      </c>
      <c r="AJ44" s="9" t="s">
        <v>7646</v>
      </c>
      <c r="AK44" s="9" t="s">
        <v>7647</v>
      </c>
      <c r="AL44" s="9" t="s">
        <v>7648</v>
      </c>
      <c r="AM44" s="9" t="s">
        <v>7649</v>
      </c>
      <c r="AN44" s="9" t="s">
        <v>7650</v>
      </c>
      <c r="AO44" s="9" t="s">
        <v>7651</v>
      </c>
      <c r="AP44" s="9" t="s">
        <v>7652</v>
      </c>
      <c r="AQ44" s="9" t="s">
        <v>2162</v>
      </c>
      <c r="AR44" s="9" t="s">
        <v>7653</v>
      </c>
      <c r="AS44" s="9" t="s">
        <v>7654</v>
      </c>
      <c r="AT44" s="9" t="s">
        <v>128</v>
      </c>
      <c r="AU44" s="9" t="s">
        <v>7655</v>
      </c>
      <c r="AV44" s="9" t="s">
        <v>7656</v>
      </c>
      <c r="AW44" s="9" t="s">
        <v>7657</v>
      </c>
      <c r="AX44" s="9" t="s">
        <v>7658</v>
      </c>
      <c r="AY44" s="9" t="s">
        <v>7659</v>
      </c>
      <c r="AZ44" s="9" t="s">
        <v>7660</v>
      </c>
      <c r="BA44" s="9" t="s">
        <v>7661</v>
      </c>
      <c r="BB44" s="9" t="s">
        <v>7662</v>
      </c>
      <c r="BC44" s="9" t="s">
        <v>7663</v>
      </c>
      <c r="BD44" s="9" t="s">
        <v>7664</v>
      </c>
      <c r="BE44" s="29"/>
      <c r="BF44" s="29"/>
      <c r="BG44" s="29"/>
      <c r="BH44" s="29"/>
      <c r="BI44" s="29"/>
      <c r="BJ44" s="29"/>
      <c r="BK44" s="29"/>
      <c r="BL44" s="29"/>
    </row>
    <row r="45" customFormat="false" ht="153.7" hidden="false" customHeight="false" outlineLevel="0" collapsed="false">
      <c r="A45" s="9" t="s">
        <v>7665</v>
      </c>
      <c r="B45" s="9" t="s">
        <v>5714</v>
      </c>
      <c r="C45" s="9" t="s">
        <v>1986</v>
      </c>
      <c r="D45" s="9" t="s">
        <v>2128</v>
      </c>
      <c r="E45" s="9" t="s">
        <v>87</v>
      </c>
      <c r="F45" s="9" t="s">
        <v>426</v>
      </c>
      <c r="G45" s="28" t="s">
        <v>7666</v>
      </c>
      <c r="H45" s="9" t="s">
        <v>90</v>
      </c>
      <c r="I45" s="9" t="s">
        <v>7667</v>
      </c>
      <c r="J45" s="9" t="s">
        <v>7668</v>
      </c>
      <c r="K45" s="9" t="s">
        <v>7669</v>
      </c>
      <c r="L45" s="9" t="s">
        <v>7670</v>
      </c>
      <c r="M45" s="9" t="s">
        <v>7671</v>
      </c>
      <c r="N45" s="9" t="s">
        <v>7672</v>
      </c>
      <c r="O45" s="9" t="s">
        <v>6370</v>
      </c>
      <c r="P45" s="9" t="s">
        <v>7673</v>
      </c>
      <c r="Q45" s="9" t="s">
        <v>99</v>
      </c>
      <c r="R45" s="9" t="s">
        <v>7674</v>
      </c>
      <c r="S45" s="9" t="s">
        <v>7675</v>
      </c>
      <c r="T45" s="9" t="s">
        <v>7676</v>
      </c>
      <c r="U45" s="9" t="s">
        <v>7677</v>
      </c>
      <c r="V45" s="9" t="s">
        <v>7678</v>
      </c>
      <c r="W45" s="9" t="s">
        <v>7679</v>
      </c>
      <c r="X45" s="9" t="s">
        <v>7680</v>
      </c>
      <c r="Y45" s="9" t="s">
        <v>7681</v>
      </c>
      <c r="Z45" s="9" t="s">
        <v>7682</v>
      </c>
      <c r="AA45" s="9" t="s">
        <v>7683</v>
      </c>
      <c r="AB45" s="9" t="s">
        <v>7684</v>
      </c>
      <c r="AC45" s="9" t="s">
        <v>7685</v>
      </c>
      <c r="AD45" s="9" t="s">
        <v>7686</v>
      </c>
      <c r="AE45" s="9" t="s">
        <v>7687</v>
      </c>
      <c r="AF45" s="9" t="s">
        <v>7688</v>
      </c>
      <c r="AG45" s="9" t="s">
        <v>7689</v>
      </c>
      <c r="AH45" s="9" t="s">
        <v>7690</v>
      </c>
      <c r="AI45" s="9" t="s">
        <v>7691</v>
      </c>
      <c r="AJ45" s="9" t="s">
        <v>7692</v>
      </c>
      <c r="AK45" s="9" t="s">
        <v>7693</v>
      </c>
      <c r="AL45" s="9" t="s">
        <v>7694</v>
      </c>
      <c r="AM45" s="9" t="s">
        <v>7695</v>
      </c>
      <c r="AN45" s="9" t="s">
        <v>7696</v>
      </c>
      <c r="AO45" s="9" t="s">
        <v>7697</v>
      </c>
      <c r="AP45" s="9" t="s">
        <v>7698</v>
      </c>
      <c r="AQ45" s="9" t="s">
        <v>7699</v>
      </c>
      <c r="AR45" s="9" t="s">
        <v>7700</v>
      </c>
      <c r="AS45" s="9" t="s">
        <v>7701</v>
      </c>
      <c r="AT45" s="9" t="s">
        <v>128</v>
      </c>
      <c r="AU45" s="9" t="s">
        <v>7702</v>
      </c>
      <c r="AV45" s="9" t="s">
        <v>7703</v>
      </c>
      <c r="AW45" s="9" t="s">
        <v>7704</v>
      </c>
      <c r="AX45" s="9" t="s">
        <v>7705</v>
      </c>
      <c r="AY45" s="9" t="s">
        <v>7706</v>
      </c>
      <c r="AZ45" s="9" t="s">
        <v>7707</v>
      </c>
      <c r="BA45" s="9" t="s">
        <v>7708</v>
      </c>
      <c r="BB45" s="9" t="s">
        <v>7709</v>
      </c>
      <c r="BC45" s="9" t="s">
        <v>7710</v>
      </c>
      <c r="BD45" s="9" t="s">
        <v>7711</v>
      </c>
      <c r="BE45" s="29"/>
      <c r="BF45" s="29"/>
      <c r="BG45" s="29"/>
      <c r="BH45" s="29"/>
      <c r="BI45" s="29"/>
      <c r="BJ45" s="29"/>
      <c r="BK45" s="29"/>
      <c r="BL45" s="29"/>
    </row>
    <row r="46" customFormat="false" ht="141" hidden="false" customHeight="false" outlineLevel="0" collapsed="false">
      <c r="A46" s="9" t="s">
        <v>7712</v>
      </c>
      <c r="B46" s="9" t="s">
        <v>5714</v>
      </c>
      <c r="C46" s="9" t="s">
        <v>1986</v>
      </c>
      <c r="D46" s="9" t="s">
        <v>1092</v>
      </c>
      <c r="E46" s="9" t="s">
        <v>87</v>
      </c>
      <c r="F46" s="9" t="s">
        <v>426</v>
      </c>
      <c r="G46" s="28" t="s">
        <v>7713</v>
      </c>
      <c r="H46" s="9" t="s">
        <v>90</v>
      </c>
      <c r="I46" s="9" t="s">
        <v>7714</v>
      </c>
      <c r="J46" s="9" t="s">
        <v>7715</v>
      </c>
      <c r="K46" s="9" t="s">
        <v>7716</v>
      </c>
      <c r="L46" s="9" t="s">
        <v>7717</v>
      </c>
      <c r="M46" s="9" t="s">
        <v>7718</v>
      </c>
      <c r="N46" s="9" t="s">
        <v>7719</v>
      </c>
      <c r="O46" s="9" t="s">
        <v>97</v>
      </c>
      <c r="P46" s="9" t="s">
        <v>7720</v>
      </c>
      <c r="Q46" s="9" t="s">
        <v>291</v>
      </c>
      <c r="R46" s="9" t="s">
        <v>7721</v>
      </c>
      <c r="S46" s="9" t="s">
        <v>7722</v>
      </c>
      <c r="T46" s="9" t="s">
        <v>7723</v>
      </c>
      <c r="U46" s="9" t="s">
        <v>7724</v>
      </c>
      <c r="V46" s="9" t="s">
        <v>7725</v>
      </c>
      <c r="W46" s="9" t="s">
        <v>7726</v>
      </c>
      <c r="X46" s="9" t="s">
        <v>7727</v>
      </c>
      <c r="Y46" s="9" t="s">
        <v>7728</v>
      </c>
      <c r="Z46" s="9" t="s">
        <v>7729</v>
      </c>
      <c r="AA46" s="9" t="s">
        <v>7730</v>
      </c>
      <c r="AB46" s="9" t="s">
        <v>7731</v>
      </c>
      <c r="AC46" s="9" t="s">
        <v>7732</v>
      </c>
      <c r="AD46" s="9" t="s">
        <v>7733</v>
      </c>
      <c r="AE46" s="9" t="s">
        <v>7734</v>
      </c>
      <c r="AF46" s="9" t="s">
        <v>7735</v>
      </c>
      <c r="AG46" s="9" t="s">
        <v>7736</v>
      </c>
      <c r="AH46" s="9" t="s">
        <v>7737</v>
      </c>
      <c r="AI46" s="9" t="s">
        <v>7738</v>
      </c>
      <c r="AJ46" s="9" t="s">
        <v>7739</v>
      </c>
      <c r="AK46" s="9" t="s">
        <v>7740</v>
      </c>
      <c r="AL46" s="9" t="s">
        <v>7741</v>
      </c>
      <c r="AM46" s="9" t="s">
        <v>7742</v>
      </c>
      <c r="AN46" s="9" t="s">
        <v>7743</v>
      </c>
      <c r="AO46" s="9" t="s">
        <v>7744</v>
      </c>
      <c r="AP46" s="9" t="s">
        <v>7745</v>
      </c>
      <c r="AQ46" s="9" t="s">
        <v>125</v>
      </c>
      <c r="AR46" s="9" t="s">
        <v>7746</v>
      </c>
      <c r="AS46" s="9" t="s">
        <v>7747</v>
      </c>
      <c r="AT46" s="9" t="s">
        <v>177</v>
      </c>
      <c r="AU46" s="9" t="s">
        <v>7748</v>
      </c>
      <c r="AV46" s="9" t="s">
        <v>7749</v>
      </c>
      <c r="AW46" s="9" t="s">
        <v>7750</v>
      </c>
      <c r="AX46" s="9" t="s">
        <v>7751</v>
      </c>
      <c r="AY46" s="9" t="s">
        <v>7752</v>
      </c>
      <c r="AZ46" s="9" t="s">
        <v>7753</v>
      </c>
      <c r="BA46" s="9" t="s">
        <v>7754</v>
      </c>
      <c r="BB46" s="9" t="s">
        <v>7755</v>
      </c>
      <c r="BC46" s="9" t="s">
        <v>7756</v>
      </c>
      <c r="BD46" s="9" t="s">
        <v>7757</v>
      </c>
      <c r="BE46" s="29"/>
      <c r="BF46" s="29"/>
      <c r="BG46" s="29"/>
      <c r="BH46" s="29"/>
      <c r="BI46" s="29"/>
      <c r="BJ46" s="29"/>
      <c r="BK46" s="29"/>
      <c r="BL46" s="29"/>
    </row>
    <row r="47" customFormat="false" ht="166.4" hidden="false" customHeight="false" outlineLevel="0" collapsed="false">
      <c r="A47" s="9" t="s">
        <v>7758</v>
      </c>
      <c r="B47" s="9" t="s">
        <v>5714</v>
      </c>
      <c r="C47" s="9" t="s">
        <v>1986</v>
      </c>
      <c r="D47" s="9" t="s">
        <v>2128</v>
      </c>
      <c r="E47" s="9" t="s">
        <v>87</v>
      </c>
      <c r="F47" s="9" t="s">
        <v>997</v>
      </c>
      <c r="G47" s="28" t="s">
        <v>7759</v>
      </c>
      <c r="H47" s="9" t="s">
        <v>90</v>
      </c>
      <c r="I47" s="9" t="s">
        <v>7760</v>
      </c>
      <c r="J47" s="9" t="s">
        <v>7761</v>
      </c>
      <c r="K47" s="9" t="s">
        <v>7762</v>
      </c>
      <c r="L47" s="9" t="s">
        <v>7763</v>
      </c>
      <c r="M47" s="9" t="s">
        <v>7764</v>
      </c>
      <c r="N47" s="9" t="s">
        <v>7765</v>
      </c>
      <c r="O47" s="9" t="s">
        <v>6370</v>
      </c>
      <c r="P47" s="9" t="s">
        <v>7766</v>
      </c>
      <c r="Q47" s="9" t="s">
        <v>99</v>
      </c>
      <c r="R47" s="9" t="s">
        <v>7767</v>
      </c>
      <c r="S47" s="9" t="s">
        <v>7768</v>
      </c>
      <c r="T47" s="9" t="s">
        <v>7769</v>
      </c>
      <c r="U47" s="9" t="s">
        <v>7770</v>
      </c>
      <c r="V47" s="9" t="s">
        <v>7771</v>
      </c>
      <c r="W47" s="9" t="s">
        <v>7772</v>
      </c>
      <c r="X47" s="9" t="s">
        <v>7773</v>
      </c>
      <c r="Y47" s="9" t="s">
        <v>7774</v>
      </c>
      <c r="Z47" s="9" t="s">
        <v>7775</v>
      </c>
      <c r="AA47" s="9" t="s">
        <v>7776</v>
      </c>
      <c r="AB47" s="9" t="s">
        <v>7777</v>
      </c>
      <c r="AC47" s="9" t="s">
        <v>7778</v>
      </c>
      <c r="AD47" s="9" t="s">
        <v>7779</v>
      </c>
      <c r="AE47" s="9" t="s">
        <v>7780</v>
      </c>
      <c r="AF47" s="9" t="s">
        <v>7781</v>
      </c>
      <c r="AG47" s="9" t="s">
        <v>7782</v>
      </c>
      <c r="AH47" s="9" t="s">
        <v>7783</v>
      </c>
      <c r="AI47" s="9" t="s">
        <v>7784</v>
      </c>
      <c r="AJ47" s="9" t="s">
        <v>7785</v>
      </c>
      <c r="AK47" s="9" t="s">
        <v>7786</v>
      </c>
      <c r="AL47" s="9" t="s">
        <v>7787</v>
      </c>
      <c r="AM47" s="9" t="s">
        <v>7788</v>
      </c>
      <c r="AN47" s="9" t="s">
        <v>7789</v>
      </c>
      <c r="AO47" s="9" t="s">
        <v>7790</v>
      </c>
      <c r="AP47" s="9" t="s">
        <v>7791</v>
      </c>
      <c r="AQ47" s="9" t="s">
        <v>7792</v>
      </c>
      <c r="AR47" s="9" t="s">
        <v>7793</v>
      </c>
      <c r="AS47" s="9" t="s">
        <v>7794</v>
      </c>
      <c r="AT47" s="9" t="s">
        <v>128</v>
      </c>
      <c r="AU47" s="9" t="s">
        <v>7795</v>
      </c>
      <c r="AV47" s="9" t="s">
        <v>7796</v>
      </c>
      <c r="AW47" s="9" t="s">
        <v>7797</v>
      </c>
      <c r="AX47" s="9" t="s">
        <v>7798</v>
      </c>
      <c r="AY47" s="9" t="s">
        <v>7799</v>
      </c>
      <c r="AZ47" s="9" t="s">
        <v>7800</v>
      </c>
      <c r="BA47" s="9" t="s">
        <v>7801</v>
      </c>
      <c r="BB47" s="9" t="s">
        <v>7802</v>
      </c>
      <c r="BC47" s="9" t="s">
        <v>7803</v>
      </c>
      <c r="BD47" s="9" t="s">
        <v>7804</v>
      </c>
      <c r="BE47" s="29"/>
      <c r="BF47" s="29"/>
      <c r="BG47" s="29"/>
      <c r="BH47" s="29"/>
      <c r="BI47" s="29"/>
      <c r="BJ47" s="29"/>
      <c r="BK47" s="29"/>
      <c r="BL47" s="29"/>
    </row>
    <row r="48" customFormat="false" ht="166.4" hidden="false" customHeight="false" outlineLevel="0" collapsed="false">
      <c r="A48" s="9" t="s">
        <v>7805</v>
      </c>
      <c r="B48" s="9" t="s">
        <v>5714</v>
      </c>
      <c r="C48" s="9" t="s">
        <v>1986</v>
      </c>
      <c r="D48" s="9" t="s">
        <v>2128</v>
      </c>
      <c r="E48" s="9" t="s">
        <v>87</v>
      </c>
      <c r="F48" s="9" t="s">
        <v>854</v>
      </c>
      <c r="G48" s="28" t="s">
        <v>7806</v>
      </c>
      <c r="H48" s="9" t="s">
        <v>90</v>
      </c>
      <c r="I48" s="9" t="s">
        <v>7807</v>
      </c>
      <c r="J48" s="9" t="s">
        <v>7808</v>
      </c>
      <c r="K48" s="9" t="s">
        <v>7809</v>
      </c>
      <c r="L48" s="9" t="s">
        <v>7810</v>
      </c>
      <c r="M48" s="9" t="s">
        <v>7811</v>
      </c>
      <c r="N48" s="9" t="s">
        <v>7812</v>
      </c>
      <c r="O48" s="9" t="s">
        <v>97</v>
      </c>
      <c r="P48" s="9" t="s">
        <v>7813</v>
      </c>
      <c r="Q48" s="9" t="s">
        <v>99</v>
      </c>
      <c r="R48" s="9" t="s">
        <v>7814</v>
      </c>
      <c r="S48" s="9" t="s">
        <v>7815</v>
      </c>
      <c r="T48" s="9" t="s">
        <v>7816</v>
      </c>
      <c r="U48" s="9" t="s">
        <v>7817</v>
      </c>
      <c r="V48" s="9" t="s">
        <v>7818</v>
      </c>
      <c r="W48" s="9" t="s">
        <v>7819</v>
      </c>
      <c r="X48" s="9" t="s">
        <v>7820</v>
      </c>
      <c r="Y48" s="9" t="s">
        <v>7821</v>
      </c>
      <c r="Z48" s="9" t="s">
        <v>7822</v>
      </c>
      <c r="AA48" s="9" t="s">
        <v>7823</v>
      </c>
      <c r="AB48" s="9" t="s">
        <v>7824</v>
      </c>
      <c r="AC48" s="9" t="s">
        <v>7825</v>
      </c>
      <c r="AD48" s="9" t="s">
        <v>7826</v>
      </c>
      <c r="AE48" s="9" t="s">
        <v>7827</v>
      </c>
      <c r="AF48" s="9" t="s">
        <v>7828</v>
      </c>
      <c r="AG48" s="9" t="s">
        <v>7829</v>
      </c>
      <c r="AH48" s="9" t="s">
        <v>7830</v>
      </c>
      <c r="AI48" s="9" t="s">
        <v>7831</v>
      </c>
      <c r="AJ48" s="9" t="s">
        <v>7832</v>
      </c>
      <c r="AK48" s="9" t="s">
        <v>7833</v>
      </c>
      <c r="AL48" s="9" t="s">
        <v>7834</v>
      </c>
      <c r="AM48" s="9" t="s">
        <v>7835</v>
      </c>
      <c r="AN48" s="9" t="s">
        <v>7836</v>
      </c>
      <c r="AO48" s="9" t="s">
        <v>7837</v>
      </c>
      <c r="AP48" s="9" t="s">
        <v>7838</v>
      </c>
      <c r="AQ48" s="9" t="s">
        <v>7839</v>
      </c>
      <c r="AR48" s="9" t="s">
        <v>7840</v>
      </c>
      <c r="AS48" s="9" t="s">
        <v>7841</v>
      </c>
      <c r="AT48" s="9" t="s">
        <v>128</v>
      </c>
      <c r="AU48" s="9" t="s">
        <v>7842</v>
      </c>
      <c r="AV48" s="9" t="s">
        <v>7843</v>
      </c>
      <c r="AW48" s="9" t="s">
        <v>7844</v>
      </c>
      <c r="AX48" s="9" t="s">
        <v>7845</v>
      </c>
      <c r="AY48" s="9" t="s">
        <v>7846</v>
      </c>
      <c r="AZ48" s="9" t="s">
        <v>7847</v>
      </c>
      <c r="BA48" s="9" t="s">
        <v>7848</v>
      </c>
      <c r="BB48" s="9" t="s">
        <v>7849</v>
      </c>
      <c r="BC48" s="9" t="s">
        <v>7850</v>
      </c>
      <c r="BD48" s="9" t="s">
        <v>7851</v>
      </c>
      <c r="BE48" s="29"/>
      <c r="BF48" s="29"/>
      <c r="BG48" s="29"/>
      <c r="BH48" s="29"/>
      <c r="BI48" s="29"/>
      <c r="BJ48" s="29"/>
      <c r="BK48" s="29"/>
      <c r="BL48" s="29"/>
    </row>
    <row r="49" customFormat="false" ht="153.7" hidden="false" customHeight="false" outlineLevel="0" collapsed="false">
      <c r="A49" s="9" t="s">
        <v>7852</v>
      </c>
      <c r="B49" s="9" t="s">
        <v>5714</v>
      </c>
      <c r="C49" s="9" t="s">
        <v>1986</v>
      </c>
      <c r="D49" s="9" t="s">
        <v>1092</v>
      </c>
      <c r="E49" s="9" t="s">
        <v>87</v>
      </c>
      <c r="F49" s="9" t="s">
        <v>1140</v>
      </c>
      <c r="G49" s="28" t="s">
        <v>7853</v>
      </c>
      <c r="H49" s="9" t="s">
        <v>90</v>
      </c>
      <c r="I49" s="9" t="s">
        <v>7854</v>
      </c>
      <c r="J49" s="9" t="s">
        <v>7855</v>
      </c>
      <c r="K49" s="9" t="s">
        <v>7856</v>
      </c>
      <c r="L49" s="9" t="s">
        <v>7857</v>
      </c>
      <c r="M49" s="9" t="s">
        <v>7858</v>
      </c>
      <c r="N49" s="9" t="s">
        <v>7859</v>
      </c>
      <c r="O49" s="9" t="s">
        <v>97</v>
      </c>
      <c r="P49" s="9" t="s">
        <v>7860</v>
      </c>
      <c r="Q49" s="9" t="s">
        <v>291</v>
      </c>
      <c r="R49" s="9" t="s">
        <v>7861</v>
      </c>
      <c r="S49" s="9" t="s">
        <v>7862</v>
      </c>
      <c r="T49" s="9" t="s">
        <v>7863</v>
      </c>
      <c r="U49" s="9" t="s">
        <v>7864</v>
      </c>
      <c r="V49" s="9" t="s">
        <v>7865</v>
      </c>
      <c r="W49" s="9" t="s">
        <v>7866</v>
      </c>
      <c r="X49" s="9" t="s">
        <v>7867</v>
      </c>
      <c r="Y49" s="9" t="s">
        <v>7868</v>
      </c>
      <c r="Z49" s="9" t="s">
        <v>7869</v>
      </c>
      <c r="AA49" s="9" t="s">
        <v>7870</v>
      </c>
      <c r="AB49" s="9" t="s">
        <v>7871</v>
      </c>
      <c r="AC49" s="9" t="s">
        <v>7872</v>
      </c>
      <c r="AD49" s="9" t="s">
        <v>7873</v>
      </c>
      <c r="AE49" s="9" t="s">
        <v>7874</v>
      </c>
      <c r="AF49" s="9" t="s">
        <v>7875</v>
      </c>
      <c r="AG49" s="9" t="s">
        <v>7876</v>
      </c>
      <c r="AH49" s="9" t="s">
        <v>7877</v>
      </c>
      <c r="AI49" s="9" t="s">
        <v>7878</v>
      </c>
      <c r="AJ49" s="9" t="s">
        <v>7879</v>
      </c>
      <c r="AK49" s="9" t="s">
        <v>7880</v>
      </c>
      <c r="AL49" s="9" t="s">
        <v>7881</v>
      </c>
      <c r="AM49" s="9" t="s">
        <v>7882</v>
      </c>
      <c r="AN49" s="9" t="s">
        <v>7883</v>
      </c>
      <c r="AO49" s="9" t="s">
        <v>7884</v>
      </c>
      <c r="AP49" s="9" t="s">
        <v>7885</v>
      </c>
      <c r="AQ49" s="9" t="s">
        <v>7886</v>
      </c>
      <c r="AR49" s="9" t="s">
        <v>7887</v>
      </c>
      <c r="AS49" s="9" t="s">
        <v>7888</v>
      </c>
      <c r="AT49" s="9" t="s">
        <v>699</v>
      </c>
      <c r="AU49" s="9" t="s">
        <v>7889</v>
      </c>
      <c r="AV49" s="9" t="s">
        <v>7890</v>
      </c>
      <c r="AW49" s="9" t="s">
        <v>7891</v>
      </c>
      <c r="AX49" s="9" t="s">
        <v>7892</v>
      </c>
      <c r="AY49" s="9" t="s">
        <v>7893</v>
      </c>
      <c r="AZ49" s="9" t="s">
        <v>7894</v>
      </c>
      <c r="BA49" s="9" t="s">
        <v>7895</v>
      </c>
      <c r="BB49" s="9" t="s">
        <v>7896</v>
      </c>
      <c r="BC49" s="9" t="s">
        <v>7897</v>
      </c>
      <c r="BD49" s="9" t="s">
        <v>7898</v>
      </c>
      <c r="BE49" s="29"/>
      <c r="BF49" s="29"/>
      <c r="BG49" s="29"/>
      <c r="BH49" s="29"/>
      <c r="BI49" s="29"/>
      <c r="BJ49" s="29"/>
      <c r="BK49" s="29"/>
      <c r="BL49" s="29"/>
    </row>
    <row r="50" customFormat="false" ht="153.7" hidden="false" customHeight="false" outlineLevel="0" collapsed="false">
      <c r="A50" s="9" t="s">
        <v>7899</v>
      </c>
      <c r="B50" s="9" t="s">
        <v>5714</v>
      </c>
      <c r="C50" s="9" t="s">
        <v>1986</v>
      </c>
      <c r="D50" s="9" t="s">
        <v>1092</v>
      </c>
      <c r="E50" s="9" t="s">
        <v>87</v>
      </c>
      <c r="F50" s="9" t="s">
        <v>1140</v>
      </c>
      <c r="G50" s="28" t="s">
        <v>7900</v>
      </c>
      <c r="H50" s="9" t="s">
        <v>90</v>
      </c>
      <c r="I50" s="9" t="s">
        <v>7901</v>
      </c>
      <c r="J50" s="9" t="s">
        <v>7902</v>
      </c>
      <c r="K50" s="9" t="s">
        <v>7903</v>
      </c>
      <c r="L50" s="9" t="s">
        <v>7904</v>
      </c>
      <c r="M50" s="9" t="s">
        <v>7905</v>
      </c>
      <c r="N50" s="9" t="s">
        <v>7906</v>
      </c>
      <c r="O50" s="9" t="s">
        <v>97</v>
      </c>
      <c r="P50" s="9" t="s">
        <v>7907</v>
      </c>
      <c r="Q50" s="9" t="s">
        <v>291</v>
      </c>
      <c r="R50" s="9" t="s">
        <v>7908</v>
      </c>
      <c r="S50" s="9" t="s">
        <v>7909</v>
      </c>
      <c r="T50" s="9" t="s">
        <v>7910</v>
      </c>
      <c r="U50" s="9" t="s">
        <v>7911</v>
      </c>
      <c r="V50" s="9" t="s">
        <v>7912</v>
      </c>
      <c r="W50" s="9" t="s">
        <v>7913</v>
      </c>
      <c r="X50" s="9" t="s">
        <v>7914</v>
      </c>
      <c r="Y50" s="9" t="s">
        <v>7915</v>
      </c>
      <c r="Z50" s="9" t="s">
        <v>7916</v>
      </c>
      <c r="AA50" s="9" t="s">
        <v>7917</v>
      </c>
      <c r="AB50" s="9" t="s">
        <v>7918</v>
      </c>
      <c r="AC50" s="9" t="s">
        <v>7919</v>
      </c>
      <c r="AD50" s="9" t="s">
        <v>7920</v>
      </c>
      <c r="AE50" s="9" t="s">
        <v>7921</v>
      </c>
      <c r="AF50" s="9" t="s">
        <v>7922</v>
      </c>
      <c r="AG50" s="9" t="s">
        <v>7923</v>
      </c>
      <c r="AH50" s="9" t="s">
        <v>7924</v>
      </c>
      <c r="AI50" s="9" t="s">
        <v>7925</v>
      </c>
      <c r="AJ50" s="9" t="s">
        <v>7926</v>
      </c>
      <c r="AK50" s="9" t="s">
        <v>7927</v>
      </c>
      <c r="AL50" s="9" t="s">
        <v>7928</v>
      </c>
      <c r="AM50" s="9" t="s">
        <v>7929</v>
      </c>
      <c r="AN50" s="9" t="s">
        <v>7930</v>
      </c>
      <c r="AO50" s="9" t="s">
        <v>7931</v>
      </c>
      <c r="AP50" s="9" t="s">
        <v>7932</v>
      </c>
      <c r="AQ50" s="9" t="s">
        <v>7933</v>
      </c>
      <c r="AR50" s="9" t="s">
        <v>7934</v>
      </c>
      <c r="AS50" s="9" t="s">
        <v>7935</v>
      </c>
      <c r="AT50" s="9" t="s">
        <v>414</v>
      </c>
      <c r="AU50" s="9" t="s">
        <v>7936</v>
      </c>
      <c r="AV50" s="9" t="s">
        <v>7937</v>
      </c>
      <c r="AW50" s="9" t="s">
        <v>7938</v>
      </c>
      <c r="AX50" s="9" t="s">
        <v>7939</v>
      </c>
      <c r="AY50" s="9" t="s">
        <v>7940</v>
      </c>
      <c r="AZ50" s="9" t="s">
        <v>7941</v>
      </c>
      <c r="BA50" s="9" t="s">
        <v>7942</v>
      </c>
      <c r="BB50" s="9" t="s">
        <v>7943</v>
      </c>
      <c r="BC50" s="9" t="s">
        <v>7944</v>
      </c>
      <c r="BD50" s="9" t="s">
        <v>7945</v>
      </c>
      <c r="BE50" s="29"/>
      <c r="BF50" s="29"/>
      <c r="BG50" s="29"/>
      <c r="BH50" s="29"/>
      <c r="BI50" s="29"/>
      <c r="BJ50" s="29"/>
      <c r="BK50" s="29"/>
      <c r="BL50" s="29"/>
    </row>
    <row r="51" customFormat="false" ht="153.7" hidden="false" customHeight="false" outlineLevel="0" collapsed="false">
      <c r="A51" s="9" t="s">
        <v>7946</v>
      </c>
      <c r="B51" s="9" t="s">
        <v>5714</v>
      </c>
      <c r="C51" s="9" t="s">
        <v>1986</v>
      </c>
      <c r="D51" s="9" t="s">
        <v>2128</v>
      </c>
      <c r="E51" s="9" t="s">
        <v>87</v>
      </c>
      <c r="F51" s="9" t="s">
        <v>426</v>
      </c>
      <c r="G51" s="28" t="s">
        <v>7947</v>
      </c>
      <c r="H51" s="9" t="s">
        <v>90</v>
      </c>
      <c r="I51" s="9" t="s">
        <v>7948</v>
      </c>
      <c r="J51" s="9" t="s">
        <v>7949</v>
      </c>
      <c r="K51" s="9" t="s">
        <v>7950</v>
      </c>
      <c r="L51" s="9" t="s">
        <v>7951</v>
      </c>
      <c r="M51" s="9" t="s">
        <v>7952</v>
      </c>
      <c r="N51" s="9" t="s">
        <v>7953</v>
      </c>
      <c r="O51" s="9" t="s">
        <v>97</v>
      </c>
      <c r="P51" s="9" t="s">
        <v>7954</v>
      </c>
      <c r="Q51" s="9" t="s">
        <v>291</v>
      </c>
      <c r="R51" s="9" t="s">
        <v>7955</v>
      </c>
      <c r="S51" s="9" t="s">
        <v>7956</v>
      </c>
      <c r="T51" s="9" t="s">
        <v>7957</v>
      </c>
      <c r="U51" s="9" t="s">
        <v>7958</v>
      </c>
      <c r="V51" s="9" t="s">
        <v>7959</v>
      </c>
      <c r="W51" s="9" t="s">
        <v>7960</v>
      </c>
      <c r="X51" s="9" t="s">
        <v>7961</v>
      </c>
      <c r="Y51" s="9" t="s">
        <v>7962</v>
      </c>
      <c r="Z51" s="9" t="s">
        <v>7963</v>
      </c>
      <c r="AA51" s="9" t="s">
        <v>7964</v>
      </c>
      <c r="AB51" s="9" t="s">
        <v>7965</v>
      </c>
      <c r="AC51" s="9" t="s">
        <v>7966</v>
      </c>
      <c r="AD51" s="9" t="s">
        <v>7967</v>
      </c>
      <c r="AE51" s="9" t="s">
        <v>7968</v>
      </c>
      <c r="AF51" s="9" t="s">
        <v>7969</v>
      </c>
      <c r="AG51" s="9" t="s">
        <v>7970</v>
      </c>
      <c r="AH51" s="9" t="s">
        <v>7971</v>
      </c>
      <c r="AI51" s="9" t="s">
        <v>7972</v>
      </c>
      <c r="AJ51" s="9" t="s">
        <v>7973</v>
      </c>
      <c r="AK51" s="9" t="s">
        <v>7974</v>
      </c>
      <c r="AL51" s="9" t="s">
        <v>7975</v>
      </c>
      <c r="AM51" s="9" t="s">
        <v>7976</v>
      </c>
      <c r="AN51" s="9" t="s">
        <v>7977</v>
      </c>
      <c r="AO51" s="9" t="s">
        <v>7978</v>
      </c>
      <c r="AP51" s="9" t="s">
        <v>7979</v>
      </c>
      <c r="AQ51" s="9" t="s">
        <v>4490</v>
      </c>
      <c r="AR51" s="9" t="s">
        <v>7980</v>
      </c>
      <c r="AS51" s="9" t="s">
        <v>7981</v>
      </c>
      <c r="AT51" s="9" t="s">
        <v>699</v>
      </c>
      <c r="AU51" s="9" t="s">
        <v>7982</v>
      </c>
      <c r="AV51" s="9" t="s">
        <v>7983</v>
      </c>
      <c r="AW51" s="9" t="s">
        <v>7984</v>
      </c>
      <c r="AX51" s="9" t="s">
        <v>7985</v>
      </c>
      <c r="AY51" s="9" t="s">
        <v>7986</v>
      </c>
      <c r="AZ51" s="9" t="s">
        <v>7987</v>
      </c>
      <c r="BA51" s="9" t="s">
        <v>7988</v>
      </c>
      <c r="BB51" s="9" t="s">
        <v>7989</v>
      </c>
      <c r="BC51" s="9" t="s">
        <v>7990</v>
      </c>
      <c r="BD51" s="9" t="s">
        <v>7991</v>
      </c>
      <c r="BE51" s="29"/>
      <c r="BF51" s="29"/>
      <c r="BG51" s="29"/>
      <c r="BH51" s="29"/>
      <c r="BI51" s="29"/>
      <c r="BJ51" s="29"/>
      <c r="BK51" s="29"/>
      <c r="BL51" s="29"/>
    </row>
    <row r="52" customFormat="false" ht="179.1" hidden="false" customHeight="false" outlineLevel="0" collapsed="false">
      <c r="A52" s="9" t="s">
        <v>7992</v>
      </c>
      <c r="B52" s="9" t="s">
        <v>5714</v>
      </c>
      <c r="C52" s="9" t="s">
        <v>1986</v>
      </c>
      <c r="D52" s="9" t="s">
        <v>2128</v>
      </c>
      <c r="E52" s="9" t="s">
        <v>87</v>
      </c>
      <c r="F52" s="9" t="s">
        <v>662</v>
      </c>
      <c r="G52" s="28" t="s">
        <v>7993</v>
      </c>
      <c r="H52" s="9" t="s">
        <v>90</v>
      </c>
      <c r="I52" s="9" t="s">
        <v>7994</v>
      </c>
      <c r="J52" s="9" t="s">
        <v>7995</v>
      </c>
      <c r="K52" s="9" t="s">
        <v>7996</v>
      </c>
      <c r="L52" s="9" t="s">
        <v>7997</v>
      </c>
      <c r="M52" s="9" t="s">
        <v>7998</v>
      </c>
      <c r="N52" s="9" t="s">
        <v>7999</v>
      </c>
      <c r="O52" s="9" t="s">
        <v>97</v>
      </c>
      <c r="P52" s="9" t="s">
        <v>8000</v>
      </c>
      <c r="Q52" s="9" t="s">
        <v>291</v>
      </c>
      <c r="R52" s="9" t="s">
        <v>8001</v>
      </c>
      <c r="S52" s="9" t="s">
        <v>8002</v>
      </c>
      <c r="T52" s="9" t="s">
        <v>8003</v>
      </c>
      <c r="U52" s="9" t="s">
        <v>8004</v>
      </c>
      <c r="V52" s="9" t="s">
        <v>8005</v>
      </c>
      <c r="W52" s="9" t="s">
        <v>8006</v>
      </c>
      <c r="X52" s="9" t="s">
        <v>8007</v>
      </c>
      <c r="Y52" s="9" t="s">
        <v>8008</v>
      </c>
      <c r="Z52" s="9" t="s">
        <v>8009</v>
      </c>
      <c r="AA52" s="9" t="s">
        <v>8010</v>
      </c>
      <c r="AB52" s="9" t="s">
        <v>8011</v>
      </c>
      <c r="AC52" s="9" t="s">
        <v>8012</v>
      </c>
      <c r="AD52" s="9" t="s">
        <v>8013</v>
      </c>
      <c r="AE52" s="9" t="s">
        <v>8014</v>
      </c>
      <c r="AF52" s="9" t="s">
        <v>8015</v>
      </c>
      <c r="AG52" s="9" t="s">
        <v>8016</v>
      </c>
      <c r="AH52" s="9" t="s">
        <v>8017</v>
      </c>
      <c r="AI52" s="9" t="s">
        <v>8018</v>
      </c>
      <c r="AJ52" s="9" t="s">
        <v>8019</v>
      </c>
      <c r="AK52" s="9" t="s">
        <v>8020</v>
      </c>
      <c r="AL52" s="9" t="s">
        <v>8021</v>
      </c>
      <c r="AM52" s="9" t="s">
        <v>8022</v>
      </c>
      <c r="AN52" s="9" t="s">
        <v>8023</v>
      </c>
      <c r="AO52" s="9" t="s">
        <v>8024</v>
      </c>
      <c r="AP52" s="9" t="s">
        <v>8025</v>
      </c>
      <c r="AQ52" s="9" t="s">
        <v>7699</v>
      </c>
      <c r="AR52" s="9" t="s">
        <v>8026</v>
      </c>
      <c r="AS52" s="9" t="s">
        <v>8027</v>
      </c>
      <c r="AT52" s="9" t="s">
        <v>699</v>
      </c>
      <c r="AU52" s="9" t="s">
        <v>8028</v>
      </c>
      <c r="AV52" s="9" t="s">
        <v>8029</v>
      </c>
      <c r="AW52" s="9" t="s">
        <v>8030</v>
      </c>
      <c r="AX52" s="9" t="s">
        <v>8031</v>
      </c>
      <c r="AY52" s="9" t="s">
        <v>8032</v>
      </c>
      <c r="AZ52" s="9" t="s">
        <v>8033</v>
      </c>
      <c r="BA52" s="9" t="s">
        <v>8034</v>
      </c>
      <c r="BB52" s="9" t="s">
        <v>8035</v>
      </c>
      <c r="BC52" s="9" t="s">
        <v>8036</v>
      </c>
      <c r="BD52" s="9" t="s">
        <v>8037</v>
      </c>
      <c r="BE52" s="29"/>
      <c r="BF52" s="29"/>
      <c r="BG52" s="29"/>
      <c r="BH52" s="29"/>
      <c r="BI52" s="29"/>
      <c r="BJ52" s="29"/>
      <c r="BK52" s="29"/>
      <c r="BL52" s="29"/>
    </row>
    <row r="53" customFormat="false" ht="153.7" hidden="false" customHeight="false" outlineLevel="0" collapsed="false">
      <c r="A53" s="9" t="s">
        <v>8038</v>
      </c>
      <c r="B53" s="9" t="s">
        <v>5714</v>
      </c>
      <c r="C53" s="9" t="s">
        <v>1986</v>
      </c>
      <c r="D53" s="9" t="s">
        <v>2128</v>
      </c>
      <c r="E53" s="9" t="s">
        <v>87</v>
      </c>
      <c r="F53" s="9" t="s">
        <v>662</v>
      </c>
      <c r="G53" s="28" t="s">
        <v>8039</v>
      </c>
      <c r="H53" s="9" t="s">
        <v>90</v>
      </c>
      <c r="I53" s="9" t="s">
        <v>8040</v>
      </c>
      <c r="J53" s="9" t="s">
        <v>8041</v>
      </c>
      <c r="K53" s="9" t="s">
        <v>8042</v>
      </c>
      <c r="L53" s="9" t="s">
        <v>8043</v>
      </c>
      <c r="M53" s="9" t="s">
        <v>8044</v>
      </c>
      <c r="N53" s="9" t="s">
        <v>8045</v>
      </c>
      <c r="O53" s="9" t="s">
        <v>97</v>
      </c>
      <c r="P53" s="9" t="s">
        <v>8046</v>
      </c>
      <c r="Q53" s="9" t="s">
        <v>957</v>
      </c>
      <c r="R53" s="9" t="s">
        <v>8047</v>
      </c>
      <c r="S53" s="9" t="s">
        <v>8048</v>
      </c>
      <c r="T53" s="9" t="s">
        <v>8049</v>
      </c>
      <c r="U53" s="9" t="s">
        <v>8050</v>
      </c>
      <c r="V53" s="9" t="s">
        <v>8051</v>
      </c>
      <c r="W53" s="9" t="s">
        <v>8052</v>
      </c>
      <c r="X53" s="9" t="s">
        <v>8053</v>
      </c>
      <c r="Y53" s="9" t="s">
        <v>8054</v>
      </c>
      <c r="Z53" s="9" t="s">
        <v>8055</v>
      </c>
      <c r="AA53" s="9" t="s">
        <v>8056</v>
      </c>
      <c r="AB53" s="9" t="s">
        <v>8057</v>
      </c>
      <c r="AC53" s="9" t="s">
        <v>8058</v>
      </c>
      <c r="AD53" s="9" t="s">
        <v>8059</v>
      </c>
      <c r="AE53" s="9" t="s">
        <v>8060</v>
      </c>
      <c r="AF53" s="9" t="s">
        <v>8061</v>
      </c>
      <c r="AG53" s="9" t="s">
        <v>8062</v>
      </c>
      <c r="AH53" s="9" t="s">
        <v>8063</v>
      </c>
      <c r="AI53" s="9" t="s">
        <v>8064</v>
      </c>
      <c r="AJ53" s="9" t="s">
        <v>8065</v>
      </c>
      <c r="AK53" s="9" t="s">
        <v>8066</v>
      </c>
      <c r="AL53" s="9" t="s">
        <v>8067</v>
      </c>
      <c r="AM53" s="9" t="s">
        <v>8068</v>
      </c>
      <c r="AN53" s="9" t="s">
        <v>8069</v>
      </c>
      <c r="AO53" s="9" t="s">
        <v>8070</v>
      </c>
      <c r="AP53" s="9" t="s">
        <v>8071</v>
      </c>
      <c r="AQ53" s="9" t="s">
        <v>125</v>
      </c>
      <c r="AR53" s="9" t="s">
        <v>8072</v>
      </c>
      <c r="AS53" s="9" t="s">
        <v>8073</v>
      </c>
      <c r="AT53" s="9" t="s">
        <v>414</v>
      </c>
      <c r="AU53" s="9" t="s">
        <v>8074</v>
      </c>
      <c r="AV53" s="9" t="s">
        <v>8075</v>
      </c>
      <c r="AW53" s="9" t="s">
        <v>8076</v>
      </c>
      <c r="AX53" s="9" t="s">
        <v>8077</v>
      </c>
      <c r="AY53" s="9" t="s">
        <v>8078</v>
      </c>
      <c r="AZ53" s="9" t="s">
        <v>8079</v>
      </c>
      <c r="BA53" s="9" t="s">
        <v>8080</v>
      </c>
      <c r="BB53" s="9" t="s">
        <v>8081</v>
      </c>
      <c r="BC53" s="9" t="s">
        <v>8082</v>
      </c>
      <c r="BD53" s="9" t="s">
        <v>8083</v>
      </c>
      <c r="BE53" s="29"/>
      <c r="BF53" s="29"/>
      <c r="BG53" s="29"/>
      <c r="BH53" s="29"/>
      <c r="BI53" s="29"/>
      <c r="BJ53" s="29"/>
      <c r="BK53" s="29"/>
      <c r="BL53" s="29"/>
    </row>
    <row r="54" customFormat="false" ht="153.7" hidden="false" customHeight="false" outlineLevel="0" collapsed="false">
      <c r="A54" s="9" t="s">
        <v>8084</v>
      </c>
      <c r="B54" s="9" t="s">
        <v>5714</v>
      </c>
      <c r="C54" s="9" t="s">
        <v>1986</v>
      </c>
      <c r="D54" s="9" t="s">
        <v>2128</v>
      </c>
      <c r="E54" s="9" t="s">
        <v>87</v>
      </c>
      <c r="F54" s="9" t="s">
        <v>997</v>
      </c>
      <c r="G54" s="28" t="s">
        <v>8085</v>
      </c>
      <c r="H54" s="9" t="s">
        <v>90</v>
      </c>
      <c r="I54" s="9" t="s">
        <v>8086</v>
      </c>
      <c r="J54" s="9" t="s">
        <v>8087</v>
      </c>
      <c r="K54" s="9" t="s">
        <v>8088</v>
      </c>
      <c r="L54" s="9" t="s">
        <v>8089</v>
      </c>
      <c r="M54" s="9" t="s">
        <v>8090</v>
      </c>
      <c r="N54" s="9" t="s">
        <v>8091</v>
      </c>
      <c r="O54" s="9" t="s">
        <v>97</v>
      </c>
      <c r="P54" s="9" t="s">
        <v>8092</v>
      </c>
      <c r="Q54" s="9" t="s">
        <v>99</v>
      </c>
      <c r="R54" s="9" t="s">
        <v>8093</v>
      </c>
      <c r="S54" s="9" t="s">
        <v>8094</v>
      </c>
      <c r="T54" s="9" t="s">
        <v>8095</v>
      </c>
      <c r="U54" s="9" t="s">
        <v>8096</v>
      </c>
      <c r="V54" s="9" t="s">
        <v>8097</v>
      </c>
      <c r="W54" s="9" t="s">
        <v>8098</v>
      </c>
      <c r="X54" s="9" t="s">
        <v>8099</v>
      </c>
      <c r="Y54" s="9" t="s">
        <v>8100</v>
      </c>
      <c r="Z54" s="9" t="s">
        <v>8101</v>
      </c>
      <c r="AA54" s="9" t="s">
        <v>8102</v>
      </c>
      <c r="AB54" s="9" t="s">
        <v>8103</v>
      </c>
      <c r="AC54" s="9" t="s">
        <v>8104</v>
      </c>
      <c r="AD54" s="9" t="s">
        <v>8105</v>
      </c>
      <c r="AE54" s="9" t="s">
        <v>8106</v>
      </c>
      <c r="AF54" s="9" t="s">
        <v>8107</v>
      </c>
      <c r="AG54" s="9" t="s">
        <v>8108</v>
      </c>
      <c r="AH54" s="9" t="s">
        <v>8109</v>
      </c>
      <c r="AI54" s="9" t="s">
        <v>8110</v>
      </c>
      <c r="AJ54" s="9" t="s">
        <v>8111</v>
      </c>
      <c r="AK54" s="9" t="s">
        <v>8112</v>
      </c>
      <c r="AL54" s="9" t="s">
        <v>8113</v>
      </c>
      <c r="AM54" s="9" t="s">
        <v>8114</v>
      </c>
      <c r="AN54" s="9" t="s">
        <v>8115</v>
      </c>
      <c r="AO54" s="9" t="s">
        <v>8116</v>
      </c>
      <c r="AP54" s="9" t="s">
        <v>8117</v>
      </c>
      <c r="AQ54" s="9" t="s">
        <v>4676</v>
      </c>
      <c r="AR54" s="9" t="s">
        <v>8118</v>
      </c>
      <c r="AS54" s="9" t="s">
        <v>8119</v>
      </c>
      <c r="AT54" s="9" t="s">
        <v>699</v>
      </c>
      <c r="AU54" s="9" t="s">
        <v>8120</v>
      </c>
      <c r="AV54" s="9" t="s">
        <v>8121</v>
      </c>
      <c r="AW54" s="9" t="s">
        <v>8122</v>
      </c>
      <c r="AX54" s="9" t="s">
        <v>8123</v>
      </c>
      <c r="AY54" s="9" t="s">
        <v>8124</v>
      </c>
      <c r="AZ54" s="9" t="s">
        <v>8125</v>
      </c>
      <c r="BA54" s="9" t="s">
        <v>8126</v>
      </c>
      <c r="BB54" s="9" t="s">
        <v>8127</v>
      </c>
      <c r="BC54" s="9" t="s">
        <v>8128</v>
      </c>
      <c r="BD54" s="9" t="s">
        <v>8129</v>
      </c>
      <c r="BE54" s="29"/>
      <c r="BF54" s="29"/>
      <c r="BG54" s="29"/>
      <c r="BH54" s="29"/>
      <c r="BI54" s="29"/>
      <c r="BJ54" s="29"/>
      <c r="BK54" s="29"/>
      <c r="BL54" s="29"/>
    </row>
    <row r="55" customFormat="false" ht="179.1" hidden="false" customHeight="false" outlineLevel="0" collapsed="false">
      <c r="A55" s="9" t="s">
        <v>8130</v>
      </c>
      <c r="B55" s="9" t="s">
        <v>5714</v>
      </c>
      <c r="C55" s="9" t="s">
        <v>1986</v>
      </c>
      <c r="D55" s="9" t="s">
        <v>1092</v>
      </c>
      <c r="E55" s="9" t="s">
        <v>87</v>
      </c>
      <c r="F55" s="9" t="s">
        <v>140</v>
      </c>
      <c r="G55" s="28" t="s">
        <v>8131</v>
      </c>
      <c r="H55" s="9" t="s">
        <v>90</v>
      </c>
      <c r="I55" s="9" t="s">
        <v>8132</v>
      </c>
      <c r="J55" s="9" t="s">
        <v>8133</v>
      </c>
      <c r="K55" s="9" t="s">
        <v>8134</v>
      </c>
      <c r="L55" s="9" t="s">
        <v>8135</v>
      </c>
      <c r="M55" s="9" t="s">
        <v>8136</v>
      </c>
      <c r="N55" s="9" t="s">
        <v>8137</v>
      </c>
      <c r="O55" s="9" t="s">
        <v>6370</v>
      </c>
      <c r="P55" s="9" t="s">
        <v>8138</v>
      </c>
      <c r="Q55" s="9" t="s">
        <v>291</v>
      </c>
      <c r="R55" s="9" t="s">
        <v>8139</v>
      </c>
      <c r="S55" s="9" t="s">
        <v>8140</v>
      </c>
      <c r="T55" s="9" t="s">
        <v>8141</v>
      </c>
      <c r="U55" s="9" t="s">
        <v>8142</v>
      </c>
      <c r="V55" s="9" t="s">
        <v>8143</v>
      </c>
      <c r="W55" s="9" t="s">
        <v>8144</v>
      </c>
      <c r="X55" s="9" t="s">
        <v>8145</v>
      </c>
      <c r="Y55" s="9" t="s">
        <v>8146</v>
      </c>
      <c r="Z55" s="9" t="s">
        <v>8147</v>
      </c>
      <c r="AA55" s="9" t="s">
        <v>8148</v>
      </c>
      <c r="AB55" s="9" t="s">
        <v>8149</v>
      </c>
      <c r="AC55" s="9" t="s">
        <v>8150</v>
      </c>
      <c r="AD55" s="9" t="s">
        <v>8151</v>
      </c>
      <c r="AE55" s="9" t="s">
        <v>8152</v>
      </c>
      <c r="AF55" s="9" t="s">
        <v>8153</v>
      </c>
      <c r="AG55" s="9" t="s">
        <v>8154</v>
      </c>
      <c r="AH55" s="9" t="s">
        <v>8155</v>
      </c>
      <c r="AI55" s="9" t="s">
        <v>8156</v>
      </c>
      <c r="AJ55" s="9" t="s">
        <v>8157</v>
      </c>
      <c r="AK55" s="9" t="s">
        <v>8158</v>
      </c>
      <c r="AL55" s="9" t="s">
        <v>8159</v>
      </c>
      <c r="AM55" s="9" t="s">
        <v>8160</v>
      </c>
      <c r="AN55" s="9" t="s">
        <v>8161</v>
      </c>
      <c r="AO55" s="9" t="s">
        <v>220</v>
      </c>
      <c r="AP55" s="9" t="s">
        <v>8162</v>
      </c>
      <c r="AQ55" s="9" t="s">
        <v>8163</v>
      </c>
      <c r="AR55" s="9" t="s">
        <v>8164</v>
      </c>
      <c r="AS55" s="9" t="s">
        <v>8165</v>
      </c>
      <c r="AT55" s="9" t="s">
        <v>414</v>
      </c>
      <c r="AU55" s="9" t="s">
        <v>8166</v>
      </c>
      <c r="AV55" s="9" t="s">
        <v>8167</v>
      </c>
      <c r="AW55" s="9" t="s">
        <v>8168</v>
      </c>
      <c r="AX55" s="9" t="s">
        <v>8169</v>
      </c>
      <c r="AY55" s="9" t="s">
        <v>8170</v>
      </c>
      <c r="AZ55" s="9" t="s">
        <v>8171</v>
      </c>
      <c r="BA55" s="9" t="s">
        <v>8172</v>
      </c>
      <c r="BB55" s="9" t="s">
        <v>8173</v>
      </c>
      <c r="BC55" s="9" t="s">
        <v>8174</v>
      </c>
      <c r="BD55" s="9" t="s">
        <v>8175</v>
      </c>
      <c r="BE55" s="29"/>
      <c r="BF55" s="29"/>
      <c r="BG55" s="29"/>
      <c r="BH55" s="29"/>
      <c r="BI55" s="29"/>
      <c r="BJ55" s="29"/>
      <c r="BK55" s="29"/>
      <c r="BL55" s="29"/>
    </row>
    <row r="56" customFormat="false" ht="166.4" hidden="false" customHeight="false" outlineLevel="0" collapsed="false">
      <c r="A56" s="9" t="s">
        <v>8176</v>
      </c>
      <c r="B56" s="9" t="s">
        <v>5714</v>
      </c>
      <c r="C56" s="9" t="s">
        <v>1986</v>
      </c>
      <c r="D56" s="9" t="s">
        <v>2128</v>
      </c>
      <c r="E56" s="9" t="s">
        <v>87</v>
      </c>
      <c r="F56" s="9" t="s">
        <v>854</v>
      </c>
      <c r="G56" s="28" t="s">
        <v>8177</v>
      </c>
      <c r="H56" s="9" t="s">
        <v>90</v>
      </c>
      <c r="I56" s="9" t="s">
        <v>8178</v>
      </c>
      <c r="J56" s="9" t="s">
        <v>8179</v>
      </c>
      <c r="K56" s="9" t="s">
        <v>8180</v>
      </c>
      <c r="L56" s="9" t="s">
        <v>8181</v>
      </c>
      <c r="M56" s="9" t="s">
        <v>8182</v>
      </c>
      <c r="N56" s="9" t="s">
        <v>8183</v>
      </c>
      <c r="O56" s="9" t="s">
        <v>97</v>
      </c>
      <c r="P56" s="9" t="s">
        <v>8184</v>
      </c>
      <c r="Q56" s="9" t="s">
        <v>291</v>
      </c>
      <c r="R56" s="9" t="s">
        <v>8185</v>
      </c>
      <c r="S56" s="9" t="s">
        <v>8186</v>
      </c>
      <c r="T56" s="9" t="s">
        <v>8187</v>
      </c>
      <c r="U56" s="9" t="s">
        <v>8188</v>
      </c>
      <c r="V56" s="9" t="s">
        <v>8189</v>
      </c>
      <c r="W56" s="9" t="s">
        <v>8190</v>
      </c>
      <c r="X56" s="9" t="s">
        <v>8191</v>
      </c>
      <c r="Y56" s="9" t="s">
        <v>8192</v>
      </c>
      <c r="Z56" s="9" t="s">
        <v>8193</v>
      </c>
      <c r="AA56" s="9" t="s">
        <v>8194</v>
      </c>
      <c r="AB56" s="9" t="s">
        <v>8195</v>
      </c>
      <c r="AC56" s="9" t="s">
        <v>8196</v>
      </c>
      <c r="AD56" s="9" t="s">
        <v>8197</v>
      </c>
      <c r="AE56" s="9" t="s">
        <v>8198</v>
      </c>
      <c r="AF56" s="9" t="s">
        <v>8199</v>
      </c>
      <c r="AG56" s="9" t="s">
        <v>8200</v>
      </c>
      <c r="AH56" s="9" t="s">
        <v>8201</v>
      </c>
      <c r="AI56" s="9" t="s">
        <v>8202</v>
      </c>
      <c r="AJ56" s="9" t="s">
        <v>8203</v>
      </c>
      <c r="AK56" s="9" t="s">
        <v>8204</v>
      </c>
      <c r="AL56" s="9" t="s">
        <v>8205</v>
      </c>
      <c r="AM56" s="9" t="s">
        <v>8206</v>
      </c>
      <c r="AN56" s="9" t="s">
        <v>8207</v>
      </c>
      <c r="AO56" s="9" t="s">
        <v>8208</v>
      </c>
      <c r="AP56" s="9" t="s">
        <v>8209</v>
      </c>
      <c r="AQ56" s="9" t="s">
        <v>1738</v>
      </c>
      <c r="AR56" s="9" t="s">
        <v>8210</v>
      </c>
      <c r="AS56" s="9" t="s">
        <v>8211</v>
      </c>
      <c r="AT56" s="9" t="s">
        <v>414</v>
      </c>
      <c r="AU56" s="9" t="s">
        <v>8212</v>
      </c>
      <c r="AV56" s="9" t="s">
        <v>8213</v>
      </c>
      <c r="AW56" s="9" t="s">
        <v>8214</v>
      </c>
      <c r="AX56" s="9" t="s">
        <v>8215</v>
      </c>
      <c r="AY56" s="9" t="s">
        <v>8216</v>
      </c>
      <c r="AZ56" s="9" t="s">
        <v>8217</v>
      </c>
      <c r="BA56" s="9" t="s">
        <v>8218</v>
      </c>
      <c r="BB56" s="9" t="s">
        <v>8219</v>
      </c>
      <c r="BC56" s="9" t="s">
        <v>8220</v>
      </c>
      <c r="BD56" s="9" t="s">
        <v>8221</v>
      </c>
      <c r="BE56" s="29"/>
      <c r="BF56" s="29"/>
      <c r="BG56" s="29"/>
      <c r="BH56" s="29"/>
      <c r="BI56" s="29"/>
      <c r="BJ56" s="29"/>
      <c r="BK56" s="29"/>
      <c r="BL56" s="29"/>
    </row>
    <row r="57" customFormat="false" ht="166.4" hidden="false" customHeight="false" outlineLevel="0" collapsed="false">
      <c r="A57" s="9" t="s">
        <v>8222</v>
      </c>
      <c r="B57" s="9" t="s">
        <v>5714</v>
      </c>
      <c r="C57" s="9" t="s">
        <v>1986</v>
      </c>
      <c r="D57" s="9" t="s">
        <v>1092</v>
      </c>
      <c r="E57" s="9" t="s">
        <v>758</v>
      </c>
      <c r="F57" s="9" t="s">
        <v>997</v>
      </c>
      <c r="G57" s="28" t="s">
        <v>8223</v>
      </c>
      <c r="H57" s="9" t="s">
        <v>760</v>
      </c>
      <c r="I57" s="9" t="s">
        <v>8224</v>
      </c>
      <c r="J57" s="9" t="s">
        <v>8225</v>
      </c>
      <c r="K57" s="9" t="s">
        <v>8226</v>
      </c>
      <c r="L57" s="9" t="s">
        <v>8227</v>
      </c>
      <c r="M57" s="9" t="s">
        <v>8228</v>
      </c>
      <c r="N57" s="9" t="s">
        <v>8229</v>
      </c>
      <c r="O57" s="9" t="s">
        <v>6370</v>
      </c>
      <c r="P57" s="9" t="s">
        <v>8230</v>
      </c>
      <c r="Q57" s="9" t="s">
        <v>99</v>
      </c>
      <c r="R57" s="9" t="s">
        <v>8231</v>
      </c>
      <c r="S57" s="9" t="s">
        <v>8232</v>
      </c>
      <c r="T57" s="9" t="s">
        <v>8233</v>
      </c>
      <c r="U57" s="9" t="s">
        <v>8234</v>
      </c>
      <c r="V57" s="9" t="s">
        <v>8235</v>
      </c>
      <c r="W57" s="9" t="s">
        <v>8236</v>
      </c>
      <c r="X57" s="9" t="s">
        <v>8237</v>
      </c>
      <c r="Y57" s="9" t="s">
        <v>8238</v>
      </c>
      <c r="Z57" s="9" t="s">
        <v>8239</v>
      </c>
      <c r="AA57" s="9" t="s">
        <v>8240</v>
      </c>
      <c r="AB57" s="9" t="s">
        <v>8241</v>
      </c>
      <c r="AC57" s="9" t="s">
        <v>8242</v>
      </c>
      <c r="AD57" s="9" t="s">
        <v>8243</v>
      </c>
      <c r="AE57" s="9" t="s">
        <v>8244</v>
      </c>
      <c r="AF57" s="9" t="s">
        <v>8245</v>
      </c>
      <c r="AG57" s="9" t="s">
        <v>8246</v>
      </c>
      <c r="AH57" s="9" t="s">
        <v>8247</v>
      </c>
      <c r="AI57" s="9" t="s">
        <v>8248</v>
      </c>
      <c r="AJ57" s="9" t="s">
        <v>8249</v>
      </c>
      <c r="AK57" s="9" t="s">
        <v>8250</v>
      </c>
      <c r="AL57" s="9" t="s">
        <v>8251</v>
      </c>
      <c r="AM57" s="9" t="s">
        <v>8252</v>
      </c>
      <c r="AN57" s="9" t="s">
        <v>8253</v>
      </c>
      <c r="AO57" s="9" t="s">
        <v>8254</v>
      </c>
      <c r="AP57" s="9" t="s">
        <v>8255</v>
      </c>
      <c r="AQ57" s="9" t="s">
        <v>8256</v>
      </c>
      <c r="AR57" s="9" t="s">
        <v>8257</v>
      </c>
      <c r="AS57" s="9" t="s">
        <v>8258</v>
      </c>
      <c r="AT57" s="9" t="s">
        <v>177</v>
      </c>
      <c r="AU57" s="9" t="s">
        <v>8259</v>
      </c>
      <c r="AV57" s="9" t="s">
        <v>8260</v>
      </c>
      <c r="AW57" s="9" t="s">
        <v>8261</v>
      </c>
      <c r="AX57" s="9" t="s">
        <v>8262</v>
      </c>
      <c r="AY57" s="9" t="s">
        <v>8263</v>
      </c>
      <c r="AZ57" s="9" t="s">
        <v>8264</v>
      </c>
      <c r="BA57" s="9" t="s">
        <v>8265</v>
      </c>
      <c r="BB57" s="9" t="s">
        <v>8266</v>
      </c>
      <c r="BC57" s="9" t="s">
        <v>8267</v>
      </c>
      <c r="BD57" s="9" t="s">
        <v>8268</v>
      </c>
      <c r="BE57" s="29"/>
      <c r="BF57" s="29"/>
      <c r="BG57" s="29"/>
      <c r="BH57" s="29"/>
      <c r="BI57" s="29"/>
      <c r="BJ57" s="29"/>
      <c r="BK57" s="29"/>
      <c r="BL57" s="29"/>
    </row>
    <row r="58" customFormat="false" ht="141" hidden="false" customHeight="false" outlineLevel="0" collapsed="false">
      <c r="A58" s="9" t="s">
        <v>8269</v>
      </c>
      <c r="B58" s="9" t="s">
        <v>5714</v>
      </c>
      <c r="C58" s="9" t="s">
        <v>1986</v>
      </c>
      <c r="D58" s="9" t="s">
        <v>2128</v>
      </c>
      <c r="E58" s="9" t="s">
        <v>758</v>
      </c>
      <c r="F58" s="9" t="s">
        <v>997</v>
      </c>
      <c r="G58" s="28" t="s">
        <v>8270</v>
      </c>
      <c r="H58" s="9" t="s">
        <v>760</v>
      </c>
      <c r="I58" s="9" t="s">
        <v>8271</v>
      </c>
      <c r="J58" s="9" t="s">
        <v>8272</v>
      </c>
      <c r="K58" s="9" t="s">
        <v>8273</v>
      </c>
      <c r="L58" s="9" t="s">
        <v>8274</v>
      </c>
      <c r="M58" s="9" t="s">
        <v>8275</v>
      </c>
      <c r="N58" s="9" t="s">
        <v>8276</v>
      </c>
      <c r="O58" s="9" t="s">
        <v>6370</v>
      </c>
      <c r="P58" s="9" t="s">
        <v>8277</v>
      </c>
      <c r="Q58" s="9" t="s">
        <v>99</v>
      </c>
      <c r="R58" s="9" t="s">
        <v>8278</v>
      </c>
      <c r="S58" s="9" t="s">
        <v>8279</v>
      </c>
      <c r="T58" s="9" t="s">
        <v>8280</v>
      </c>
      <c r="U58" s="9" t="s">
        <v>8281</v>
      </c>
      <c r="V58" s="9" t="s">
        <v>8282</v>
      </c>
      <c r="W58" s="9" t="s">
        <v>8283</v>
      </c>
      <c r="X58" s="9" t="s">
        <v>8284</v>
      </c>
      <c r="Y58" s="9" t="s">
        <v>8285</v>
      </c>
      <c r="Z58" s="9" t="s">
        <v>8286</v>
      </c>
      <c r="AA58" s="9" t="s">
        <v>8287</v>
      </c>
      <c r="AB58" s="9" t="s">
        <v>8288</v>
      </c>
      <c r="AC58" s="9" t="s">
        <v>8289</v>
      </c>
      <c r="AD58" s="9" t="s">
        <v>8290</v>
      </c>
      <c r="AE58" s="9" t="s">
        <v>8291</v>
      </c>
      <c r="AF58" s="9" t="s">
        <v>8292</v>
      </c>
      <c r="AG58" s="9" t="s">
        <v>8293</v>
      </c>
      <c r="AH58" s="9" t="s">
        <v>8294</v>
      </c>
      <c r="AI58" s="9" t="s">
        <v>8295</v>
      </c>
      <c r="AJ58" s="9" t="s">
        <v>8296</v>
      </c>
      <c r="AK58" s="9" t="s">
        <v>8297</v>
      </c>
      <c r="AL58" s="9" t="s">
        <v>8298</v>
      </c>
      <c r="AM58" s="9" t="s">
        <v>8299</v>
      </c>
      <c r="AN58" s="9" t="s">
        <v>8300</v>
      </c>
      <c r="AO58" s="9" t="s">
        <v>8301</v>
      </c>
      <c r="AP58" s="9" t="s">
        <v>8302</v>
      </c>
      <c r="AQ58" s="9" t="s">
        <v>4816</v>
      </c>
      <c r="AR58" s="9" t="s">
        <v>8303</v>
      </c>
      <c r="AS58" s="9" t="s">
        <v>8304</v>
      </c>
      <c r="AT58" s="9" t="s">
        <v>177</v>
      </c>
      <c r="AU58" s="9" t="s">
        <v>8305</v>
      </c>
      <c r="AV58" s="9" t="s">
        <v>8306</v>
      </c>
      <c r="AW58" s="9" t="s">
        <v>8307</v>
      </c>
      <c r="AX58" s="9" t="s">
        <v>8308</v>
      </c>
      <c r="AY58" s="9" t="s">
        <v>8309</v>
      </c>
      <c r="AZ58" s="9" t="s">
        <v>8310</v>
      </c>
      <c r="BA58" s="9" t="s">
        <v>8311</v>
      </c>
      <c r="BB58" s="9" t="s">
        <v>8312</v>
      </c>
      <c r="BC58" s="9" t="s">
        <v>8313</v>
      </c>
      <c r="BD58" s="9" t="s">
        <v>8314</v>
      </c>
      <c r="BE58" s="29"/>
      <c r="BF58" s="29"/>
      <c r="BG58" s="29"/>
      <c r="BH58" s="29"/>
      <c r="BI58" s="29"/>
      <c r="BJ58" s="29"/>
      <c r="BK58" s="29"/>
      <c r="BL58" s="29"/>
    </row>
    <row r="59" customFormat="false" ht="153.7" hidden="false" customHeight="false" outlineLevel="0" collapsed="false">
      <c r="A59" s="9" t="s">
        <v>8315</v>
      </c>
      <c r="B59" s="9" t="s">
        <v>5714</v>
      </c>
      <c r="C59" s="9" t="s">
        <v>1986</v>
      </c>
      <c r="D59" s="9" t="s">
        <v>1092</v>
      </c>
      <c r="E59" s="9" t="s">
        <v>758</v>
      </c>
      <c r="F59" s="9" t="s">
        <v>997</v>
      </c>
      <c r="G59" s="28" t="s">
        <v>8316</v>
      </c>
      <c r="H59" s="9" t="s">
        <v>760</v>
      </c>
      <c r="I59" s="9" t="s">
        <v>8317</v>
      </c>
      <c r="J59" s="9" t="s">
        <v>8318</v>
      </c>
      <c r="K59" s="9" t="s">
        <v>8319</v>
      </c>
      <c r="L59" s="9" t="s">
        <v>8320</v>
      </c>
      <c r="M59" s="9" t="s">
        <v>8321</v>
      </c>
      <c r="N59" s="9" t="s">
        <v>8322</v>
      </c>
      <c r="O59" s="9" t="s">
        <v>6370</v>
      </c>
      <c r="P59" s="9" t="s">
        <v>8323</v>
      </c>
      <c r="Q59" s="9" t="s">
        <v>99</v>
      </c>
      <c r="R59" s="9" t="s">
        <v>8324</v>
      </c>
      <c r="S59" s="9" t="s">
        <v>8325</v>
      </c>
      <c r="T59" s="9" t="s">
        <v>8326</v>
      </c>
      <c r="U59" s="9" t="s">
        <v>8327</v>
      </c>
      <c r="V59" s="9" t="s">
        <v>8328</v>
      </c>
      <c r="W59" s="9" t="s">
        <v>8329</v>
      </c>
      <c r="X59" s="9" t="s">
        <v>8330</v>
      </c>
      <c r="Y59" s="9" t="s">
        <v>8331</v>
      </c>
      <c r="Z59" s="9" t="s">
        <v>8332</v>
      </c>
      <c r="AA59" s="9" t="s">
        <v>8333</v>
      </c>
      <c r="AB59" s="9" t="s">
        <v>8334</v>
      </c>
      <c r="AC59" s="9" t="s">
        <v>8335</v>
      </c>
      <c r="AD59" s="9" t="s">
        <v>8336</v>
      </c>
      <c r="AE59" s="9" t="s">
        <v>8337</v>
      </c>
      <c r="AF59" s="9" t="s">
        <v>8338</v>
      </c>
      <c r="AG59" s="9" t="s">
        <v>8339</v>
      </c>
      <c r="AH59" s="9" t="s">
        <v>8340</v>
      </c>
      <c r="AI59" s="9" t="s">
        <v>8341</v>
      </c>
      <c r="AJ59" s="9" t="s">
        <v>8342</v>
      </c>
      <c r="AK59" s="9" t="s">
        <v>8343</v>
      </c>
      <c r="AL59" s="9" t="s">
        <v>8344</v>
      </c>
      <c r="AM59" s="9" t="s">
        <v>8345</v>
      </c>
      <c r="AN59" s="9" t="s">
        <v>8346</v>
      </c>
      <c r="AO59" s="9" t="s">
        <v>8347</v>
      </c>
      <c r="AP59" s="9" t="s">
        <v>8348</v>
      </c>
      <c r="AQ59" s="9" t="s">
        <v>317</v>
      </c>
      <c r="AR59" s="9" t="s">
        <v>8349</v>
      </c>
      <c r="AS59" s="9" t="s">
        <v>8350</v>
      </c>
      <c r="AT59" s="9" t="s">
        <v>699</v>
      </c>
      <c r="AU59" s="9" t="s">
        <v>8351</v>
      </c>
      <c r="AV59" s="9" t="s">
        <v>8352</v>
      </c>
      <c r="AW59" s="9" t="s">
        <v>8353</v>
      </c>
      <c r="AX59" s="9" t="s">
        <v>8354</v>
      </c>
      <c r="AY59" s="9" t="s">
        <v>8355</v>
      </c>
      <c r="AZ59" s="9" t="s">
        <v>8356</v>
      </c>
      <c r="BA59" s="9" t="s">
        <v>8357</v>
      </c>
      <c r="BB59" s="9" t="s">
        <v>8358</v>
      </c>
      <c r="BC59" s="9" t="s">
        <v>8359</v>
      </c>
      <c r="BD59" s="9" t="s">
        <v>8360</v>
      </c>
      <c r="BE59" s="29"/>
      <c r="BF59" s="29"/>
      <c r="BG59" s="29"/>
      <c r="BH59" s="29"/>
      <c r="BI59" s="29"/>
      <c r="BJ59" s="29"/>
      <c r="BK59" s="29"/>
      <c r="BL59" s="29"/>
    </row>
    <row r="60" customFormat="false" ht="141" hidden="false" customHeight="false" outlineLevel="0" collapsed="false">
      <c r="A60" s="9" t="s">
        <v>8361</v>
      </c>
      <c r="B60" s="9" t="s">
        <v>5714</v>
      </c>
      <c r="C60" s="9" t="s">
        <v>1986</v>
      </c>
      <c r="D60" s="9" t="s">
        <v>1092</v>
      </c>
      <c r="E60" s="9" t="s">
        <v>758</v>
      </c>
      <c r="F60" s="9" t="s">
        <v>854</v>
      </c>
      <c r="G60" s="28" t="s">
        <v>8362</v>
      </c>
      <c r="H60" s="9" t="s">
        <v>760</v>
      </c>
      <c r="I60" s="9" t="s">
        <v>8363</v>
      </c>
      <c r="J60" s="9" t="s">
        <v>8364</v>
      </c>
      <c r="K60" s="9" t="s">
        <v>8365</v>
      </c>
      <c r="L60" s="9" t="s">
        <v>8366</v>
      </c>
      <c r="M60" s="9" t="s">
        <v>8367</v>
      </c>
      <c r="N60" s="9" t="s">
        <v>8368</v>
      </c>
      <c r="O60" s="9" t="s">
        <v>6370</v>
      </c>
      <c r="P60" s="9" t="s">
        <v>8369</v>
      </c>
      <c r="Q60" s="9" t="s">
        <v>99</v>
      </c>
      <c r="R60" s="9" t="s">
        <v>8370</v>
      </c>
      <c r="S60" s="9" t="s">
        <v>8371</v>
      </c>
      <c r="T60" s="9" t="s">
        <v>8372</v>
      </c>
      <c r="U60" s="9" t="s">
        <v>8373</v>
      </c>
      <c r="V60" s="9" t="s">
        <v>8374</v>
      </c>
      <c r="W60" s="9" t="s">
        <v>8375</v>
      </c>
      <c r="X60" s="9" t="s">
        <v>8376</v>
      </c>
      <c r="Y60" s="9" t="s">
        <v>8377</v>
      </c>
      <c r="Z60" s="9" t="s">
        <v>8378</v>
      </c>
      <c r="AA60" s="9" t="s">
        <v>8379</v>
      </c>
      <c r="AB60" s="9" t="s">
        <v>8380</v>
      </c>
      <c r="AC60" s="9" t="s">
        <v>8381</v>
      </c>
      <c r="AD60" s="9" t="s">
        <v>8382</v>
      </c>
      <c r="AE60" s="9" t="s">
        <v>8383</v>
      </c>
      <c r="AF60" s="9" t="s">
        <v>8384</v>
      </c>
      <c r="AG60" s="9" t="s">
        <v>8385</v>
      </c>
      <c r="AH60" s="9" t="s">
        <v>8386</v>
      </c>
      <c r="AI60" s="9" t="s">
        <v>8387</v>
      </c>
      <c r="AJ60" s="9" t="s">
        <v>8388</v>
      </c>
      <c r="AK60" s="9" t="s">
        <v>8389</v>
      </c>
      <c r="AL60" s="9" t="s">
        <v>8390</v>
      </c>
      <c r="AM60" s="9" t="s">
        <v>8391</v>
      </c>
      <c r="AN60" s="9" t="s">
        <v>8392</v>
      </c>
      <c r="AO60" s="9" t="s">
        <v>8393</v>
      </c>
      <c r="AP60" s="9" t="s">
        <v>8394</v>
      </c>
      <c r="AQ60" s="9" t="s">
        <v>6303</v>
      </c>
      <c r="AR60" s="9" t="s">
        <v>8395</v>
      </c>
      <c r="AS60" s="9" t="s">
        <v>8396</v>
      </c>
      <c r="AT60" s="9" t="s">
        <v>177</v>
      </c>
      <c r="AU60" s="9" t="s">
        <v>8397</v>
      </c>
      <c r="AV60" s="9" t="s">
        <v>8398</v>
      </c>
      <c r="AW60" s="9" t="s">
        <v>8399</v>
      </c>
      <c r="AX60" s="9" t="s">
        <v>8400</v>
      </c>
      <c r="AY60" s="9" t="s">
        <v>8401</v>
      </c>
      <c r="AZ60" s="9" t="s">
        <v>8402</v>
      </c>
      <c r="BA60" s="9" t="s">
        <v>8403</v>
      </c>
      <c r="BB60" s="9" t="s">
        <v>8404</v>
      </c>
      <c r="BC60" s="9" t="s">
        <v>8405</v>
      </c>
      <c r="BD60" s="9" t="s">
        <v>8406</v>
      </c>
      <c r="BE60" s="29"/>
      <c r="BF60" s="29"/>
      <c r="BG60" s="29"/>
      <c r="BH60" s="29"/>
      <c r="BI60" s="29"/>
      <c r="BJ60" s="29"/>
      <c r="BK60" s="29"/>
      <c r="BL60" s="29"/>
    </row>
    <row r="61" customFormat="false" ht="153.7" hidden="false" customHeight="false" outlineLevel="0" collapsed="false">
      <c r="A61" s="9" t="s">
        <v>8407</v>
      </c>
      <c r="B61" s="9" t="s">
        <v>5714</v>
      </c>
      <c r="C61" s="9" t="s">
        <v>1986</v>
      </c>
      <c r="D61" s="9" t="s">
        <v>2128</v>
      </c>
      <c r="E61" s="9" t="s">
        <v>758</v>
      </c>
      <c r="F61" s="9" t="s">
        <v>236</v>
      </c>
      <c r="G61" s="28" t="s">
        <v>8408</v>
      </c>
      <c r="H61" s="9" t="s">
        <v>760</v>
      </c>
      <c r="I61" s="9" t="s">
        <v>8409</v>
      </c>
      <c r="J61" s="9" t="s">
        <v>8410</v>
      </c>
      <c r="K61" s="9" t="s">
        <v>8411</v>
      </c>
      <c r="L61" s="9" t="s">
        <v>8412</v>
      </c>
      <c r="M61" s="9" t="s">
        <v>8413</v>
      </c>
      <c r="N61" s="9" t="s">
        <v>8414</v>
      </c>
      <c r="O61" s="9" t="s">
        <v>6370</v>
      </c>
      <c r="P61" s="9" t="s">
        <v>8415</v>
      </c>
      <c r="Q61" s="9" t="s">
        <v>291</v>
      </c>
      <c r="R61" s="9" t="s">
        <v>8416</v>
      </c>
      <c r="S61" s="9" t="s">
        <v>8417</v>
      </c>
      <c r="T61" s="9" t="s">
        <v>8418</v>
      </c>
      <c r="U61" s="9" t="s">
        <v>8419</v>
      </c>
      <c r="V61" s="9" t="s">
        <v>8420</v>
      </c>
      <c r="W61" s="9" t="s">
        <v>8421</v>
      </c>
      <c r="X61" s="9" t="s">
        <v>8422</v>
      </c>
      <c r="Y61" s="9" t="s">
        <v>8423</v>
      </c>
      <c r="Z61" s="9" t="s">
        <v>8424</v>
      </c>
      <c r="AA61" s="9" t="s">
        <v>8425</v>
      </c>
      <c r="AB61" s="9" t="s">
        <v>8426</v>
      </c>
      <c r="AC61" s="9" t="s">
        <v>8427</v>
      </c>
      <c r="AD61" s="9" t="s">
        <v>8428</v>
      </c>
      <c r="AE61" s="9" t="s">
        <v>8429</v>
      </c>
      <c r="AF61" s="9" t="s">
        <v>8430</v>
      </c>
      <c r="AG61" s="9" t="s">
        <v>8431</v>
      </c>
      <c r="AH61" s="9" t="s">
        <v>8432</v>
      </c>
      <c r="AI61" s="9" t="s">
        <v>8433</v>
      </c>
      <c r="AJ61" s="9" t="s">
        <v>8434</v>
      </c>
      <c r="AK61" s="9" t="s">
        <v>8435</v>
      </c>
      <c r="AL61" s="9" t="s">
        <v>8436</v>
      </c>
      <c r="AM61" s="9" t="s">
        <v>8437</v>
      </c>
      <c r="AN61" s="9" t="s">
        <v>8438</v>
      </c>
      <c r="AO61" s="9" t="s">
        <v>8439</v>
      </c>
      <c r="AP61" s="9" t="s">
        <v>8440</v>
      </c>
      <c r="AQ61" s="9" t="s">
        <v>8441</v>
      </c>
      <c r="AR61" s="9" t="s">
        <v>8442</v>
      </c>
      <c r="AS61" s="9" t="s">
        <v>8443</v>
      </c>
      <c r="AT61" s="9" t="s">
        <v>414</v>
      </c>
      <c r="AU61" s="9" t="s">
        <v>8444</v>
      </c>
      <c r="AV61" s="9" t="s">
        <v>8445</v>
      </c>
      <c r="AW61" s="9" t="s">
        <v>8446</v>
      </c>
      <c r="AX61" s="9" t="s">
        <v>8447</v>
      </c>
      <c r="AY61" s="9" t="s">
        <v>8448</v>
      </c>
      <c r="AZ61" s="9" t="s">
        <v>8449</v>
      </c>
      <c r="BA61" s="9" t="s">
        <v>8450</v>
      </c>
      <c r="BB61" s="9" t="s">
        <v>8451</v>
      </c>
      <c r="BC61" s="9" t="s">
        <v>8452</v>
      </c>
      <c r="BD61" s="9" t="s">
        <v>8453</v>
      </c>
      <c r="BE61" s="29"/>
      <c r="BF61" s="29"/>
      <c r="BG61" s="29"/>
      <c r="BH61" s="29"/>
      <c r="BI61" s="29"/>
      <c r="BJ61" s="29"/>
      <c r="BK61" s="29"/>
      <c r="BL61" s="29"/>
    </row>
    <row r="62" customFormat="false" ht="153.7" hidden="false" customHeight="false" outlineLevel="0" collapsed="false">
      <c r="A62" s="9" t="s">
        <v>8454</v>
      </c>
      <c r="B62" s="9" t="s">
        <v>5714</v>
      </c>
      <c r="C62" s="9" t="s">
        <v>1986</v>
      </c>
      <c r="D62" s="9" t="s">
        <v>2128</v>
      </c>
      <c r="E62" s="9" t="s">
        <v>758</v>
      </c>
      <c r="F62" s="9" t="s">
        <v>1330</v>
      </c>
      <c r="G62" s="28" t="s">
        <v>8455</v>
      </c>
      <c r="H62" s="9" t="s">
        <v>760</v>
      </c>
      <c r="I62" s="9" t="s">
        <v>8456</v>
      </c>
      <c r="J62" s="9" t="s">
        <v>8457</v>
      </c>
      <c r="K62" s="9" t="s">
        <v>8458</v>
      </c>
      <c r="L62" s="9" t="s">
        <v>8459</v>
      </c>
      <c r="M62" s="9" t="s">
        <v>8460</v>
      </c>
      <c r="N62" s="9" t="s">
        <v>8461</v>
      </c>
      <c r="O62" s="9" t="s">
        <v>6370</v>
      </c>
      <c r="P62" s="9" t="s">
        <v>8462</v>
      </c>
      <c r="Q62" s="9" t="s">
        <v>99</v>
      </c>
      <c r="R62" s="9" t="s">
        <v>8463</v>
      </c>
      <c r="S62" s="9" t="s">
        <v>8464</v>
      </c>
      <c r="T62" s="9" t="s">
        <v>8465</v>
      </c>
      <c r="U62" s="9" t="s">
        <v>8466</v>
      </c>
      <c r="V62" s="9" t="s">
        <v>8467</v>
      </c>
      <c r="W62" s="9" t="s">
        <v>8468</v>
      </c>
      <c r="X62" s="9" t="s">
        <v>8469</v>
      </c>
      <c r="Y62" s="9" t="s">
        <v>8470</v>
      </c>
      <c r="Z62" s="9" t="s">
        <v>8471</v>
      </c>
      <c r="AA62" s="9" t="s">
        <v>8472</v>
      </c>
      <c r="AB62" s="9" t="s">
        <v>8473</v>
      </c>
      <c r="AC62" s="9" t="s">
        <v>8474</v>
      </c>
      <c r="AD62" s="9" t="s">
        <v>8475</v>
      </c>
      <c r="AE62" s="9" t="s">
        <v>8476</v>
      </c>
      <c r="AF62" s="9" t="s">
        <v>8477</v>
      </c>
      <c r="AG62" s="9" t="s">
        <v>8478</v>
      </c>
      <c r="AH62" s="9" t="s">
        <v>8479</v>
      </c>
      <c r="AI62" s="9" t="s">
        <v>8480</v>
      </c>
      <c r="AJ62" s="9" t="s">
        <v>8481</v>
      </c>
      <c r="AK62" s="9" t="s">
        <v>8482</v>
      </c>
      <c r="AL62" s="9" t="s">
        <v>8483</v>
      </c>
      <c r="AM62" s="9" t="s">
        <v>8484</v>
      </c>
      <c r="AN62" s="9" t="s">
        <v>8485</v>
      </c>
      <c r="AO62" s="9" t="s">
        <v>8486</v>
      </c>
      <c r="AP62" s="9" t="s">
        <v>8487</v>
      </c>
      <c r="AQ62" s="9" t="s">
        <v>8488</v>
      </c>
      <c r="AR62" s="9" t="s">
        <v>8489</v>
      </c>
      <c r="AS62" s="9" t="s">
        <v>8490</v>
      </c>
      <c r="AT62" s="9" t="s">
        <v>177</v>
      </c>
      <c r="AU62" s="9" t="s">
        <v>8491</v>
      </c>
      <c r="AV62" s="9" t="s">
        <v>8492</v>
      </c>
      <c r="AW62" s="9" t="s">
        <v>8493</v>
      </c>
      <c r="AX62" s="9" t="s">
        <v>8494</v>
      </c>
      <c r="AY62" s="9" t="s">
        <v>8495</v>
      </c>
      <c r="AZ62" s="9" t="s">
        <v>8496</v>
      </c>
      <c r="BA62" s="9" t="s">
        <v>8497</v>
      </c>
      <c r="BB62" s="9" t="s">
        <v>8498</v>
      </c>
      <c r="BC62" s="9" t="s">
        <v>8499</v>
      </c>
      <c r="BD62" s="9" t="s">
        <v>8500</v>
      </c>
      <c r="BE62" s="29"/>
      <c r="BF62" s="29"/>
      <c r="BG62" s="29"/>
      <c r="BH62" s="29"/>
      <c r="BI62" s="29"/>
      <c r="BJ62" s="29"/>
      <c r="BK62" s="29"/>
      <c r="BL62" s="29"/>
    </row>
  </sheetData>
  <autoFilter ref="A2:BL62"/>
  <mergeCells count="5">
    <mergeCell ref="A1:F1"/>
    <mergeCell ref="G1:S1"/>
    <mergeCell ref="T1:AO1"/>
    <mergeCell ref="AP1:BD1"/>
    <mergeCell ref="BE1:BL1"/>
  </mergeCells>
  <dataValidations count="1">
    <dataValidation allowBlank="true" error="Choose Known, Unknown, Learning or Fix." errorStyle="stop" errorTitle="Pick a status" operator="between" showDropDown="false" showErrorMessage="false" showInputMessage="false" sqref="BE3:BE62" type="list">
      <formula1>Lists!$B$2:$B$5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28"/>
    <col collapsed="false" customWidth="true" hidden="false" outlineLevel="0" max="4" min="4" style="0" width="24"/>
    <col collapsed="false" customWidth="true" hidden="false" outlineLevel="0" max="5" min="5" style="0" width="95"/>
  </cols>
  <sheetData>
    <row r="1" customFormat="false" ht="15" hidden="false" customHeight="false" outlineLevel="0" collapsed="false">
      <c r="A1" s="26" t="s">
        <v>8501</v>
      </c>
      <c r="B1" s="26" t="s">
        <v>8502</v>
      </c>
      <c r="C1" s="26" t="s">
        <v>8503</v>
      </c>
      <c r="D1" s="26" t="s">
        <v>8504</v>
      </c>
      <c r="E1" s="26" t="s">
        <v>8505</v>
      </c>
    </row>
    <row r="2" customFormat="false" ht="15" hidden="false" customHeight="false" outlineLevel="0" collapsed="false">
      <c r="A2" s="30" t="n">
        <v>1</v>
      </c>
      <c r="B2" s="30" t="s">
        <v>8506</v>
      </c>
      <c r="C2" s="30" t="s">
        <v>15</v>
      </c>
      <c r="D2" s="30" t="s">
        <v>8507</v>
      </c>
      <c r="E2" s="30" t="s">
        <v>8508</v>
      </c>
    </row>
    <row r="3" customFormat="false" ht="15" hidden="false" customHeight="false" outlineLevel="0" collapsed="false">
      <c r="A3" s="30" t="n">
        <v>2</v>
      </c>
      <c r="B3" s="30" t="s">
        <v>8506</v>
      </c>
      <c r="C3" s="30" t="s">
        <v>16</v>
      </c>
      <c r="D3" s="30" t="s">
        <v>8509</v>
      </c>
      <c r="E3" s="30" t="s">
        <v>8510</v>
      </c>
    </row>
    <row r="4" customFormat="false" ht="15" hidden="false" customHeight="false" outlineLevel="0" collapsed="false">
      <c r="A4" s="30" t="n">
        <v>3</v>
      </c>
      <c r="B4" s="30" t="s">
        <v>8506</v>
      </c>
      <c r="C4" s="30" t="s">
        <v>17</v>
      </c>
      <c r="D4" s="30" t="s">
        <v>8511</v>
      </c>
      <c r="E4" s="30" t="s">
        <v>8512</v>
      </c>
    </row>
    <row r="5" customFormat="false" ht="15" hidden="false" customHeight="false" outlineLevel="0" collapsed="false">
      <c r="A5" s="30" t="n">
        <v>4</v>
      </c>
      <c r="B5" s="30" t="s">
        <v>8506</v>
      </c>
      <c r="C5" s="30" t="s">
        <v>18</v>
      </c>
      <c r="D5" s="30" t="s">
        <v>8513</v>
      </c>
      <c r="E5" s="30" t="s">
        <v>8514</v>
      </c>
    </row>
    <row r="6" customFormat="false" ht="15" hidden="false" customHeight="false" outlineLevel="0" collapsed="false">
      <c r="A6" s="30" t="n">
        <v>5</v>
      </c>
      <c r="B6" s="30" t="s">
        <v>8506</v>
      </c>
      <c r="C6" s="30" t="s">
        <v>19</v>
      </c>
      <c r="D6" s="30" t="s">
        <v>8515</v>
      </c>
      <c r="E6" s="30" t="s">
        <v>8516</v>
      </c>
    </row>
    <row r="7" customFormat="false" ht="26.85" hidden="false" customHeight="false" outlineLevel="0" collapsed="false">
      <c r="A7" s="30" t="n">
        <v>6</v>
      </c>
      <c r="B7" s="30" t="s">
        <v>8506</v>
      </c>
      <c r="C7" s="30" t="s">
        <v>20</v>
      </c>
      <c r="D7" s="30" t="s">
        <v>8517</v>
      </c>
      <c r="E7" s="30" t="s">
        <v>8518</v>
      </c>
    </row>
    <row r="8" customFormat="false" ht="15" hidden="false" customHeight="false" outlineLevel="0" collapsed="false">
      <c r="A8" s="30" t="n">
        <v>7</v>
      </c>
      <c r="B8" s="30" t="s">
        <v>8519</v>
      </c>
      <c r="C8" s="30" t="s">
        <v>22</v>
      </c>
      <c r="D8" s="30" t="s">
        <v>8520</v>
      </c>
      <c r="E8" s="30" t="s">
        <v>8521</v>
      </c>
    </row>
    <row r="9" customFormat="false" ht="15" hidden="false" customHeight="false" outlineLevel="0" collapsed="false">
      <c r="A9" s="30" t="n">
        <v>8</v>
      </c>
      <c r="B9" s="30" t="s">
        <v>8519</v>
      </c>
      <c r="C9" s="30" t="s">
        <v>23</v>
      </c>
      <c r="D9" s="30" t="s">
        <v>8522</v>
      </c>
      <c r="E9" s="30" t="s">
        <v>8523</v>
      </c>
    </row>
    <row r="10" customFormat="false" ht="15" hidden="false" customHeight="false" outlineLevel="0" collapsed="false">
      <c r="A10" s="30" t="n">
        <v>9</v>
      </c>
      <c r="B10" s="30" t="s">
        <v>8519</v>
      </c>
      <c r="C10" s="30" t="s">
        <v>24</v>
      </c>
      <c r="D10" s="30" t="s">
        <v>8524</v>
      </c>
      <c r="E10" s="30" t="s">
        <v>8525</v>
      </c>
    </row>
    <row r="11" customFormat="false" ht="15" hidden="false" customHeight="false" outlineLevel="0" collapsed="false">
      <c r="A11" s="30" t="n">
        <v>10</v>
      </c>
      <c r="B11" s="30" t="s">
        <v>8519</v>
      </c>
      <c r="C11" s="30" t="s">
        <v>25</v>
      </c>
      <c r="D11" s="30" t="s">
        <v>8526</v>
      </c>
      <c r="E11" s="30" t="s">
        <v>8527</v>
      </c>
    </row>
    <row r="12" customFormat="false" ht="15" hidden="false" customHeight="false" outlineLevel="0" collapsed="false">
      <c r="A12" s="30" t="n">
        <v>11</v>
      </c>
      <c r="B12" s="30" t="s">
        <v>8519</v>
      </c>
      <c r="C12" s="30" t="s">
        <v>26</v>
      </c>
      <c r="D12" s="30" t="s">
        <v>8528</v>
      </c>
      <c r="E12" s="30" t="s">
        <v>8529</v>
      </c>
    </row>
    <row r="13" customFormat="false" ht="15" hidden="false" customHeight="false" outlineLevel="0" collapsed="false">
      <c r="A13" s="30" t="n">
        <v>12</v>
      </c>
      <c r="B13" s="30" t="s">
        <v>8519</v>
      </c>
      <c r="C13" s="30" t="s">
        <v>27</v>
      </c>
      <c r="D13" s="30" t="s">
        <v>8530</v>
      </c>
      <c r="E13" s="30" t="s">
        <v>8531</v>
      </c>
    </row>
    <row r="14" customFormat="false" ht="15" hidden="false" customHeight="false" outlineLevel="0" collapsed="false">
      <c r="A14" s="30" t="n">
        <v>13</v>
      </c>
      <c r="B14" s="30" t="s">
        <v>8519</v>
      </c>
      <c r="C14" s="30" t="s">
        <v>28</v>
      </c>
      <c r="D14" s="30" t="s">
        <v>8532</v>
      </c>
      <c r="E14" s="30" t="s">
        <v>8533</v>
      </c>
    </row>
    <row r="15" customFormat="false" ht="15" hidden="false" customHeight="false" outlineLevel="0" collapsed="false">
      <c r="A15" s="30" t="n">
        <v>14</v>
      </c>
      <c r="B15" s="30" t="s">
        <v>8519</v>
      </c>
      <c r="C15" s="30" t="s">
        <v>29</v>
      </c>
      <c r="D15" s="30" t="s">
        <v>8534</v>
      </c>
      <c r="E15" s="30" t="s">
        <v>8535</v>
      </c>
    </row>
    <row r="16" customFormat="false" ht="15" hidden="false" customHeight="false" outlineLevel="0" collapsed="false">
      <c r="A16" s="30" t="n">
        <v>15</v>
      </c>
      <c r="B16" s="30" t="s">
        <v>8519</v>
      </c>
      <c r="C16" s="30" t="s">
        <v>30</v>
      </c>
      <c r="D16" s="30" t="s">
        <v>8536</v>
      </c>
      <c r="E16" s="30" t="s">
        <v>8537</v>
      </c>
    </row>
    <row r="17" customFormat="false" ht="15" hidden="false" customHeight="false" outlineLevel="0" collapsed="false">
      <c r="A17" s="30" t="n">
        <v>16</v>
      </c>
      <c r="B17" s="30" t="s">
        <v>8519</v>
      </c>
      <c r="C17" s="30" t="s">
        <v>31</v>
      </c>
      <c r="D17" s="30" t="s">
        <v>8538</v>
      </c>
      <c r="E17" s="30" t="s">
        <v>8539</v>
      </c>
    </row>
    <row r="18" customFormat="false" ht="15" hidden="false" customHeight="false" outlineLevel="0" collapsed="false">
      <c r="A18" s="30" t="n">
        <v>17</v>
      </c>
      <c r="B18" s="30" t="s">
        <v>8519</v>
      </c>
      <c r="C18" s="30" t="s">
        <v>32</v>
      </c>
      <c r="D18" s="30" t="s">
        <v>8540</v>
      </c>
      <c r="E18" s="30" t="s">
        <v>8541</v>
      </c>
    </row>
    <row r="19" customFormat="false" ht="15" hidden="false" customHeight="false" outlineLevel="0" collapsed="false">
      <c r="A19" s="30" t="n">
        <v>18</v>
      </c>
      <c r="B19" s="30" t="s">
        <v>8519</v>
      </c>
      <c r="C19" s="30" t="s">
        <v>33</v>
      </c>
      <c r="D19" s="30" t="s">
        <v>8542</v>
      </c>
      <c r="E19" s="30" t="s">
        <v>8543</v>
      </c>
    </row>
    <row r="20" customFormat="false" ht="15" hidden="false" customHeight="false" outlineLevel="0" collapsed="false">
      <c r="A20" s="30" t="n">
        <v>19</v>
      </c>
      <c r="B20" s="30" t="s">
        <v>8519</v>
      </c>
      <c r="C20" s="30" t="s">
        <v>34</v>
      </c>
      <c r="D20" s="30" t="s">
        <v>8544</v>
      </c>
      <c r="E20" s="30" t="s">
        <v>8545</v>
      </c>
    </row>
    <row r="21" customFormat="false" ht="15" hidden="false" customHeight="false" outlineLevel="0" collapsed="false">
      <c r="A21" s="30" t="n">
        <v>20</v>
      </c>
      <c r="B21" s="30" t="s">
        <v>8546</v>
      </c>
      <c r="C21" s="30" t="s">
        <v>36</v>
      </c>
      <c r="D21" s="30" t="s">
        <v>8547</v>
      </c>
      <c r="E21" s="30" t="s">
        <v>8548</v>
      </c>
    </row>
    <row r="22" customFormat="false" ht="15" hidden="false" customHeight="false" outlineLevel="0" collapsed="false">
      <c r="A22" s="30" t="n">
        <v>21</v>
      </c>
      <c r="B22" s="30" t="s">
        <v>8546</v>
      </c>
      <c r="C22" s="30" t="s">
        <v>37</v>
      </c>
      <c r="D22" s="30" t="s">
        <v>8549</v>
      </c>
      <c r="E22" s="30" t="s">
        <v>8550</v>
      </c>
    </row>
    <row r="23" customFormat="false" ht="15" hidden="false" customHeight="false" outlineLevel="0" collapsed="false">
      <c r="A23" s="30" t="n">
        <v>22</v>
      </c>
      <c r="B23" s="30" t="s">
        <v>8546</v>
      </c>
      <c r="C23" s="30" t="s">
        <v>38</v>
      </c>
      <c r="D23" s="30" t="s">
        <v>8551</v>
      </c>
      <c r="E23" s="30" t="s">
        <v>8552</v>
      </c>
    </row>
    <row r="24" customFormat="false" ht="15" hidden="false" customHeight="false" outlineLevel="0" collapsed="false">
      <c r="A24" s="30" t="n">
        <v>23</v>
      </c>
      <c r="B24" s="30" t="s">
        <v>8546</v>
      </c>
      <c r="C24" s="30" t="s">
        <v>39</v>
      </c>
      <c r="D24" s="30" t="s">
        <v>8553</v>
      </c>
      <c r="E24" s="30" t="s">
        <v>8554</v>
      </c>
    </row>
    <row r="25" customFormat="false" ht="15" hidden="false" customHeight="false" outlineLevel="0" collapsed="false">
      <c r="A25" s="30" t="n">
        <v>24</v>
      </c>
      <c r="B25" s="30" t="s">
        <v>8546</v>
      </c>
      <c r="C25" s="30" t="s">
        <v>40</v>
      </c>
      <c r="D25" s="30" t="s">
        <v>8555</v>
      </c>
      <c r="E25" s="30" t="s">
        <v>8556</v>
      </c>
    </row>
    <row r="26" customFormat="false" ht="15" hidden="false" customHeight="false" outlineLevel="0" collapsed="false">
      <c r="A26" s="30" t="n">
        <v>25</v>
      </c>
      <c r="B26" s="30" t="s">
        <v>8546</v>
      </c>
      <c r="C26" s="30" t="s">
        <v>41</v>
      </c>
      <c r="D26" s="30" t="s">
        <v>8557</v>
      </c>
      <c r="E26" s="30" t="s">
        <v>8558</v>
      </c>
    </row>
    <row r="27" customFormat="false" ht="15" hidden="false" customHeight="false" outlineLevel="0" collapsed="false">
      <c r="A27" s="30" t="n">
        <v>26</v>
      </c>
      <c r="B27" s="30" t="s">
        <v>8546</v>
      </c>
      <c r="C27" s="30" t="s">
        <v>42</v>
      </c>
      <c r="D27" s="30" t="s">
        <v>8559</v>
      </c>
      <c r="E27" s="30" t="s">
        <v>8560</v>
      </c>
    </row>
    <row r="28" customFormat="false" ht="15" hidden="false" customHeight="false" outlineLevel="0" collapsed="false">
      <c r="A28" s="30" t="n">
        <v>27</v>
      </c>
      <c r="B28" s="30" t="s">
        <v>8546</v>
      </c>
      <c r="C28" s="30" t="s">
        <v>43</v>
      </c>
      <c r="D28" s="30" t="s">
        <v>8561</v>
      </c>
      <c r="E28" s="30" t="s">
        <v>8562</v>
      </c>
    </row>
    <row r="29" customFormat="false" ht="15" hidden="false" customHeight="false" outlineLevel="0" collapsed="false">
      <c r="A29" s="30" t="n">
        <v>28</v>
      </c>
      <c r="B29" s="30" t="s">
        <v>8546</v>
      </c>
      <c r="C29" s="30" t="s">
        <v>44</v>
      </c>
      <c r="D29" s="30" t="s">
        <v>8563</v>
      </c>
      <c r="E29" s="30" t="s">
        <v>8564</v>
      </c>
    </row>
    <row r="30" customFormat="false" ht="15" hidden="false" customHeight="false" outlineLevel="0" collapsed="false">
      <c r="A30" s="30" t="n">
        <v>29</v>
      </c>
      <c r="B30" s="30" t="s">
        <v>8546</v>
      </c>
      <c r="C30" s="30" t="s">
        <v>45</v>
      </c>
      <c r="D30" s="30" t="s">
        <v>8565</v>
      </c>
      <c r="E30" s="30" t="s">
        <v>8566</v>
      </c>
    </row>
    <row r="31" customFormat="false" ht="15" hidden="false" customHeight="false" outlineLevel="0" collapsed="false">
      <c r="A31" s="30" t="n">
        <v>30</v>
      </c>
      <c r="B31" s="30" t="s">
        <v>8546</v>
      </c>
      <c r="C31" s="30" t="s">
        <v>46</v>
      </c>
      <c r="D31" s="30" t="s">
        <v>8567</v>
      </c>
      <c r="E31" s="30" t="s">
        <v>8568</v>
      </c>
    </row>
    <row r="32" customFormat="false" ht="15" hidden="false" customHeight="false" outlineLevel="0" collapsed="false">
      <c r="A32" s="30" t="n">
        <v>31</v>
      </c>
      <c r="B32" s="30" t="s">
        <v>8546</v>
      </c>
      <c r="C32" s="30" t="s">
        <v>47</v>
      </c>
      <c r="D32" s="30" t="s">
        <v>8569</v>
      </c>
      <c r="E32" s="30" t="s">
        <v>8570</v>
      </c>
    </row>
    <row r="33" customFormat="false" ht="15" hidden="false" customHeight="false" outlineLevel="0" collapsed="false">
      <c r="A33" s="30" t="n">
        <v>32</v>
      </c>
      <c r="B33" s="30" t="s">
        <v>8546</v>
      </c>
      <c r="C33" s="30" t="s">
        <v>48</v>
      </c>
      <c r="D33" s="30" t="s">
        <v>8571</v>
      </c>
      <c r="E33" s="30" t="s">
        <v>8570</v>
      </c>
    </row>
    <row r="34" customFormat="false" ht="15" hidden="false" customHeight="false" outlineLevel="0" collapsed="false">
      <c r="A34" s="30" t="n">
        <v>33</v>
      </c>
      <c r="B34" s="30" t="s">
        <v>8546</v>
      </c>
      <c r="C34" s="30" t="s">
        <v>49</v>
      </c>
      <c r="D34" s="30" t="s">
        <v>8572</v>
      </c>
      <c r="E34" s="30" t="s">
        <v>8573</v>
      </c>
    </row>
    <row r="35" customFormat="false" ht="15" hidden="false" customHeight="false" outlineLevel="0" collapsed="false">
      <c r="A35" s="30" t="n">
        <v>34</v>
      </c>
      <c r="B35" s="30" t="s">
        <v>8546</v>
      </c>
      <c r="C35" s="30" t="s">
        <v>50</v>
      </c>
      <c r="D35" s="30" t="s">
        <v>8574</v>
      </c>
      <c r="E35" s="30" t="s">
        <v>8575</v>
      </c>
    </row>
    <row r="36" customFormat="false" ht="15" hidden="false" customHeight="false" outlineLevel="0" collapsed="false">
      <c r="A36" s="30" t="n">
        <v>35</v>
      </c>
      <c r="B36" s="30" t="s">
        <v>8546</v>
      </c>
      <c r="C36" s="30" t="s">
        <v>51</v>
      </c>
      <c r="D36" s="30" t="s">
        <v>8576</v>
      </c>
      <c r="E36" s="30" t="s">
        <v>8577</v>
      </c>
    </row>
    <row r="37" customFormat="false" ht="15" hidden="false" customHeight="false" outlineLevel="0" collapsed="false">
      <c r="A37" s="30" t="n">
        <v>36</v>
      </c>
      <c r="B37" s="30" t="s">
        <v>8546</v>
      </c>
      <c r="C37" s="30" t="s">
        <v>52</v>
      </c>
      <c r="D37" s="30" t="s">
        <v>8578</v>
      </c>
      <c r="E37" s="30" t="s">
        <v>8579</v>
      </c>
    </row>
    <row r="38" customFormat="false" ht="26.85" hidden="false" customHeight="false" outlineLevel="0" collapsed="false">
      <c r="A38" s="30" t="n">
        <v>37</v>
      </c>
      <c r="B38" s="30" t="s">
        <v>8546</v>
      </c>
      <c r="C38" s="30" t="s">
        <v>53</v>
      </c>
      <c r="D38" s="30" t="s">
        <v>8580</v>
      </c>
      <c r="E38" s="30" t="s">
        <v>8581</v>
      </c>
    </row>
    <row r="39" customFormat="false" ht="15" hidden="false" customHeight="false" outlineLevel="0" collapsed="false">
      <c r="A39" s="30" t="n">
        <v>38</v>
      </c>
      <c r="B39" s="30" t="s">
        <v>8546</v>
      </c>
      <c r="C39" s="30" t="s">
        <v>54</v>
      </c>
      <c r="D39" s="30" t="s">
        <v>8582</v>
      </c>
      <c r="E39" s="30" t="s">
        <v>8583</v>
      </c>
    </row>
    <row r="40" customFormat="false" ht="15" hidden="false" customHeight="false" outlineLevel="0" collapsed="false">
      <c r="A40" s="30" t="n">
        <v>39</v>
      </c>
      <c r="B40" s="30" t="s">
        <v>8546</v>
      </c>
      <c r="C40" s="30" t="s">
        <v>55</v>
      </c>
      <c r="D40" s="30" t="s">
        <v>8584</v>
      </c>
      <c r="E40" s="30" t="s">
        <v>8585</v>
      </c>
    </row>
    <row r="41" customFormat="false" ht="15" hidden="false" customHeight="false" outlineLevel="0" collapsed="false">
      <c r="A41" s="30" t="n">
        <v>40</v>
      </c>
      <c r="B41" s="30" t="s">
        <v>8546</v>
      </c>
      <c r="C41" s="30" t="s">
        <v>56</v>
      </c>
      <c r="D41" s="30" t="s">
        <v>8586</v>
      </c>
      <c r="E41" s="30" t="s">
        <v>8587</v>
      </c>
    </row>
    <row r="42" customFormat="false" ht="15" hidden="false" customHeight="false" outlineLevel="0" collapsed="false">
      <c r="A42" s="30" t="n">
        <v>41</v>
      </c>
      <c r="B42" s="30" t="s">
        <v>8546</v>
      </c>
      <c r="C42" s="30" t="s">
        <v>57</v>
      </c>
      <c r="D42" s="30" t="s">
        <v>8588</v>
      </c>
      <c r="E42" s="30" t="s">
        <v>8589</v>
      </c>
    </row>
    <row r="43" customFormat="false" ht="15" hidden="false" customHeight="false" outlineLevel="0" collapsed="false">
      <c r="A43" s="30" t="n">
        <v>42</v>
      </c>
      <c r="B43" s="30" t="s">
        <v>8590</v>
      </c>
      <c r="C43" s="30" t="s">
        <v>59</v>
      </c>
      <c r="D43" s="30" t="s">
        <v>8591</v>
      </c>
      <c r="E43" s="30" t="s">
        <v>8592</v>
      </c>
    </row>
    <row r="44" customFormat="false" ht="15" hidden="false" customHeight="false" outlineLevel="0" collapsed="false">
      <c r="A44" s="30" t="n">
        <v>43</v>
      </c>
      <c r="B44" s="30" t="s">
        <v>8590</v>
      </c>
      <c r="C44" s="30" t="s">
        <v>60</v>
      </c>
      <c r="D44" s="30" t="s">
        <v>8593</v>
      </c>
      <c r="E44" s="30" t="s">
        <v>8594</v>
      </c>
    </row>
    <row r="45" customFormat="false" ht="15" hidden="false" customHeight="false" outlineLevel="0" collapsed="false">
      <c r="A45" s="30" t="n">
        <v>44</v>
      </c>
      <c r="B45" s="30" t="s">
        <v>8590</v>
      </c>
      <c r="C45" s="30" t="s">
        <v>61</v>
      </c>
      <c r="D45" s="30" t="s">
        <v>8595</v>
      </c>
      <c r="E45" s="30" t="s">
        <v>8596</v>
      </c>
    </row>
    <row r="46" customFormat="false" ht="15" hidden="false" customHeight="false" outlineLevel="0" collapsed="false">
      <c r="A46" s="30" t="n">
        <v>45</v>
      </c>
      <c r="B46" s="30" t="s">
        <v>8590</v>
      </c>
      <c r="C46" s="30" t="s">
        <v>62</v>
      </c>
      <c r="D46" s="30" t="s">
        <v>8597</v>
      </c>
      <c r="E46" s="30" t="s">
        <v>8598</v>
      </c>
    </row>
    <row r="47" customFormat="false" ht="15" hidden="false" customHeight="false" outlineLevel="0" collapsed="false">
      <c r="A47" s="30" t="n">
        <v>46</v>
      </c>
      <c r="B47" s="30" t="s">
        <v>8590</v>
      </c>
      <c r="C47" s="30" t="s">
        <v>63</v>
      </c>
      <c r="D47" s="30" t="s">
        <v>8599</v>
      </c>
      <c r="E47" s="30" t="s">
        <v>8600</v>
      </c>
    </row>
    <row r="48" customFormat="false" ht="15" hidden="false" customHeight="false" outlineLevel="0" collapsed="false">
      <c r="A48" s="30" t="n">
        <v>47</v>
      </c>
      <c r="B48" s="30" t="s">
        <v>8590</v>
      </c>
      <c r="C48" s="30" t="s">
        <v>64</v>
      </c>
      <c r="D48" s="30" t="s">
        <v>8601</v>
      </c>
      <c r="E48" s="30" t="s">
        <v>8602</v>
      </c>
    </row>
    <row r="49" customFormat="false" ht="15" hidden="false" customHeight="false" outlineLevel="0" collapsed="false">
      <c r="A49" s="30" t="n">
        <v>48</v>
      </c>
      <c r="B49" s="30" t="s">
        <v>8590</v>
      </c>
      <c r="C49" s="30" t="s">
        <v>65</v>
      </c>
      <c r="D49" s="30" t="s">
        <v>8603</v>
      </c>
      <c r="E49" s="30" t="s">
        <v>8604</v>
      </c>
    </row>
    <row r="50" customFormat="false" ht="15" hidden="false" customHeight="false" outlineLevel="0" collapsed="false">
      <c r="A50" s="30" t="n">
        <v>49</v>
      </c>
      <c r="B50" s="30" t="s">
        <v>8590</v>
      </c>
      <c r="C50" s="30" t="s">
        <v>66</v>
      </c>
      <c r="D50" s="30" t="s">
        <v>8605</v>
      </c>
      <c r="E50" s="30" t="s">
        <v>8606</v>
      </c>
    </row>
    <row r="51" customFormat="false" ht="15" hidden="false" customHeight="false" outlineLevel="0" collapsed="false">
      <c r="A51" s="30" t="n">
        <v>50</v>
      </c>
      <c r="B51" s="30" t="s">
        <v>8590</v>
      </c>
      <c r="C51" s="30" t="s">
        <v>67</v>
      </c>
      <c r="D51" s="30" t="s">
        <v>8607</v>
      </c>
      <c r="E51" s="30" t="s">
        <v>8608</v>
      </c>
    </row>
    <row r="52" customFormat="false" ht="15" hidden="false" customHeight="false" outlineLevel="0" collapsed="false">
      <c r="A52" s="30" t="n">
        <v>51</v>
      </c>
      <c r="B52" s="30" t="s">
        <v>8590</v>
      </c>
      <c r="C52" s="30" t="s">
        <v>68</v>
      </c>
      <c r="D52" s="30" t="s">
        <v>8609</v>
      </c>
      <c r="E52" s="30" t="s">
        <v>8610</v>
      </c>
    </row>
    <row r="53" customFormat="false" ht="15" hidden="false" customHeight="false" outlineLevel="0" collapsed="false">
      <c r="A53" s="30" t="n">
        <v>52</v>
      </c>
      <c r="B53" s="30" t="s">
        <v>8590</v>
      </c>
      <c r="C53" s="30" t="s">
        <v>69</v>
      </c>
      <c r="D53" s="30" t="s">
        <v>8611</v>
      </c>
      <c r="E53" s="30" t="s">
        <v>8612</v>
      </c>
    </row>
    <row r="54" customFormat="false" ht="15" hidden="false" customHeight="false" outlineLevel="0" collapsed="false">
      <c r="A54" s="30" t="n">
        <v>53</v>
      </c>
      <c r="B54" s="30" t="s">
        <v>8590</v>
      </c>
      <c r="C54" s="30" t="s">
        <v>70</v>
      </c>
      <c r="D54" s="30" t="s">
        <v>8613</v>
      </c>
      <c r="E54" s="30" t="s">
        <v>8614</v>
      </c>
    </row>
    <row r="55" customFormat="false" ht="15" hidden="false" customHeight="false" outlineLevel="0" collapsed="false">
      <c r="A55" s="30" t="n">
        <v>54</v>
      </c>
      <c r="B55" s="30" t="s">
        <v>8590</v>
      </c>
      <c r="C55" s="30" t="s">
        <v>71</v>
      </c>
      <c r="D55" s="30" t="s">
        <v>8615</v>
      </c>
      <c r="E55" s="30" t="s">
        <v>8616</v>
      </c>
    </row>
    <row r="56" customFormat="false" ht="15" hidden="false" customHeight="false" outlineLevel="0" collapsed="false">
      <c r="A56" s="30" t="n">
        <v>55</v>
      </c>
      <c r="B56" s="30" t="s">
        <v>8590</v>
      </c>
      <c r="C56" s="30" t="s">
        <v>72</v>
      </c>
      <c r="D56" s="30" t="s">
        <v>8617</v>
      </c>
      <c r="E56" s="30" t="s">
        <v>8618</v>
      </c>
    </row>
    <row r="57" customFormat="false" ht="15" hidden="false" customHeight="false" outlineLevel="0" collapsed="false">
      <c r="A57" s="30" t="n">
        <v>56</v>
      </c>
      <c r="B57" s="30" t="s">
        <v>8590</v>
      </c>
      <c r="C57" s="30" t="s">
        <v>73</v>
      </c>
      <c r="D57" s="30" t="s">
        <v>8619</v>
      </c>
      <c r="E57" s="30" t="s">
        <v>8620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5" min="2" style="0" width="12"/>
  </cols>
  <sheetData>
    <row r="1" customFormat="false" ht="17.35" hidden="false" customHeight="false" outlineLevel="0" collapsed="false">
      <c r="A1" s="4" t="s">
        <v>8621</v>
      </c>
    </row>
    <row r="3" customFormat="false" ht="15" hidden="false" customHeight="false" outlineLevel="0" collapsed="false">
      <c r="A3" s="26" t="s">
        <v>8622</v>
      </c>
      <c r="B3" s="26" t="s">
        <v>84</v>
      </c>
      <c r="C3" s="26" t="s">
        <v>2920</v>
      </c>
      <c r="D3" s="26" t="s">
        <v>5714</v>
      </c>
      <c r="E3" s="26" t="s">
        <v>8623</v>
      </c>
    </row>
    <row r="4" customFormat="false" ht="15" hidden="false" customHeight="false" outlineLevel="0" collapsed="false">
      <c r="A4" s="5" t="s">
        <v>8624</v>
      </c>
      <c r="B4" s="31" t="n">
        <f aca="false">COUNTA(Voice!$A$3:$A$500)</f>
        <v>60</v>
      </c>
      <c r="C4" s="31" t="n">
        <f aca="false">COUNTA(Chat!$A$3:$A$500)</f>
        <v>60</v>
      </c>
      <c r="D4" s="31" t="n">
        <f aca="false">COUNTA(Email!$A$3:$A$500)</f>
        <v>60</v>
      </c>
      <c r="E4" s="5" t="n">
        <f aca="false">SUM(B4:D4)</f>
        <v>180</v>
      </c>
    </row>
    <row r="5" customFormat="false" ht="15" hidden="false" customHeight="false" outlineLevel="0" collapsed="false">
      <c r="A5" s="31" t="s">
        <v>8625</v>
      </c>
      <c r="B5" s="31" t="n">
        <f aca="false">COUNTIF(Voice!$C$3:$C$500,"Basic")</f>
        <v>20</v>
      </c>
      <c r="C5" s="31" t="n">
        <f aca="false">COUNTIF(Chat!$C$3:$C$500,"Basic")</f>
        <v>20</v>
      </c>
      <c r="D5" s="31" t="n">
        <f aca="false">COUNTIF(Email!$C$3:$C$500,"Basic")</f>
        <v>20</v>
      </c>
      <c r="E5" s="5" t="n">
        <f aca="false">SUM(B5:D5)</f>
        <v>60</v>
      </c>
    </row>
    <row r="6" customFormat="false" ht="15" hidden="false" customHeight="false" outlineLevel="0" collapsed="false">
      <c r="A6" s="31" t="s">
        <v>8626</v>
      </c>
      <c r="B6" s="31" t="n">
        <f aca="false">COUNTIF(Voice!$C$3:$C$500,"Intermediate")</f>
        <v>20</v>
      </c>
      <c r="C6" s="31" t="n">
        <f aca="false">COUNTIF(Chat!$C$3:$C$500,"Intermediate")</f>
        <v>20</v>
      </c>
      <c r="D6" s="31" t="n">
        <f aca="false">COUNTIF(Email!$C$3:$C$500,"Intermediate")</f>
        <v>20</v>
      </c>
      <c r="E6" s="5" t="n">
        <f aca="false">SUM(B6:D6)</f>
        <v>60</v>
      </c>
    </row>
    <row r="7" customFormat="false" ht="15" hidden="false" customHeight="false" outlineLevel="0" collapsed="false">
      <c r="A7" s="31" t="s">
        <v>8627</v>
      </c>
      <c r="B7" s="31" t="n">
        <f aca="false">COUNTIF(Voice!$C$3:$C$500,"Advanced")</f>
        <v>20</v>
      </c>
      <c r="C7" s="31" t="n">
        <f aca="false">COUNTIF(Chat!$C$3:$C$500,"Advanced")</f>
        <v>20</v>
      </c>
      <c r="D7" s="31" t="n">
        <f aca="false">COUNTIF(Email!$C$3:$C$500,"Advanced")</f>
        <v>20</v>
      </c>
      <c r="E7" s="5" t="n">
        <f aca="false">SUM(B7:D7)</f>
        <v>60</v>
      </c>
    </row>
    <row r="8" customFormat="false" ht="15" hidden="false" customHeight="false" outlineLevel="0" collapsed="false">
      <c r="A8" s="31" t="s">
        <v>8628</v>
      </c>
      <c r="B8" s="31" t="n">
        <f aca="false">COUNTIF(Voice!$E$3:$E$500,"Say it")</f>
        <v>42</v>
      </c>
      <c r="C8" s="31" t="n">
        <f aca="false">COUNTIF(Chat!$E$3:$E$500,"Say it")</f>
        <v>42</v>
      </c>
      <c r="D8" s="31" t="n">
        <f aca="false">COUNTIF(Email!$E$3:$E$500,"Say it")</f>
        <v>42</v>
      </c>
      <c r="E8" s="5" t="n">
        <f aca="false">SUM(B8:D8)</f>
        <v>126</v>
      </c>
    </row>
    <row r="9" customFormat="false" ht="15" hidden="false" customHeight="false" outlineLevel="0" collapsed="false">
      <c r="A9" s="31" t="s">
        <v>8629</v>
      </c>
      <c r="B9" s="31" t="n">
        <f aca="false">COUNTIF(Voice!$E$3:$E$500,"Understand it")</f>
        <v>18</v>
      </c>
      <c r="C9" s="31" t="n">
        <f aca="false">COUNTIF(Chat!$E$3:$E$500,"Understand it")</f>
        <v>18</v>
      </c>
      <c r="D9" s="31" t="n">
        <f aca="false">COUNTIF(Email!$E$3:$E$500,"Understand it")</f>
        <v>18</v>
      </c>
      <c r="E9" s="5" t="n">
        <f aca="false">SUM(B9:D9)</f>
        <v>54</v>
      </c>
    </row>
    <row r="10" customFormat="false" ht="15" hidden="false" customHeight="false" outlineLevel="0" collapsed="false">
      <c r="A10" s="31" t="s">
        <v>8630</v>
      </c>
      <c r="B10" s="31" t="n">
        <f aca="false">COUNTIF(Voice!$F$3:$F$500,"Apologise")</f>
        <v>3</v>
      </c>
      <c r="C10" s="31" t="n">
        <f aca="false">COUNTIF(Chat!$F$3:$F$500,"Apologise")</f>
        <v>4</v>
      </c>
      <c r="D10" s="31" t="n">
        <f aca="false">COUNTIF(Email!$F$3:$F$500,"Apologise")</f>
        <v>6</v>
      </c>
      <c r="E10" s="5" t="n">
        <f aca="false">SUM(B10:D10)</f>
        <v>13</v>
      </c>
    </row>
    <row r="11" customFormat="false" ht="15" hidden="false" customHeight="false" outlineLevel="0" collapsed="false">
      <c r="A11" s="31" t="s">
        <v>8631</v>
      </c>
      <c r="B11" s="31" t="n">
        <f aca="false">COUNTIF(Voice!$F$3:$F$500,"Close")</f>
        <v>5</v>
      </c>
      <c r="C11" s="31" t="n">
        <f aca="false">COUNTIF(Chat!$F$3:$F$500,"Close")</f>
        <v>10</v>
      </c>
      <c r="D11" s="31" t="n">
        <f aca="false">COUNTIF(Email!$F$3:$F$500,"Close")</f>
        <v>9</v>
      </c>
      <c r="E11" s="5" t="n">
        <f aca="false">SUM(B11:D11)</f>
        <v>24</v>
      </c>
    </row>
    <row r="12" customFormat="false" ht="15" hidden="false" customHeight="false" outlineLevel="0" collapsed="false">
      <c r="A12" s="31" t="s">
        <v>8632</v>
      </c>
      <c r="B12" s="31" t="n">
        <f aca="false">COUNTIF(Voice!$F$3:$F$500,"Difficult customer")</f>
        <v>12</v>
      </c>
      <c r="C12" s="31" t="n">
        <f aca="false">COUNTIF(Chat!$F$3:$F$500,"Difficult customer")</f>
        <v>14</v>
      </c>
      <c r="D12" s="31" t="n">
        <f aca="false">COUNTIF(Email!$F$3:$F$500,"Difficult customer")</f>
        <v>6</v>
      </c>
      <c r="E12" s="5" t="n">
        <f aca="false">SUM(B12:D12)</f>
        <v>32</v>
      </c>
    </row>
    <row r="13" customFormat="false" ht="15" hidden="false" customHeight="false" outlineLevel="0" collapsed="false">
      <c r="A13" s="31" t="s">
        <v>8633</v>
      </c>
      <c r="B13" s="31" t="n">
        <f aca="false">COUNTIF(Voice!$F$3:$F$500,"Escalate")</f>
        <v>2</v>
      </c>
      <c r="C13" s="31" t="n">
        <f aca="false">COUNTIF(Chat!$F$3:$F$500,"Escalate")</f>
        <v>0</v>
      </c>
      <c r="D13" s="31" t="n">
        <f aca="false">COUNTIF(Email!$F$3:$F$500,"Escalate")</f>
        <v>4</v>
      </c>
      <c r="E13" s="5" t="n">
        <f aca="false">SUM(B13:D13)</f>
        <v>6</v>
      </c>
    </row>
    <row r="14" customFormat="false" ht="15" hidden="false" customHeight="false" outlineLevel="0" collapsed="false">
      <c r="A14" s="31" t="s">
        <v>8634</v>
      </c>
      <c r="B14" s="31" t="n">
        <f aca="false">COUNTIF(Voice!$F$3:$F$500,"Explain")</f>
        <v>6</v>
      </c>
      <c r="C14" s="31" t="n">
        <f aca="false">COUNTIF(Chat!$F$3:$F$500,"Explain")</f>
        <v>5</v>
      </c>
      <c r="D14" s="31" t="n">
        <f aca="false">COUNTIF(Email!$F$3:$F$500,"Explain")</f>
        <v>5</v>
      </c>
      <c r="E14" s="5" t="n">
        <f aca="false">SUM(B14:D14)</f>
        <v>16</v>
      </c>
    </row>
    <row r="15" customFormat="false" ht="15" hidden="false" customHeight="false" outlineLevel="0" collapsed="false">
      <c r="A15" s="31" t="s">
        <v>8635</v>
      </c>
      <c r="B15" s="31" t="n">
        <f aca="false">COUNTIF(Voice!$F$3:$F$500,"Follow-up")</f>
        <v>0</v>
      </c>
      <c r="C15" s="31" t="n">
        <f aca="false">COUNTIF(Chat!$F$3:$F$500,"Follow-up")</f>
        <v>3</v>
      </c>
      <c r="D15" s="31" t="n">
        <f aca="false">COUNTIF(Email!$F$3:$F$500,"Follow-up")</f>
        <v>6</v>
      </c>
      <c r="E15" s="5" t="n">
        <f aca="false">SUM(B15:D15)</f>
        <v>9</v>
      </c>
    </row>
    <row r="16" customFormat="false" ht="15" hidden="false" customHeight="false" outlineLevel="0" collapsed="false">
      <c r="A16" s="31" t="s">
        <v>8636</v>
      </c>
      <c r="B16" s="31" t="n">
        <f aca="false">COUNTIF(Voice!$F$3:$F$500,"Hold &amp; check")</f>
        <v>5</v>
      </c>
      <c r="C16" s="31" t="n">
        <f aca="false">COUNTIF(Chat!$F$3:$F$500,"Hold &amp; check")</f>
        <v>3</v>
      </c>
      <c r="D16" s="31" t="n">
        <f aca="false">COUNTIF(Email!$F$3:$F$500,"Hold &amp; check")</f>
        <v>0</v>
      </c>
      <c r="E16" s="5" t="n">
        <f aca="false">SUM(B16:D16)</f>
        <v>8</v>
      </c>
    </row>
    <row r="17" customFormat="false" ht="15" hidden="false" customHeight="false" outlineLevel="0" collapsed="false">
      <c r="A17" s="31" t="s">
        <v>8637</v>
      </c>
      <c r="B17" s="31" t="n">
        <f aca="false">COUNTIF(Voice!$F$3:$F$500,"Listen &amp; clarify")</f>
        <v>9</v>
      </c>
      <c r="C17" s="31" t="n">
        <f aca="false">COUNTIF(Chat!$F$3:$F$500,"Listen &amp; clarify")</f>
        <v>5</v>
      </c>
      <c r="D17" s="31" t="n">
        <f aca="false">COUNTIF(Email!$F$3:$F$500,"Listen &amp; clarify")</f>
        <v>7</v>
      </c>
      <c r="E17" s="5" t="n">
        <f aca="false">SUM(B17:D17)</f>
        <v>21</v>
      </c>
    </row>
    <row r="18" customFormat="false" ht="15" hidden="false" customHeight="false" outlineLevel="0" collapsed="false">
      <c r="A18" s="31" t="s">
        <v>8638</v>
      </c>
      <c r="B18" s="31" t="n">
        <f aca="false">COUNTIF(Voice!$F$3:$F$500,"Opening")</f>
        <v>4</v>
      </c>
      <c r="C18" s="31" t="n">
        <f aca="false">COUNTIF(Chat!$F$3:$F$500,"Opening")</f>
        <v>4</v>
      </c>
      <c r="D18" s="31" t="n">
        <f aca="false">COUNTIF(Email!$F$3:$F$500,"Opening")</f>
        <v>6</v>
      </c>
      <c r="E18" s="5" t="n">
        <f aca="false">SUM(B18:D18)</f>
        <v>14</v>
      </c>
    </row>
    <row r="19" customFormat="false" ht="15" hidden="false" customHeight="false" outlineLevel="0" collapsed="false">
      <c r="A19" s="31" t="s">
        <v>8639</v>
      </c>
      <c r="B19" s="31" t="n">
        <f aca="false">COUNTIF(Voice!$F$3:$F$500,"Say no politely")</f>
        <v>3</v>
      </c>
      <c r="C19" s="31" t="n">
        <f aca="false">COUNTIF(Chat!$F$3:$F$500,"Say no politely")</f>
        <v>3</v>
      </c>
      <c r="D19" s="31" t="n">
        <f aca="false">COUNTIF(Email!$F$3:$F$500,"Say no politely")</f>
        <v>2</v>
      </c>
      <c r="E19" s="5" t="n">
        <f aca="false">SUM(B19:D19)</f>
        <v>8</v>
      </c>
    </row>
    <row r="20" customFormat="false" ht="15" hidden="false" customHeight="false" outlineLevel="0" collapsed="false">
      <c r="A20" s="31" t="s">
        <v>8640</v>
      </c>
      <c r="B20" s="31" t="n">
        <f aca="false">COUNTIF(Voice!$F$3:$F$500,"Set expectations")</f>
        <v>5</v>
      </c>
      <c r="C20" s="31" t="n">
        <f aca="false">COUNTIF(Chat!$F$3:$F$500,"Set expectations")</f>
        <v>4</v>
      </c>
      <c r="D20" s="31" t="n">
        <f aca="false">COUNTIF(Email!$F$3:$F$500,"Set expectations")</f>
        <v>7</v>
      </c>
      <c r="E20" s="5" t="n">
        <f aca="false">SUM(B20:D20)</f>
        <v>16</v>
      </c>
    </row>
    <row r="21" customFormat="false" ht="15" hidden="false" customHeight="false" outlineLevel="0" collapsed="false">
      <c r="A21" s="31" t="s">
        <v>8641</v>
      </c>
      <c r="B21" s="31" t="n">
        <f aca="false">COUNTIF(Voice!$F$3:$F$500,"Transfer")</f>
        <v>1</v>
      </c>
      <c r="C21" s="31" t="n">
        <f aca="false">COUNTIF(Chat!$F$3:$F$500,"Transfer")</f>
        <v>2</v>
      </c>
      <c r="D21" s="31" t="n">
        <f aca="false">COUNTIF(Email!$F$3:$F$500,"Transfer")</f>
        <v>0</v>
      </c>
      <c r="E21" s="5" t="n">
        <f aca="false">SUM(B21:D21)</f>
        <v>3</v>
      </c>
    </row>
    <row r="22" customFormat="false" ht="15" hidden="false" customHeight="false" outlineLevel="0" collapsed="false">
      <c r="A22" s="31" t="s">
        <v>8642</v>
      </c>
      <c r="B22" s="31" t="n">
        <f aca="false">COUNTIF(Voice!$F$3:$F$500,"Verify")</f>
        <v>5</v>
      </c>
      <c r="C22" s="31" t="n">
        <f aca="false">COUNTIF(Chat!$F$3:$F$500,"Verify")</f>
        <v>3</v>
      </c>
      <c r="D22" s="31" t="n">
        <f aca="false">COUNTIF(Email!$F$3:$F$500,"Verify")</f>
        <v>2</v>
      </c>
      <c r="E22" s="5" t="n">
        <f aca="false">SUM(B22:D22)</f>
        <v>10</v>
      </c>
    </row>
    <row r="23" customFormat="false" ht="15" hidden="false" customHeight="false" outlineLevel="0" collapsed="false">
      <c r="A23" s="31" t="s">
        <v>8643</v>
      </c>
      <c r="B23" s="31" t="n">
        <f aca="false">COUNTIF(Voice!$D$3:$D$500,"A2")</f>
        <v>16</v>
      </c>
      <c r="C23" s="31" t="n">
        <f aca="false">COUNTIF(Chat!$D$3:$D$500,"A2")</f>
        <v>17</v>
      </c>
      <c r="D23" s="31" t="n">
        <f aca="false">COUNTIF(Email!$D$3:$D$500,"A2")</f>
        <v>20</v>
      </c>
      <c r="E23" s="5" t="n">
        <f aca="false">SUM(B23:D23)</f>
        <v>53</v>
      </c>
    </row>
    <row r="24" customFormat="false" ht="15" hidden="false" customHeight="false" outlineLevel="0" collapsed="false">
      <c r="A24" s="31" t="s">
        <v>8644</v>
      </c>
      <c r="B24" s="31" t="n">
        <f aca="false">COUNTIF(Voice!$D$3:$D$500,"B1")</f>
        <v>20</v>
      </c>
      <c r="C24" s="31" t="n">
        <f aca="false">COUNTIF(Chat!$D$3:$D$500,"B1")</f>
        <v>15</v>
      </c>
      <c r="D24" s="31" t="n">
        <f aca="false">COUNTIF(Email!$D$3:$D$500,"B1")</f>
        <v>15</v>
      </c>
      <c r="E24" s="5" t="n">
        <f aca="false">SUM(B24:D24)</f>
        <v>50</v>
      </c>
    </row>
    <row r="25" customFormat="false" ht="15" hidden="false" customHeight="false" outlineLevel="0" collapsed="false">
      <c r="A25" s="31" t="s">
        <v>8645</v>
      </c>
      <c r="B25" s="31" t="n">
        <f aca="false">COUNTIF(Voice!$D$3:$D$500,"B2")</f>
        <v>16</v>
      </c>
      <c r="C25" s="31" t="n">
        <f aca="false">COUNTIF(Chat!$D$3:$D$500,"B2")</f>
        <v>19</v>
      </c>
      <c r="D25" s="31" t="n">
        <f aca="false">COUNTIF(Email!$D$3:$D$500,"B2")</f>
        <v>13</v>
      </c>
      <c r="E25" s="5" t="n">
        <f aca="false">SUM(B25:D25)</f>
        <v>48</v>
      </c>
    </row>
    <row r="26" customFormat="false" ht="15" hidden="false" customHeight="false" outlineLevel="0" collapsed="false">
      <c r="A26" s="31" t="s">
        <v>8646</v>
      </c>
      <c r="B26" s="31" t="n">
        <f aca="false">COUNTIF(Voice!$D$3:$D$500,"C1")</f>
        <v>8</v>
      </c>
      <c r="C26" s="31" t="n">
        <f aca="false">COUNTIF(Chat!$D$3:$D$500,"C1")</f>
        <v>9</v>
      </c>
      <c r="D26" s="31" t="n">
        <f aca="false">COUNTIF(Email!$D$3:$D$500,"C1")</f>
        <v>12</v>
      </c>
      <c r="E26" s="5" t="n">
        <f aca="false">SUM(B26:D26)</f>
        <v>29</v>
      </c>
    </row>
    <row r="27" customFormat="false" ht="15" hidden="false" customHeight="false" outlineLevel="0" collapsed="false">
      <c r="A27" s="31" t="s">
        <v>8647</v>
      </c>
      <c r="B27" s="31" t="n">
        <f aca="false">COUNTIF(Voice!$BE$3:$BE$500,"Known")</f>
        <v>0</v>
      </c>
      <c r="C27" s="31" t="n">
        <f aca="false">COUNTIF(Chat!$BE$3:$BE$500,"Known")</f>
        <v>0</v>
      </c>
      <c r="D27" s="31" t="n">
        <f aca="false">COUNTIF(Email!$BE$3:$BE$500,"Known")</f>
        <v>0</v>
      </c>
      <c r="E27" s="5" t="n">
        <f aca="false">SUM(B27:D27)</f>
        <v>0</v>
      </c>
    </row>
    <row r="28" customFormat="false" ht="15" hidden="false" customHeight="false" outlineLevel="0" collapsed="false">
      <c r="A28" s="31" t="s">
        <v>8648</v>
      </c>
      <c r="B28" s="31" t="n">
        <f aca="false">COUNTIF(Voice!$BE$3:$BE$500,"Learning")</f>
        <v>0</v>
      </c>
      <c r="C28" s="31" t="n">
        <f aca="false">COUNTIF(Chat!$BE$3:$BE$500,"Learning")</f>
        <v>0</v>
      </c>
      <c r="D28" s="31" t="n">
        <f aca="false">COUNTIF(Email!$BE$3:$BE$500,"Learning")</f>
        <v>0</v>
      </c>
      <c r="E28" s="5" t="n">
        <f aca="false">SUM(B28:D28)</f>
        <v>0</v>
      </c>
    </row>
    <row r="29" customFormat="false" ht="15" hidden="false" customHeight="false" outlineLevel="0" collapsed="false">
      <c r="A29" s="31" t="s">
        <v>8649</v>
      </c>
      <c r="B29" s="31" t="n">
        <f aca="false">COUNTIF(Voice!$BE$3:$BE$500,"Unknown")</f>
        <v>0</v>
      </c>
      <c r="C29" s="31" t="n">
        <f aca="false">COUNTIF(Chat!$BE$3:$BE$500,"Unknown")</f>
        <v>0</v>
      </c>
      <c r="D29" s="31" t="n">
        <f aca="false">COUNTIF(Email!$BE$3:$BE$500,"Unknown")</f>
        <v>0</v>
      </c>
      <c r="E29" s="5" t="n">
        <f aca="false">SUM(B29:D29)</f>
        <v>0</v>
      </c>
    </row>
    <row r="30" customFormat="false" ht="15" hidden="false" customHeight="false" outlineLevel="0" collapsed="false">
      <c r="A30" s="31" t="s">
        <v>8650</v>
      </c>
      <c r="B30" s="31" t="n">
        <f aca="false">COUNTIF(Voice!$BE$3:$BE$500,"Fix")</f>
        <v>0</v>
      </c>
      <c r="C30" s="31" t="n">
        <f aca="false">COUNTIF(Chat!$BE$3:$BE$500,"Fix")</f>
        <v>0</v>
      </c>
      <c r="D30" s="31" t="n">
        <f aca="false">COUNTIF(Email!$BE$3:$BE$500,"Fix")</f>
        <v>0</v>
      </c>
      <c r="E30" s="5" t="n">
        <f aca="false">SUM(B30:D30)</f>
        <v>0</v>
      </c>
    </row>
    <row r="32" customFormat="false" ht="15" hidden="false" customHeight="false" outlineLevel="0" collapsed="false">
      <c r="A32" s="32" t="s">
        <v>8651</v>
      </c>
    </row>
    <row r="33" customFormat="false" ht="15" hidden="false" customHeight="false" outlineLevel="0" collapsed="false">
      <c r="A33" s="31" t="s">
        <v>8652</v>
      </c>
      <c r="B33" s="31" t="n">
        <v>0</v>
      </c>
    </row>
    <row r="34" customFormat="false" ht="15" hidden="false" customHeight="false" outlineLevel="0" collapsed="false">
      <c r="A34" s="31" t="s">
        <v>8653</v>
      </c>
      <c r="B34" s="31"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00"/>
  </cols>
  <sheetData>
    <row r="1" customFormat="false" ht="15" hidden="false" customHeight="false" outlineLevel="0" collapsed="false">
      <c r="A1" s="26" t="s">
        <v>8654</v>
      </c>
      <c r="B1" s="26" t="s">
        <v>8655</v>
      </c>
    </row>
    <row r="2" customFormat="false" ht="15" hidden="false" customHeight="false" outlineLevel="0" collapsed="false">
      <c r="A2" s="31" t="s">
        <v>8656</v>
      </c>
      <c r="B2" s="33" t="s">
        <v>8657</v>
      </c>
    </row>
    <row r="3" customFormat="false" ht="15" hidden="false" customHeight="false" outlineLevel="0" collapsed="false">
      <c r="A3" s="31" t="s">
        <v>8656</v>
      </c>
      <c r="B3" s="33" t="s">
        <v>8658</v>
      </c>
    </row>
    <row r="4" customFormat="false" ht="15" hidden="false" customHeight="false" outlineLevel="0" collapsed="false">
      <c r="A4" s="31" t="s">
        <v>8656</v>
      </c>
      <c r="B4" s="33" t="s">
        <v>8659</v>
      </c>
    </row>
    <row r="5" customFormat="false" ht="15" hidden="false" customHeight="false" outlineLevel="0" collapsed="false">
      <c r="A5" s="31" t="s">
        <v>8656</v>
      </c>
      <c r="B5" s="33" t="s">
        <v>8660</v>
      </c>
    </row>
    <row r="6" customFormat="false" ht="15" hidden="false" customHeight="false" outlineLevel="0" collapsed="false">
      <c r="A6" s="31" t="s">
        <v>8656</v>
      </c>
      <c r="B6" s="33" t="s">
        <v>8661</v>
      </c>
    </row>
    <row r="7" customFormat="false" ht="15" hidden="false" customHeight="false" outlineLevel="0" collapsed="false">
      <c r="A7" s="31" t="s">
        <v>8656</v>
      </c>
      <c r="B7" s="33" t="s">
        <v>8662</v>
      </c>
    </row>
    <row r="8" customFormat="false" ht="15" hidden="false" customHeight="false" outlineLevel="0" collapsed="false">
      <c r="A8" s="31" t="s">
        <v>8656</v>
      </c>
      <c r="B8" s="33" t="s">
        <v>8663</v>
      </c>
    </row>
    <row r="9" customFormat="false" ht="15" hidden="false" customHeight="false" outlineLevel="0" collapsed="false">
      <c r="A9" s="31" t="s">
        <v>8656</v>
      </c>
      <c r="B9" s="33" t="s">
        <v>8664</v>
      </c>
    </row>
    <row r="10" customFormat="false" ht="15" hidden="false" customHeight="false" outlineLevel="0" collapsed="false">
      <c r="A10" s="31" t="s">
        <v>8656</v>
      </c>
      <c r="B10" s="33" t="s">
        <v>8665</v>
      </c>
    </row>
    <row r="11" customFormat="false" ht="15" hidden="false" customHeight="false" outlineLevel="0" collapsed="false">
      <c r="A11" s="31" t="s">
        <v>8656</v>
      </c>
      <c r="B11" s="33" t="s">
        <v>8666</v>
      </c>
    </row>
    <row r="12" customFormat="false" ht="15" hidden="false" customHeight="false" outlineLevel="0" collapsed="false">
      <c r="A12" s="31" t="s">
        <v>8656</v>
      </c>
      <c r="B12" s="33" t="s">
        <v>8667</v>
      </c>
    </row>
    <row r="13" customFormat="false" ht="15" hidden="false" customHeight="false" outlineLevel="0" collapsed="false">
      <c r="A13" s="31" t="s">
        <v>8656</v>
      </c>
      <c r="B13" s="33" t="s">
        <v>8668</v>
      </c>
    </row>
    <row r="14" customFormat="false" ht="15" hidden="false" customHeight="false" outlineLevel="0" collapsed="false">
      <c r="A14" s="31" t="s">
        <v>8656</v>
      </c>
      <c r="B14" s="33" t="s">
        <v>8669</v>
      </c>
    </row>
    <row r="15" customFormat="false" ht="15" hidden="false" customHeight="false" outlineLevel="0" collapsed="false">
      <c r="A15" s="31" t="s">
        <v>8656</v>
      </c>
      <c r="B15" s="33" t="s">
        <v>8670</v>
      </c>
    </row>
    <row r="16" customFormat="false" ht="15" hidden="false" customHeight="false" outlineLevel="0" collapsed="false">
      <c r="A16" s="31" t="s">
        <v>8656</v>
      </c>
      <c r="B16" s="33" t="s">
        <v>8671</v>
      </c>
    </row>
    <row r="17" customFormat="false" ht="15" hidden="false" customHeight="false" outlineLevel="0" collapsed="false">
      <c r="A17" s="31" t="s">
        <v>8656</v>
      </c>
      <c r="B17" s="33" t="s">
        <v>8672</v>
      </c>
    </row>
    <row r="18" customFormat="false" ht="15" hidden="false" customHeight="false" outlineLevel="0" collapsed="false">
      <c r="A18" s="31" t="s">
        <v>8656</v>
      </c>
      <c r="B18" s="33" t="s">
        <v>8673</v>
      </c>
    </row>
    <row r="19" customFormat="false" ht="15" hidden="false" customHeight="false" outlineLevel="0" collapsed="false">
      <c r="A19" s="31" t="s">
        <v>8656</v>
      </c>
      <c r="B19" s="33" t="s">
        <v>8674</v>
      </c>
    </row>
    <row r="20" customFormat="false" ht="15" hidden="false" customHeight="false" outlineLevel="0" collapsed="false">
      <c r="A20" s="31" t="s">
        <v>8656</v>
      </c>
      <c r="B20" s="33" t="s">
        <v>8675</v>
      </c>
    </row>
    <row r="21" customFormat="false" ht="15" hidden="false" customHeight="false" outlineLevel="0" collapsed="false">
      <c r="A21" s="31" t="s">
        <v>8656</v>
      </c>
      <c r="B21" s="33" t="s">
        <v>8676</v>
      </c>
    </row>
    <row r="22" customFormat="false" ht="15" hidden="false" customHeight="false" outlineLevel="0" collapsed="false">
      <c r="A22" s="31" t="s">
        <v>8656</v>
      </c>
      <c r="B22" s="33" t="s">
        <v>8677</v>
      </c>
    </row>
    <row r="23" customFormat="false" ht="15" hidden="false" customHeight="false" outlineLevel="0" collapsed="false">
      <c r="A23" s="31" t="s">
        <v>8656</v>
      </c>
      <c r="B23" s="33" t="s">
        <v>8678</v>
      </c>
    </row>
    <row r="24" customFormat="false" ht="15" hidden="false" customHeight="false" outlineLevel="0" collapsed="false">
      <c r="A24" s="31" t="s">
        <v>8656</v>
      </c>
      <c r="B24" s="33" t="s">
        <v>8679</v>
      </c>
    </row>
    <row r="25" customFormat="false" ht="15" hidden="false" customHeight="false" outlineLevel="0" collapsed="false">
      <c r="A25" s="31" t="s">
        <v>8656</v>
      </c>
      <c r="B25" s="33" t="s">
        <v>8680</v>
      </c>
    </row>
    <row r="26" customFormat="false" ht="15" hidden="false" customHeight="false" outlineLevel="0" collapsed="false">
      <c r="A26" s="31" t="s">
        <v>8656</v>
      </c>
      <c r="B26" s="33" t="s">
        <v>8681</v>
      </c>
    </row>
    <row r="27" customFormat="false" ht="15" hidden="false" customHeight="false" outlineLevel="0" collapsed="false">
      <c r="A27" s="31" t="s">
        <v>8656</v>
      </c>
      <c r="B27" s="33" t="s">
        <v>8682</v>
      </c>
    </row>
    <row r="28" customFormat="false" ht="15" hidden="false" customHeight="false" outlineLevel="0" collapsed="false">
      <c r="A28" s="31" t="s">
        <v>8656</v>
      </c>
      <c r="B28" s="33" t="s">
        <v>8683</v>
      </c>
    </row>
    <row r="29" customFormat="false" ht="15" hidden="false" customHeight="false" outlineLevel="0" collapsed="false">
      <c r="A29" s="31" t="s">
        <v>8656</v>
      </c>
      <c r="B29" s="33" t="s">
        <v>8684</v>
      </c>
    </row>
    <row r="30" customFormat="false" ht="15" hidden="false" customHeight="false" outlineLevel="0" collapsed="false">
      <c r="A30" s="31" t="s">
        <v>8656</v>
      </c>
      <c r="B30" s="33" t="s">
        <v>8685</v>
      </c>
    </row>
    <row r="31" customFormat="false" ht="15" hidden="false" customHeight="false" outlineLevel="0" collapsed="false">
      <c r="A31" s="31" t="s">
        <v>8656</v>
      </c>
      <c r="B31" s="33" t="s">
        <v>8686</v>
      </c>
    </row>
    <row r="32" customFormat="false" ht="15" hidden="false" customHeight="false" outlineLevel="0" collapsed="false">
      <c r="A32" s="31" t="s">
        <v>8656</v>
      </c>
      <c r="B32" s="33" t="s">
        <v>8687</v>
      </c>
    </row>
    <row r="33" customFormat="false" ht="15" hidden="false" customHeight="false" outlineLevel="0" collapsed="false">
      <c r="A33" s="31" t="s">
        <v>8656</v>
      </c>
      <c r="B33" s="33" t="s">
        <v>8688</v>
      </c>
    </row>
    <row r="34" customFormat="false" ht="15" hidden="false" customHeight="false" outlineLevel="0" collapsed="false">
      <c r="A34" s="31" t="s">
        <v>8656</v>
      </c>
      <c r="B34" s="33" t="s">
        <v>8689</v>
      </c>
    </row>
    <row r="35" customFormat="false" ht="15" hidden="false" customHeight="false" outlineLevel="0" collapsed="false">
      <c r="A35" s="31" t="s">
        <v>8656</v>
      </c>
      <c r="B35" s="33" t="s">
        <v>8690</v>
      </c>
    </row>
    <row r="36" customFormat="false" ht="15" hidden="false" customHeight="false" outlineLevel="0" collapsed="false">
      <c r="A36" s="31" t="s">
        <v>8656</v>
      </c>
      <c r="B36" s="33" t="s">
        <v>8691</v>
      </c>
    </row>
    <row r="37" customFormat="false" ht="15" hidden="false" customHeight="false" outlineLevel="0" collapsed="false">
      <c r="A37" s="31" t="s">
        <v>8656</v>
      </c>
      <c r="B37" s="33" t="s">
        <v>8692</v>
      </c>
    </row>
    <row r="38" customFormat="false" ht="15" hidden="false" customHeight="false" outlineLevel="0" collapsed="false">
      <c r="A38" s="31" t="s">
        <v>8656</v>
      </c>
      <c r="B38" s="33" t="s">
        <v>8693</v>
      </c>
    </row>
    <row r="39" customFormat="false" ht="15" hidden="false" customHeight="false" outlineLevel="0" collapsed="false">
      <c r="A39" s="31" t="s">
        <v>8656</v>
      </c>
      <c r="B39" s="33" t="s">
        <v>8694</v>
      </c>
    </row>
    <row r="40" customFormat="false" ht="15" hidden="false" customHeight="false" outlineLevel="0" collapsed="false">
      <c r="A40" s="31" t="s">
        <v>8695</v>
      </c>
      <c r="B40" s="33" t="s">
        <v>8696</v>
      </c>
    </row>
    <row r="41" customFormat="false" ht="15" hidden="false" customHeight="false" outlineLevel="0" collapsed="false">
      <c r="A41" s="31" t="s">
        <v>8697</v>
      </c>
      <c r="B41" s="33" t="s">
        <v>8698</v>
      </c>
    </row>
    <row r="42" customFormat="false" ht="15" hidden="false" customHeight="false" outlineLevel="0" collapsed="false">
      <c r="A42" s="31" t="s">
        <v>8656</v>
      </c>
      <c r="B42" s="33" t="s">
        <v>8699</v>
      </c>
    </row>
    <row r="43" customFormat="false" ht="15" hidden="false" customHeight="false" outlineLevel="0" collapsed="false">
      <c r="A43" s="31" t="s">
        <v>8656</v>
      </c>
      <c r="B43" s="33" t="s">
        <v>8700</v>
      </c>
    </row>
    <row r="44" customFormat="false" ht="15" hidden="false" customHeight="false" outlineLevel="0" collapsed="false">
      <c r="A44" s="31" t="s">
        <v>8656</v>
      </c>
      <c r="B44" s="33" t="s">
        <v>8701</v>
      </c>
    </row>
    <row r="45" customFormat="false" ht="15" hidden="false" customHeight="false" outlineLevel="0" collapsed="false">
      <c r="A45" s="31" t="s">
        <v>8656</v>
      </c>
      <c r="B45" s="33" t="s">
        <v>8702</v>
      </c>
    </row>
    <row r="46" customFormat="false" ht="15" hidden="false" customHeight="false" outlineLevel="0" collapsed="false">
      <c r="A46" s="31" t="s">
        <v>8656</v>
      </c>
      <c r="B46" s="33" t="s">
        <v>8703</v>
      </c>
    </row>
    <row r="47" customFormat="false" ht="15" hidden="false" customHeight="false" outlineLevel="0" collapsed="false">
      <c r="A47" s="31" t="s">
        <v>8656</v>
      </c>
      <c r="B47" s="33" t="s">
        <v>8704</v>
      </c>
    </row>
    <row r="48" customFormat="false" ht="15" hidden="false" customHeight="false" outlineLevel="0" collapsed="false">
      <c r="A48" s="31" t="s">
        <v>8656</v>
      </c>
      <c r="B48" s="33" t="s">
        <v>8705</v>
      </c>
    </row>
    <row r="49" customFormat="false" ht="15" hidden="false" customHeight="false" outlineLevel="0" collapsed="false">
      <c r="A49" s="31" t="s">
        <v>8656</v>
      </c>
      <c r="B49" s="33" t="s">
        <v>8706</v>
      </c>
    </row>
    <row r="50" customFormat="false" ht="15" hidden="false" customHeight="false" outlineLevel="0" collapsed="false">
      <c r="A50" s="31" t="s">
        <v>8656</v>
      </c>
      <c r="B50" s="33" t="s">
        <v>8707</v>
      </c>
    </row>
    <row r="51" customFormat="false" ht="15" hidden="false" customHeight="false" outlineLevel="0" collapsed="false">
      <c r="A51" s="31" t="s">
        <v>8656</v>
      </c>
      <c r="B51" s="33" t="s">
        <v>8708</v>
      </c>
    </row>
    <row r="52" customFormat="false" ht="15" hidden="false" customHeight="false" outlineLevel="0" collapsed="false">
      <c r="A52" s="31" t="s">
        <v>8656</v>
      </c>
      <c r="B52" s="33" t="s">
        <v>8709</v>
      </c>
    </row>
    <row r="53" customFormat="false" ht="15" hidden="false" customHeight="false" outlineLevel="0" collapsed="false">
      <c r="A53" s="31" t="s">
        <v>8656</v>
      </c>
      <c r="B53" s="33" t="s">
        <v>8710</v>
      </c>
    </row>
    <row r="54" customFormat="false" ht="15" hidden="false" customHeight="false" outlineLevel="0" collapsed="false">
      <c r="A54" s="31" t="s">
        <v>8656</v>
      </c>
      <c r="B54" s="33" t="s">
        <v>8711</v>
      </c>
    </row>
    <row r="55" customFormat="false" ht="15" hidden="false" customHeight="false" outlineLevel="0" collapsed="false">
      <c r="A55" s="31" t="s">
        <v>8656</v>
      </c>
      <c r="B55" s="33" t="s">
        <v>8712</v>
      </c>
    </row>
    <row r="56" customFormat="false" ht="15" hidden="false" customHeight="false" outlineLevel="0" collapsed="false">
      <c r="A56" s="31" t="s">
        <v>8656</v>
      </c>
      <c r="B56" s="33" t="s">
        <v>8713</v>
      </c>
    </row>
    <row r="57" customFormat="false" ht="15" hidden="false" customHeight="false" outlineLevel="0" collapsed="false">
      <c r="A57" s="31" t="s">
        <v>8656</v>
      </c>
      <c r="B57" s="33" t="s">
        <v>8714</v>
      </c>
    </row>
    <row r="58" customFormat="false" ht="15" hidden="false" customHeight="false" outlineLevel="0" collapsed="false">
      <c r="A58" s="31" t="s">
        <v>8656</v>
      </c>
      <c r="B58" s="33" t="s">
        <v>8715</v>
      </c>
    </row>
    <row r="59" customFormat="false" ht="15" hidden="false" customHeight="false" outlineLevel="0" collapsed="false">
      <c r="A59" s="31" t="s">
        <v>8656</v>
      </c>
      <c r="B59" s="33" t="s">
        <v>8716</v>
      </c>
    </row>
    <row r="60" customFormat="false" ht="15" hidden="false" customHeight="false" outlineLevel="0" collapsed="false">
      <c r="A60" s="31" t="s">
        <v>8656</v>
      </c>
      <c r="B60" s="33" t="s">
        <v>8717</v>
      </c>
    </row>
    <row r="61" customFormat="false" ht="15" hidden="false" customHeight="false" outlineLevel="0" collapsed="false">
      <c r="A61" s="31" t="s">
        <v>8656</v>
      </c>
      <c r="B61" s="33" t="s">
        <v>8718</v>
      </c>
    </row>
    <row r="62" customFormat="false" ht="15" hidden="false" customHeight="false" outlineLevel="0" collapsed="false">
      <c r="A62" s="31" t="s">
        <v>8656</v>
      </c>
      <c r="B62" s="33" t="s">
        <v>8719</v>
      </c>
    </row>
    <row r="63" customFormat="false" ht="15" hidden="false" customHeight="false" outlineLevel="0" collapsed="false">
      <c r="A63" s="31" t="s">
        <v>8656</v>
      </c>
      <c r="B63" s="33" t="s">
        <v>8720</v>
      </c>
    </row>
    <row r="64" customFormat="false" ht="15" hidden="false" customHeight="false" outlineLevel="0" collapsed="false">
      <c r="A64" s="31" t="s">
        <v>8656</v>
      </c>
      <c r="B64" s="33" t="s">
        <v>8721</v>
      </c>
    </row>
    <row r="65" customFormat="false" ht="15" hidden="false" customHeight="false" outlineLevel="0" collapsed="false">
      <c r="A65" s="31" t="s">
        <v>8656</v>
      </c>
      <c r="B65" s="33" t="s">
        <v>8722</v>
      </c>
    </row>
    <row r="66" customFormat="false" ht="15" hidden="false" customHeight="false" outlineLevel="0" collapsed="false">
      <c r="A66" s="31" t="s">
        <v>8656</v>
      </c>
      <c r="B66" s="33" t="s">
        <v>8723</v>
      </c>
    </row>
    <row r="67" customFormat="false" ht="15" hidden="false" customHeight="false" outlineLevel="0" collapsed="false">
      <c r="A67" s="31" t="s">
        <v>8656</v>
      </c>
      <c r="B67" s="33" t="s">
        <v>8724</v>
      </c>
    </row>
    <row r="68" customFormat="false" ht="15" hidden="false" customHeight="false" outlineLevel="0" collapsed="false">
      <c r="A68" s="31" t="s">
        <v>8656</v>
      </c>
      <c r="B68" s="33" t="s">
        <v>8725</v>
      </c>
    </row>
    <row r="69" customFormat="false" ht="15" hidden="false" customHeight="false" outlineLevel="0" collapsed="false">
      <c r="A69" s="31" t="s">
        <v>8656</v>
      </c>
      <c r="B69" s="33" t="s">
        <v>8726</v>
      </c>
    </row>
    <row r="70" customFormat="false" ht="15" hidden="false" customHeight="false" outlineLevel="0" collapsed="false">
      <c r="A70" s="31" t="s">
        <v>8656</v>
      </c>
      <c r="B70" s="33" t="s">
        <v>8727</v>
      </c>
    </row>
    <row r="71" customFormat="false" ht="15" hidden="false" customHeight="false" outlineLevel="0" collapsed="false">
      <c r="A71" s="31" t="s">
        <v>8656</v>
      </c>
      <c r="B71" s="33" t="s">
        <v>8728</v>
      </c>
    </row>
    <row r="72" customFormat="false" ht="15" hidden="false" customHeight="false" outlineLevel="0" collapsed="false">
      <c r="A72" s="31" t="s">
        <v>8656</v>
      </c>
      <c r="B72" s="33" t="s">
        <v>8729</v>
      </c>
    </row>
    <row r="73" customFormat="false" ht="15" hidden="false" customHeight="false" outlineLevel="0" collapsed="false">
      <c r="A73" s="31" t="s">
        <v>8656</v>
      </c>
      <c r="B73" s="33" t="s">
        <v>8730</v>
      </c>
    </row>
    <row r="74" customFormat="false" ht="15" hidden="false" customHeight="false" outlineLevel="0" collapsed="false">
      <c r="A74" s="31" t="s">
        <v>8656</v>
      </c>
      <c r="B74" s="33" t="s">
        <v>8731</v>
      </c>
    </row>
    <row r="75" customFormat="false" ht="15" hidden="false" customHeight="false" outlineLevel="0" collapsed="false">
      <c r="A75" s="31" t="s">
        <v>8656</v>
      </c>
      <c r="B75" s="33" t="s">
        <v>8732</v>
      </c>
    </row>
    <row r="76" customFormat="false" ht="15" hidden="false" customHeight="false" outlineLevel="0" collapsed="false">
      <c r="A76" s="31" t="s">
        <v>8656</v>
      </c>
      <c r="B76" s="33" t="s">
        <v>8733</v>
      </c>
    </row>
    <row r="77" customFormat="false" ht="15" hidden="false" customHeight="false" outlineLevel="0" collapsed="false">
      <c r="A77" s="31" t="s">
        <v>8656</v>
      </c>
      <c r="B77" s="33" t="s">
        <v>8734</v>
      </c>
    </row>
    <row r="78" customFormat="false" ht="15" hidden="false" customHeight="false" outlineLevel="0" collapsed="false">
      <c r="A78" s="31" t="s">
        <v>8656</v>
      </c>
      <c r="B78" s="33" t="s">
        <v>8735</v>
      </c>
    </row>
    <row r="79" customFormat="false" ht="15" hidden="false" customHeight="false" outlineLevel="0" collapsed="false">
      <c r="A79" s="31" t="s">
        <v>8656</v>
      </c>
      <c r="B79" s="33" t="s">
        <v>8736</v>
      </c>
    </row>
    <row r="80" customFormat="false" ht="15" hidden="false" customHeight="false" outlineLevel="0" collapsed="false">
      <c r="A80" s="31" t="s">
        <v>8656</v>
      </c>
      <c r="B80" s="33" t="s">
        <v>8737</v>
      </c>
    </row>
    <row r="81" customFormat="false" ht="15" hidden="false" customHeight="false" outlineLevel="0" collapsed="false">
      <c r="A81" s="31" t="s">
        <v>8656</v>
      </c>
      <c r="B81" s="33" t="s">
        <v>8738</v>
      </c>
    </row>
    <row r="82" customFormat="false" ht="15" hidden="false" customHeight="false" outlineLevel="0" collapsed="false">
      <c r="A82" s="31" t="s">
        <v>8656</v>
      </c>
      <c r="B82" s="33" t="s">
        <v>8739</v>
      </c>
    </row>
    <row r="83" customFormat="false" ht="15" hidden="false" customHeight="false" outlineLevel="0" collapsed="false">
      <c r="A83" s="31" t="s">
        <v>8656</v>
      </c>
      <c r="B83" s="33" t="s">
        <v>8740</v>
      </c>
    </row>
    <row r="84" customFormat="false" ht="15" hidden="false" customHeight="false" outlineLevel="0" collapsed="false">
      <c r="A84" s="31" t="s">
        <v>8656</v>
      </c>
      <c r="B84" s="33" t="s">
        <v>8741</v>
      </c>
    </row>
    <row r="85" customFormat="false" ht="15" hidden="false" customHeight="false" outlineLevel="0" collapsed="false">
      <c r="A85" s="31" t="s">
        <v>8656</v>
      </c>
      <c r="B85" s="33" t="s">
        <v>8742</v>
      </c>
    </row>
    <row r="86" customFormat="false" ht="15" hidden="false" customHeight="false" outlineLevel="0" collapsed="false">
      <c r="A86" s="31" t="s">
        <v>8656</v>
      </c>
      <c r="B86" s="33" t="s">
        <v>8743</v>
      </c>
    </row>
    <row r="87" customFormat="false" ht="15" hidden="false" customHeight="false" outlineLevel="0" collapsed="false">
      <c r="A87" s="31" t="s">
        <v>8656</v>
      </c>
      <c r="B87" s="33" t="s">
        <v>8744</v>
      </c>
    </row>
    <row r="88" customFormat="false" ht="15" hidden="false" customHeight="false" outlineLevel="0" collapsed="false">
      <c r="A88" s="31" t="s">
        <v>8656</v>
      </c>
      <c r="B88" s="33" t="s">
        <v>8745</v>
      </c>
    </row>
    <row r="89" customFormat="false" ht="15" hidden="false" customHeight="false" outlineLevel="0" collapsed="false">
      <c r="A89" s="31" t="s">
        <v>8656</v>
      </c>
      <c r="B89" s="33" t="s">
        <v>8746</v>
      </c>
    </row>
    <row r="90" customFormat="false" ht="15" hidden="false" customHeight="false" outlineLevel="0" collapsed="false">
      <c r="A90" s="31" t="s">
        <v>8656</v>
      </c>
      <c r="B90" s="33" t="s">
        <v>8747</v>
      </c>
    </row>
    <row r="91" customFormat="false" ht="15" hidden="false" customHeight="false" outlineLevel="0" collapsed="false">
      <c r="A91" s="31" t="s">
        <v>8656</v>
      </c>
      <c r="B91" s="33" t="s">
        <v>8748</v>
      </c>
    </row>
    <row r="92" customFormat="false" ht="15" hidden="false" customHeight="false" outlineLevel="0" collapsed="false">
      <c r="A92" s="31" t="s">
        <v>8656</v>
      </c>
      <c r="B92" s="33" t="s">
        <v>8749</v>
      </c>
    </row>
    <row r="93" customFormat="false" ht="15" hidden="false" customHeight="false" outlineLevel="0" collapsed="false">
      <c r="A93" s="31" t="s">
        <v>8656</v>
      </c>
      <c r="B93" s="33" t="s">
        <v>8750</v>
      </c>
    </row>
    <row r="94" customFormat="false" ht="15" hidden="false" customHeight="false" outlineLevel="0" collapsed="false">
      <c r="A94" s="31" t="s">
        <v>8656</v>
      </c>
      <c r="B94" s="33" t="s">
        <v>8751</v>
      </c>
    </row>
    <row r="95" customFormat="false" ht="15" hidden="false" customHeight="false" outlineLevel="0" collapsed="false">
      <c r="A95" s="31" t="s">
        <v>8656</v>
      </c>
      <c r="B95" s="33" t="s">
        <v>8752</v>
      </c>
    </row>
    <row r="96" customFormat="false" ht="15" hidden="false" customHeight="false" outlineLevel="0" collapsed="false">
      <c r="A96" s="31" t="s">
        <v>8656</v>
      </c>
      <c r="B96" s="33" t="s">
        <v>8753</v>
      </c>
    </row>
    <row r="97" customFormat="false" ht="15" hidden="false" customHeight="false" outlineLevel="0" collapsed="false">
      <c r="A97" s="31" t="s">
        <v>8656</v>
      </c>
      <c r="B97" s="33" t="s">
        <v>8754</v>
      </c>
    </row>
    <row r="98" customFormat="false" ht="15" hidden="false" customHeight="false" outlineLevel="0" collapsed="false">
      <c r="A98" s="31" t="s">
        <v>8656</v>
      </c>
      <c r="B98" s="33" t="s">
        <v>8755</v>
      </c>
    </row>
    <row r="99" customFormat="false" ht="15" hidden="false" customHeight="false" outlineLevel="0" collapsed="false">
      <c r="A99" s="31" t="s">
        <v>8656</v>
      </c>
      <c r="B99" s="33" t="s">
        <v>8756</v>
      </c>
    </row>
    <row r="100" customFormat="false" ht="15" hidden="false" customHeight="false" outlineLevel="0" collapsed="false">
      <c r="A100" s="31" t="s">
        <v>8656</v>
      </c>
      <c r="B100" s="33" t="s">
        <v>8757</v>
      </c>
    </row>
    <row r="101" customFormat="false" ht="15" hidden="false" customHeight="false" outlineLevel="0" collapsed="false">
      <c r="A101" s="31" t="s">
        <v>8656</v>
      </c>
      <c r="B101" s="33" t="s">
        <v>8758</v>
      </c>
    </row>
    <row r="102" customFormat="false" ht="15" hidden="false" customHeight="false" outlineLevel="0" collapsed="false">
      <c r="A102" s="31" t="s">
        <v>8656</v>
      </c>
      <c r="B102" s="33" t="s">
        <v>8759</v>
      </c>
    </row>
    <row r="103" customFormat="false" ht="15" hidden="false" customHeight="false" outlineLevel="0" collapsed="false">
      <c r="A103" s="31" t="s">
        <v>8656</v>
      </c>
      <c r="B103" s="33" t="s">
        <v>8760</v>
      </c>
    </row>
    <row r="104" customFormat="false" ht="15" hidden="false" customHeight="false" outlineLevel="0" collapsed="false">
      <c r="A104" s="31" t="s">
        <v>8656</v>
      </c>
      <c r="B104" s="33" t="s">
        <v>8761</v>
      </c>
    </row>
    <row r="105" customFormat="false" ht="15" hidden="false" customHeight="false" outlineLevel="0" collapsed="false">
      <c r="A105" s="31" t="s">
        <v>8656</v>
      </c>
      <c r="B105" s="33" t="s">
        <v>8762</v>
      </c>
    </row>
    <row r="106" customFormat="false" ht="15" hidden="false" customHeight="false" outlineLevel="0" collapsed="false">
      <c r="A106" s="31" t="s">
        <v>8656</v>
      </c>
      <c r="B106" s="33" t="s">
        <v>8763</v>
      </c>
    </row>
    <row r="107" customFormat="false" ht="15" hidden="false" customHeight="false" outlineLevel="0" collapsed="false">
      <c r="A107" s="31" t="s">
        <v>8656</v>
      </c>
      <c r="B107" s="33" t="s">
        <v>8764</v>
      </c>
    </row>
    <row r="108" customFormat="false" ht="15" hidden="false" customHeight="false" outlineLevel="0" collapsed="false">
      <c r="A108" s="31" t="s">
        <v>8656</v>
      </c>
      <c r="B108" s="33" t="s">
        <v>8765</v>
      </c>
    </row>
    <row r="109" customFormat="false" ht="15" hidden="false" customHeight="false" outlineLevel="0" collapsed="false">
      <c r="A109" s="31" t="s">
        <v>8656</v>
      </c>
      <c r="B109" s="33" t="s">
        <v>8766</v>
      </c>
    </row>
    <row r="110" customFormat="false" ht="15" hidden="false" customHeight="false" outlineLevel="0" collapsed="false">
      <c r="A110" s="31" t="s">
        <v>8656</v>
      </c>
      <c r="B110" s="33" t="s">
        <v>8767</v>
      </c>
    </row>
    <row r="111" customFormat="false" ht="15" hidden="false" customHeight="false" outlineLevel="0" collapsed="false">
      <c r="A111" s="31" t="s">
        <v>8656</v>
      </c>
      <c r="B111" s="33" t="s">
        <v>8768</v>
      </c>
    </row>
    <row r="112" customFormat="false" ht="15" hidden="false" customHeight="false" outlineLevel="0" collapsed="false">
      <c r="A112" s="31" t="s">
        <v>8656</v>
      </c>
      <c r="B112" s="33" t="s">
        <v>8769</v>
      </c>
    </row>
  </sheetData>
  <hyperlinks>
    <hyperlink ref="B2" r:id="rId1" display="https://learnenglish.life/guides/english-for-customer-service/"/>
    <hyperlink ref="B3" r:id="rId2" display="https://web1svr.unicron.com/Download_PDFS/mL4B05/602358/Telephoning%20In%20English%20Cambridge.pdf"/>
    <hyperlink ref="B4" r:id="rId3" display="https://www.fluentu.com/blog/english/business-english-telephone-phrases/"/>
    <hyperlink ref="B5" r:id="rId4" display="https://convin.ai/blog/customer-verification-call-center"/>
    <hyperlink ref="B6" r:id="rId5" display="https://www.slideshare.net/slideshow/call-handling-guidelines-238682174/238682174"/>
    <hyperlink ref="B7" r:id="rId6" display="https://poly.ai/blog/automating-identity-verification-in-the-contact-center-what-you-should-know"/>
    <hyperlink ref="B8" r:id="rId7" display="https://www.anser.com/qa/hold"/>
    <hyperlink ref="B9" r:id="rId8" display="https://melotel.com/what-are-the-right-and-wrong-ways-to-place-callers-on-hold/"/>
    <hyperlink ref="B10" r:id="rId9" display="https://exotel.com/blog/bad-call-center-phrases-15-to-avoid/"/>
    <hyperlink ref="B11" r:id="rId10" display="https://vida.io/blog/how-to-put-someone-on-hold"/>
    <hyperlink ref="B12" r:id="rId11" display="https://www.verequest.com/courses/holds-dead-air-and-transfers"/>
    <hyperlink ref="B13" r:id="rId12" display="https://docs.medallia.com/mindful/mindful-callback/faqs/best-practices/quote-wait-time-before-offering-callbacks"/>
    <hyperlink ref="B14" r:id="rId13" display="https://www.calilio.com/blogs/warm-transfer-vs-cold-transfer"/>
    <hyperlink ref="B15" r:id="rId14" display="https://krispcall.com/customer-experience/cold-transfer-vs-warm-transfer/"/>
    <hyperlink ref="B16" r:id="rId15" display="https://desk.zoho.com/portal/cinchhomeservices/en/kb/articles/call-transfer-procedures"/>
    <hyperlink ref="B17" r:id="rId16" display="https://www.entrepreneur.com/article/227458"/>
    <hyperlink ref="B18" r:id="rId17" display="https://www.quo.com/blog/active-listening-in-customer-service/"/>
    <hyperlink ref="B19" r:id="rId18" display="https://customerthink.com/?p=1049518"/>
    <hyperlink ref="B20" r:id="rId19" display="https://www.cxtoday.com/contact-centre/valuable-active-listening-exercises-for-contact-center-agents"/>
    <hyperlink ref="B21" r:id="rId20" display="https://www.capterra.com/resources/paraphrasing-customer-service-success-secret-weapon/"/>
    <hyperlink ref="B22" r:id="rId21" display="https://fonolo.com/?p=53552"/>
    <hyperlink ref="B23" r:id="rId22" display="https://pollackpeacebuilding.com/blog/heard-method/"/>
    <hyperlink ref="B24" r:id="rId23" display="https://www.livechat.com/success/sorry-for-the-inconvenience"/>
    <hyperlink ref="B25" r:id="rId24" display="https://www.bolddesk.com/blogs/sorry-for-the-inconvenience"/>
    <hyperlink ref="B26" r:id="rId25" display="https://news.osu.edu/the-6-elements-of-an-effective-apology-according-to-science/"/>
    <hyperlink ref="B27" r:id="rId26" display="https://www.psychologicalscience.org/news/minds-business/effective-apologies-include-six-elements.html"/>
    <hyperlink ref="B28" r:id="rId27" display="https://entripy-82.helpscoutdocs.com/article/392-take-owership-maintain-control-of-the-call"/>
    <hyperlink ref="B29" r:id="rId28" display="https://www.quo.com/blog/customer-service-expectations/"/>
    <hyperlink ref="B30" r:id="rId29" display="https://toistersolutions.com/blog/2016/7/6/how-clear-language-can-help-you-avoid-service-failures"/>
    <hyperlink ref="B31" r:id="rId30" display="https://www.renascence.io/journal/gartners-customer-effort-research-why-effort-beats-delight"/>
    <hyperlink ref="B32" r:id="rId31" display="https://www.gartner.com/en/newsroom/press-releases/2020-08-19-gartner-reveals-two-actions-customer-service-leaders-"/>
    <hyperlink ref="B33" r:id="rId32" display="https://sqmgroup.com/resources/library/blog/5-pros-and-cons-agents-asking-customers-if-they-resolved-issues"/>
    <hyperlink ref="B34" r:id="rId33" display="https://www.shopify.com/blog/positive-scripting"/>
    <hyperlink ref="B35" r:id="rId34" display="https://www.callcentrehelper.com/positive-scripting-examples-for-better-customer-conversations-253958.htm"/>
    <hyperlink ref="B36" r:id="rId35" display="https://quidget.ai/?p=1975"/>
    <hyperlink ref="B37" r:id="rId36" display="https://digitaldealer.com/news/5-things-employees-say-sabotage-customer-service-drive-customers-away/74915/"/>
    <hyperlink ref="B38" r:id="rId37" display="https://customerthink.com/part-3-are-you-using-these-magic-customer-service-words/"/>
    <hyperlink ref="B39" r:id="rId38" display="https://www.cxtoday.com/wfo/positive-language-usage-20-examples-that-will-make-every-interaction-a-little-bit-brighter"/>
    <hyperlink ref="B40" r:id="rId39" display="https://zapier.com/blog/customer-support-language-and-tone"/>
    <hyperlink ref="B41" r:id="rId40" display="https://hiverhq.com/?p=46426"/>
    <hyperlink ref="B42" r:id="rId41" display="https://www.vocabulary.com/articles/wordroutes/is-there-a-problem-with-no-problem/"/>
    <hyperlink ref="B43" r:id="rId42" display="https://www.hospitalitynet.org/opinion/4093603.html"/>
    <hyperlink ref="B44" r:id="rId43" display="https://www.td.org/insights/when-you-say-no-problem-you-may-have-customer-service-problem"/>
    <hyperlink ref="B45" r:id="rId44" display="https://waywordradio.org/no-problem-youre-welcome/"/>
    <hyperlink ref="B46" r:id="rId45" display="https://www.customerthermometer.com/customer-service/excellent-customer-service-phrases/"/>
    <hyperlink ref="B47" r:id="rId46" display="https://www.parcelperform.com/insights/customer-service-disney-tips"/>
    <hyperlink ref="B48" r:id="rId47" display="https://www.xola.com/articles/how-to-use-the-last-method-for-customer-service/"/>
    <hyperlink ref="B49" r:id="rId48" display="https://centeredgesoftware.com/blog/5-effective-ways-to-resolve-complaints-with-last/"/>
    <hyperlink ref="B50" r:id="rId49" display="https://readytrainingonline.com/articles/customer-service/"/>
    <hyperlink ref="B51" r:id="rId50" display="https://trainingcenter.acgov.org/2020/03/latte-for-customer-service"/>
    <hyperlink ref="B52" r:id="rId51" display="https://www.pharmacytimes.com/view/how-to-handle-angry-pharmacy-customers"/>
    <hyperlink ref="B53" r:id="rId52" display="https://rachel.core2learn.org/modules/en-learnsaylor/mod/page/view.php@id=18749.html"/>
    <hyperlink ref="B54" r:id="rId53" display="https://www.servicetitan.com/blog/pantheon-recap-hearing-is-not-enough"/>
    <hyperlink ref="B55" r:id="rId54" display="https://open-exam-prep.com/study-guides/ca-ab-abst/communication/leaps-communication-method"/>
    <hyperlink ref="B56" r:id="rId55" display="https://caringforcare.co.uk/leaps-model/"/>
    <hyperlink ref="B57" r:id="rId56" display="https://www.zendesk.com/blog/6-best-practices-chat-etiquette/"/>
    <hyperlink ref="B58" r:id="rId57" display="https://www.zendesk.com/in/blog/messaging-and-chat/live-chat/live-chat-support-skills/"/>
    <hyperlink ref="B59" r:id="rId58" display="https://www.chaindesk.ai/blog/chat-etiquette-for-customer-service-guide"/>
    <hyperlink ref="B60" r:id="rId59" display="https://community.intercom.com/messenger-8/how-do-you-handle-customers-expecting-instant-replies-in-intercom-messenger-14016"/>
    <hyperlink ref="B61" r:id="rId60" display="https://www.stayntouch.com/wp-content/uploads/intercom-guide.pdf"/>
    <hyperlink ref="B62" r:id="rId61" display="https://www.intercom.com/help/en/articles/198-our-best-practice-guide-to-customer-support"/>
    <hyperlink ref="B63" r:id="rId62" display="https://www.whoson.com/live-chat-best-practice/canned-responses-dos-donts"/>
    <hyperlink ref="B64" r:id="rId63" display="https://www.marketing-interactive.com/study-brands-should-beware-using-emoticons-in-customer-communication/"/>
    <hyperlink ref="B65" r:id="rId64" display="https://theses.lib.polyu.edu.hk/handle/200/12107"/>
    <hyperlink ref="B66" r:id="rId65" display="https://archives.marketing-trends-congress.com/2025/pages/PDF/108.pdf"/>
    <hyperlink ref="B67" r:id="rId66" display="https://www.businesswire.com/news/home/20200220005312/en"/>
    <hyperlink ref="B68" r:id="rId67" display="https://livechat.knowledgebase.ai/canned-response-examples/"/>
    <hyperlink ref="B69" r:id="rId68" display="https://www.toistersolutions.com/blog/2013/1/1/email-tip-what-do-they-want"/>
    <hyperlink ref="B70" r:id="rId69" display="https://www.freshworks.com/explore-cx/tips-to-write-a-good-support-email-with-email-templates/"/>
    <hyperlink ref="B71" r:id="rId70" display="https://www.keeping.com/content/email-etiquette-customer-service/"/>
    <hyperlink ref="B72" r:id="rId71" display="https://salto.io/blog-posts/tips-and-tricks-to-improve-your-zendesk-emails-from-a-zendesk-expert"/>
    <hyperlink ref="B73" r:id="rId72" display="https://www.zendesk.com/dk/blog/use-customer-service-email-templates-save-time/"/>
    <hyperlink ref="B74" r:id="rId73" display="https://customerthink.com/?p=113471"/>
    <hyperlink ref="B75" r:id="rId74" display="https://icmi.com/resources/2021/plain-language-in-customer-service"/>
    <hyperlink ref="B76" r:id="rId75" display="https://helpscout.com/blog/how-to-tell-a-customer-no"/>
    <hyperlink ref="B77" r:id="rId76" display="https://www.revistaiberica.org/index.php/iberica/article/view/273"/>
    <hyperlink ref="B78" r:id="rId77" display="https://www.talkdrill.com/blog/spoken-english/common-mistakes/common-english-mistakes-indians/"/>
    <hyperlink ref="B79" r:id="rId78" display="https://languagehat.com/do-the-needful/"/>
    <hyperlink ref="B80" r:id="rId79" display="https://www.vocabulary.com/cm/wordroutes/2307/"/>
    <hyperlink ref="B81" r:id="rId80" display="https://llexi.com/l1-errors/common-english-errors-hindi-speakers.html"/>
    <hyperlink ref="B82" r:id="rId81" display="https://owl.purdue.edu/owl/multilingual/multilingual_students/writing_for_an_indian_business_audience/index.html"/>
    <hyperlink ref="B83" r:id="rId82" display="https://www.talkdrill.com/blog/workplace-english/emails/email-etiquette-mistakes-indian-professionals/"/>
    <hyperlink ref="B84" r:id="rId83" display="https://kops.uni-konstanz.de/entities/publication/04b6bd76-5d17-4e6a-a0b9-1e1d98d19930/full"/>
    <hyperlink ref="B85" r:id="rId84" display="https://riuma.uma.es/xmlui/handle/10630/11233"/>
    <hyperlink ref="B86" r:id="rId85" display="https://repository.nwu.ac.za/handle/10394/15268"/>
    <hyperlink ref="B87" r:id="rId86" display="https://repository.stcloudstate.edu/engl_etds/148"/>
    <hyperlink ref="B88" r:id="rId87" display="https://assta.org/proceedings/ICPhS2019/papers/ICPhS%5F1431.pdf"/>
    <hyperlink ref="B89" r:id="rId88" display="https://www.talkdrill.com/blog/pronunciation/indian-english/indian-english-pronunciation/"/>
    <hyperlink ref="B90" r:id="rId89" display="https://hal.archives-ouvertes.fr/hal-01498953"/>
    <hyperlink ref="B91" r:id="rId90" display="https://www.degruyterbrill.com/document/doi/10.1075/veaw.g68.07fuc/html"/>
    <hyperlink ref="B92" r:id="rId91" display="https://iaak.uni-bonn.de/bael/en/research/word-stress-perception-in-indian-english"/>
    <hyperlink ref="B93" r:id="rId92" display="https://cris-portal.uni-muenster.de/portal/en/publication/20007334"/>
    <hyperlink ref="B94" r:id="rId93" display="https://assta.org/proceedings/ICPhS2019Microsite/pdf/full-paper_606.pdf"/>
    <hyperlink ref="B95" r:id="rId94" display="https://slam.lin.ufl.edu/wp-content/uploads/sites/106/2020/01/2005-Wiltshire-EWW.pdf"/>
    <hyperlink ref="B96" r:id="rId95" display="https://www.cambridge.org/core/books/english-around-the-world/final-consonant-cluster-simplification-in-a-variety-of-indian-english/AB78E80B5EDE29BBD8B2A6A8D30EC9E4"/>
    <hyperlink ref="B97" r:id="rId96" display="https://journals.uvic.ca/index.php/WPLC/article/view/5670/2196"/>
    <hyperlink ref="B98" r:id="rId97" display="https://eprints.nottingham.ac.uk/31046/"/>
    <hyperlink ref="B99" r:id="rId98" display="https://www.isca-archive.org/interspeech_2009/weber09_interspeech.html"/>
    <hyperlink ref="B100" r:id="rId99" display="https://rm.coe.int/common-european-framework-of-reference-for-languages-learning-teaching/16809ea0d4"/>
    <hyperlink ref="B101" r:id="rId100" display="https://www.eaquals.org/2018/06/20/the-cefr-companion-volume-launch-conference-may-2018-tim-goodier/"/>
    <hyperlink ref="B102" r:id="rId101" display="https://edit.hueber.de/media/36/Language%20Hub_Elementary_SB_CEFR_Mapping.pdf"/>
    <hyperlink ref="B103" r:id="rId102" display="https://api.macmillanenglish.com/fileadmin/user_upload/Blog_and_Resources/Blogs_and_articles/CEFR-all-scales-and-all-skills.pdf"/>
    <hyperlink ref="B104" r:id="rId103" display="https://www.oebv.at/internal/f28d2222-b4fc-4803-aac5-79bd48ff8b8a"/>
    <hyperlink ref="B105" r:id="rId104" display="https://www.coe.int/en/web/common-european-framework-reference-languages/cefr-descriptors-search"/>
    <hyperlink ref="B106" r:id="rId105" display="https://eslbrains.com/esl-lesson-on-customer-service/"/>
    <hyperlink ref="B107" r:id="rId106" display="https://www.sciencedaily.com/releases/2008/01/080111224745.htm"/>
    <hyperlink ref="B108" r:id="rId107" display="https://www.npr.org/2008/01/19/18255131/hearing-a-smile-in-tone-of-voice"/>
    <hyperlink ref="B109" r:id="rId108" display="https://magoosh.com/toefl/wp-json/wp/v2/posts/2124"/>
    <hyperlink ref="B110" r:id="rId109" display="https://pronuncian.com/podcasts/episode213"/>
    <hyperlink ref="B111" r:id="rId110" display="https://cla-acl.artsci.utoronto.ca/pdfs/actes-2010/CLA2010_Hedberg_et_al.pdf"/>
    <hyperlink ref="B112" r:id="rId111" display="https://campusweb.howardcc.edu/ehicks/YE618/Mastering%20American%20Pronunciation/Intonation/Intonation_print.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s>
  <sheetData>
    <row r="1" customFormat="false" ht="15" hidden="false" customHeight="false" outlineLevel="0" collapsed="false">
      <c r="A1" s="5" t="s">
        <v>8770</v>
      </c>
      <c r="B1" s="5" t="s">
        <v>8771</v>
      </c>
    </row>
    <row r="2" customFormat="false" ht="15" hidden="false" customHeight="false" outlineLevel="0" collapsed="false">
      <c r="A2" s="31" t="s">
        <v>13</v>
      </c>
      <c r="B2" s="31" t="s">
        <v>8772</v>
      </c>
    </row>
    <row r="3" customFormat="false" ht="15" hidden="false" customHeight="false" outlineLevel="0" collapsed="false">
      <c r="A3" s="31" t="s">
        <v>139</v>
      </c>
      <c r="B3" s="31" t="s">
        <v>8773</v>
      </c>
    </row>
    <row r="4" customFormat="false" ht="15" hidden="false" customHeight="false" outlineLevel="0" collapsed="false">
      <c r="A4" s="31" t="s">
        <v>187</v>
      </c>
      <c r="B4" s="31" t="s">
        <v>8774</v>
      </c>
    </row>
    <row r="5" customFormat="false" ht="15" hidden="false" customHeight="false" outlineLevel="0" collapsed="false">
      <c r="A5" s="31" t="s">
        <v>235</v>
      </c>
      <c r="B5" s="31" t="s">
        <v>8775</v>
      </c>
    </row>
    <row r="6" customFormat="false" ht="15" hidden="false" customHeight="false" outlineLevel="0" collapsed="false">
      <c r="A6" s="31" t="s">
        <v>282</v>
      </c>
      <c r="B6" s="31"/>
    </row>
    <row r="7" customFormat="false" ht="15" hidden="false" customHeight="false" outlineLevel="0" collapsed="false">
      <c r="A7" s="31" t="s">
        <v>330</v>
      </c>
      <c r="B7" s="31"/>
    </row>
    <row r="8" customFormat="false" ht="15" hidden="false" customHeight="false" outlineLevel="0" collapsed="false">
      <c r="A8" s="31" t="s">
        <v>377</v>
      </c>
      <c r="B8" s="31"/>
    </row>
    <row r="9" customFormat="false" ht="15" hidden="false" customHeight="false" outlineLevel="0" collapsed="false">
      <c r="A9" s="31" t="s">
        <v>425</v>
      </c>
      <c r="B9" s="31"/>
    </row>
    <row r="10" customFormat="false" ht="15" hidden="false" customHeight="false" outlineLevel="0" collapsed="false">
      <c r="A10" s="31" t="s">
        <v>473</v>
      </c>
      <c r="B10" s="31"/>
    </row>
    <row r="11" customFormat="false" ht="15" hidden="false" customHeight="false" outlineLevel="0" collapsed="false">
      <c r="A11" s="31" t="s">
        <v>520</v>
      </c>
      <c r="B11" s="31"/>
    </row>
    <row r="12" customFormat="false" ht="15" hidden="false" customHeight="false" outlineLevel="0" collapsed="false">
      <c r="A12" s="31" t="s">
        <v>567</v>
      </c>
      <c r="B12" s="31"/>
    </row>
    <row r="13" customFormat="false" ht="15" hidden="false" customHeight="false" outlineLevel="0" collapsed="false">
      <c r="A13" s="31" t="s">
        <v>614</v>
      </c>
      <c r="B13" s="31"/>
    </row>
    <row r="14" customFormat="false" ht="15" hidden="false" customHeight="false" outlineLevel="0" collapsed="false">
      <c r="A14" s="31" t="s">
        <v>661</v>
      </c>
      <c r="B14" s="31"/>
    </row>
    <row r="15" customFormat="false" ht="15" hidden="false" customHeight="false" outlineLevel="0" collapsed="false">
      <c r="A15" s="31" t="s">
        <v>710</v>
      </c>
      <c r="B15" s="31"/>
    </row>
    <row r="16" customFormat="false" ht="15" hidden="false" customHeight="false" outlineLevel="0" collapsed="false">
      <c r="A16" s="31" t="s">
        <v>757</v>
      </c>
      <c r="B16" s="31"/>
    </row>
    <row r="17" customFormat="false" ht="15" hidden="false" customHeight="false" outlineLevel="0" collapsed="false">
      <c r="A17" s="31" t="s">
        <v>806</v>
      </c>
      <c r="B17" s="31"/>
    </row>
    <row r="18" customFormat="false" ht="15" hidden="false" customHeight="false" outlineLevel="0" collapsed="false">
      <c r="A18" s="31" t="s">
        <v>853</v>
      </c>
      <c r="B18" s="31"/>
    </row>
    <row r="19" customFormat="false" ht="15" hidden="false" customHeight="false" outlineLevel="0" collapsed="false">
      <c r="A19" s="31" t="s">
        <v>901</v>
      </c>
      <c r="B19" s="31"/>
    </row>
    <row r="20" customFormat="false" ht="15" hidden="false" customHeight="false" outlineLevel="0" collapsed="false">
      <c r="A20" s="31" t="s">
        <v>948</v>
      </c>
      <c r="B20" s="31"/>
    </row>
    <row r="21" customFormat="false" ht="15" hidden="false" customHeight="false" outlineLevel="0" collapsed="false">
      <c r="A21" s="31" t="s">
        <v>996</v>
      </c>
      <c r="B21" s="31"/>
    </row>
    <row r="22" customFormat="false" ht="15" hidden="false" customHeight="false" outlineLevel="0" collapsed="false">
      <c r="A22" s="31" t="s">
        <v>1043</v>
      </c>
      <c r="B22" s="31"/>
    </row>
    <row r="23" customFormat="false" ht="15" hidden="false" customHeight="false" outlineLevel="0" collapsed="false">
      <c r="A23" s="31" t="s">
        <v>1091</v>
      </c>
      <c r="B23" s="31"/>
    </row>
    <row r="24" customFormat="false" ht="15" hidden="false" customHeight="false" outlineLevel="0" collapsed="false">
      <c r="A24" s="31" t="s">
        <v>1139</v>
      </c>
      <c r="B24" s="31"/>
    </row>
    <row r="25" customFormat="false" ht="15" hidden="false" customHeight="false" outlineLevel="0" collapsed="false">
      <c r="A25" s="31" t="s">
        <v>1187</v>
      </c>
      <c r="B25" s="31"/>
    </row>
    <row r="26" customFormat="false" ht="15" hidden="false" customHeight="false" outlineLevel="0" collapsed="false">
      <c r="A26" s="31" t="s">
        <v>1234</v>
      </c>
      <c r="B26" s="31"/>
    </row>
    <row r="27" customFormat="false" ht="15" hidden="false" customHeight="false" outlineLevel="0" collapsed="false">
      <c r="A27" s="31" t="s">
        <v>1281</v>
      </c>
      <c r="B27" s="31"/>
    </row>
    <row r="28" customFormat="false" ht="15" hidden="false" customHeight="false" outlineLevel="0" collapsed="false">
      <c r="A28" s="31" t="s">
        <v>1329</v>
      </c>
      <c r="B28" s="31"/>
    </row>
    <row r="29" customFormat="false" ht="15" hidden="false" customHeight="false" outlineLevel="0" collapsed="false">
      <c r="A29" s="31" t="s">
        <v>1377</v>
      </c>
      <c r="B29" s="31"/>
    </row>
    <row r="30" customFormat="false" ht="15" hidden="false" customHeight="false" outlineLevel="0" collapsed="false">
      <c r="A30" s="31" t="s">
        <v>1424</v>
      </c>
      <c r="B30" s="31"/>
    </row>
    <row r="31" customFormat="false" ht="15" hidden="false" customHeight="false" outlineLevel="0" collapsed="false">
      <c r="A31" s="31" t="s">
        <v>1470</v>
      </c>
      <c r="B31" s="31"/>
    </row>
    <row r="32" customFormat="false" ht="15" hidden="false" customHeight="false" outlineLevel="0" collapsed="false">
      <c r="A32" s="31" t="s">
        <v>1516</v>
      </c>
      <c r="B32" s="31"/>
    </row>
    <row r="33" customFormat="false" ht="15" hidden="false" customHeight="false" outlineLevel="0" collapsed="false">
      <c r="A33" s="31" t="s">
        <v>1563</v>
      </c>
      <c r="B33" s="31"/>
    </row>
    <row r="34" customFormat="false" ht="15" hidden="false" customHeight="false" outlineLevel="0" collapsed="false">
      <c r="A34" s="31" t="s">
        <v>1610</v>
      </c>
      <c r="B34" s="31"/>
    </row>
    <row r="35" customFormat="false" ht="15" hidden="false" customHeight="false" outlineLevel="0" collapsed="false">
      <c r="A35" s="31" t="s">
        <v>1657</v>
      </c>
      <c r="B35" s="31"/>
    </row>
    <row r="36" customFormat="false" ht="15" hidden="false" customHeight="false" outlineLevel="0" collapsed="false">
      <c r="A36" s="31" t="s">
        <v>1704</v>
      </c>
      <c r="B36" s="31"/>
    </row>
    <row r="37" customFormat="false" ht="15" hidden="false" customHeight="false" outlineLevel="0" collapsed="false">
      <c r="A37" s="31" t="s">
        <v>1751</v>
      </c>
      <c r="B37" s="31"/>
    </row>
    <row r="38" customFormat="false" ht="15" hidden="false" customHeight="false" outlineLevel="0" collapsed="false">
      <c r="A38" s="31" t="s">
        <v>1797</v>
      </c>
      <c r="B38" s="31"/>
    </row>
    <row r="39" customFormat="false" ht="15" hidden="false" customHeight="false" outlineLevel="0" collapsed="false">
      <c r="A39" s="31" t="s">
        <v>1844</v>
      </c>
      <c r="B39" s="31"/>
    </row>
    <row r="40" customFormat="false" ht="15" hidden="false" customHeight="false" outlineLevel="0" collapsed="false">
      <c r="A40" s="31" t="s">
        <v>1891</v>
      </c>
      <c r="B40" s="31"/>
    </row>
    <row r="41" customFormat="false" ht="15" hidden="false" customHeight="false" outlineLevel="0" collapsed="false">
      <c r="A41" s="31" t="s">
        <v>1938</v>
      </c>
      <c r="B41" s="31"/>
    </row>
    <row r="42" customFormat="false" ht="15" hidden="false" customHeight="false" outlineLevel="0" collapsed="false">
      <c r="A42" s="31" t="s">
        <v>1985</v>
      </c>
      <c r="B42" s="31"/>
    </row>
    <row r="43" customFormat="false" ht="15" hidden="false" customHeight="false" outlineLevel="0" collapsed="false">
      <c r="A43" s="31" t="s">
        <v>2033</v>
      </c>
      <c r="B43" s="31"/>
    </row>
    <row r="44" customFormat="false" ht="15" hidden="false" customHeight="false" outlineLevel="0" collapsed="false">
      <c r="A44" s="31" t="s">
        <v>2080</v>
      </c>
      <c r="B44" s="31"/>
    </row>
    <row r="45" customFormat="false" ht="15" hidden="false" customHeight="false" outlineLevel="0" collapsed="false">
      <c r="A45" s="31" t="s">
        <v>2127</v>
      </c>
      <c r="B45" s="31"/>
    </row>
    <row r="46" customFormat="false" ht="15" hidden="false" customHeight="false" outlineLevel="0" collapsed="false">
      <c r="A46" s="31" t="s">
        <v>2175</v>
      </c>
      <c r="B46" s="31"/>
    </row>
    <row r="47" customFormat="false" ht="15" hidden="false" customHeight="false" outlineLevel="0" collapsed="false">
      <c r="A47" s="31" t="s">
        <v>2222</v>
      </c>
      <c r="B47" s="31"/>
    </row>
    <row r="48" customFormat="false" ht="15" hidden="false" customHeight="false" outlineLevel="0" collapsed="false">
      <c r="A48" s="31" t="s">
        <v>2268</v>
      </c>
      <c r="B48" s="31"/>
    </row>
    <row r="49" customFormat="false" ht="15" hidden="false" customHeight="false" outlineLevel="0" collapsed="false">
      <c r="A49" s="31" t="s">
        <v>2314</v>
      </c>
      <c r="B49" s="31"/>
    </row>
    <row r="50" customFormat="false" ht="15" hidden="false" customHeight="false" outlineLevel="0" collapsed="false">
      <c r="A50" s="31" t="s">
        <v>2361</v>
      </c>
      <c r="B50" s="31"/>
    </row>
    <row r="51" customFormat="false" ht="15" hidden="false" customHeight="false" outlineLevel="0" collapsed="false">
      <c r="A51" s="31" t="s">
        <v>2407</v>
      </c>
      <c r="B51" s="31"/>
    </row>
    <row r="52" customFormat="false" ht="15" hidden="false" customHeight="false" outlineLevel="0" collapsed="false">
      <c r="A52" s="31" t="s">
        <v>2453</v>
      </c>
      <c r="B52" s="31"/>
    </row>
    <row r="53" customFormat="false" ht="15" hidden="false" customHeight="false" outlineLevel="0" collapsed="false">
      <c r="A53" s="31" t="s">
        <v>2500</v>
      </c>
      <c r="B53" s="31"/>
    </row>
    <row r="54" customFormat="false" ht="15" hidden="false" customHeight="false" outlineLevel="0" collapsed="false">
      <c r="A54" s="31" t="s">
        <v>2546</v>
      </c>
      <c r="B54" s="31"/>
    </row>
    <row r="55" customFormat="false" ht="15" hidden="false" customHeight="false" outlineLevel="0" collapsed="false">
      <c r="A55" s="31" t="s">
        <v>2593</v>
      </c>
      <c r="B55" s="31"/>
    </row>
    <row r="56" customFormat="false" ht="15" hidden="false" customHeight="false" outlineLevel="0" collapsed="false">
      <c r="A56" s="31" t="s">
        <v>2639</v>
      </c>
      <c r="B56" s="31"/>
    </row>
    <row r="57" customFormat="false" ht="15" hidden="false" customHeight="false" outlineLevel="0" collapsed="false">
      <c r="A57" s="31" t="s">
        <v>2686</v>
      </c>
      <c r="B57" s="31"/>
    </row>
    <row r="58" customFormat="false" ht="15" hidden="false" customHeight="false" outlineLevel="0" collapsed="false">
      <c r="A58" s="31" t="s">
        <v>2733</v>
      </c>
      <c r="B58" s="31"/>
    </row>
    <row r="59" customFormat="false" ht="15" hidden="false" customHeight="false" outlineLevel="0" collapsed="false">
      <c r="A59" s="31" t="s">
        <v>2780</v>
      </c>
      <c r="B59" s="31"/>
    </row>
    <row r="60" customFormat="false" ht="15" hidden="false" customHeight="false" outlineLevel="0" collapsed="false">
      <c r="A60" s="31" t="s">
        <v>2826</v>
      </c>
      <c r="B60" s="31"/>
    </row>
    <row r="61" customFormat="false" ht="15" hidden="false" customHeight="false" outlineLevel="0" collapsed="false">
      <c r="A61" s="31" t="s">
        <v>2872</v>
      </c>
      <c r="B61" s="31"/>
    </row>
    <row r="62" customFormat="false" ht="15" hidden="false" customHeight="false" outlineLevel="0" collapsed="false">
      <c r="A62" s="31" t="s">
        <v>2919</v>
      </c>
      <c r="B62" s="31"/>
    </row>
    <row r="63" customFormat="false" ht="15" hidden="false" customHeight="false" outlineLevel="0" collapsed="false">
      <c r="A63" s="31" t="s">
        <v>2966</v>
      </c>
      <c r="B63" s="31"/>
    </row>
    <row r="64" customFormat="false" ht="15" hidden="false" customHeight="false" outlineLevel="0" collapsed="false">
      <c r="A64" s="31" t="s">
        <v>3013</v>
      </c>
      <c r="B64" s="31"/>
    </row>
    <row r="65" customFormat="false" ht="15" hidden="false" customHeight="false" outlineLevel="0" collapsed="false">
      <c r="A65" s="31" t="s">
        <v>3060</v>
      </c>
      <c r="B65" s="31"/>
    </row>
    <row r="66" customFormat="false" ht="15" hidden="false" customHeight="false" outlineLevel="0" collapsed="false">
      <c r="A66" s="31" t="s">
        <v>3107</v>
      </c>
      <c r="B66" s="31"/>
    </row>
    <row r="67" customFormat="false" ht="15" hidden="false" customHeight="false" outlineLevel="0" collapsed="false">
      <c r="A67" s="31" t="s">
        <v>3153</v>
      </c>
      <c r="B67" s="31"/>
    </row>
    <row r="68" customFormat="false" ht="15" hidden="false" customHeight="false" outlineLevel="0" collapsed="false">
      <c r="A68" s="31" t="s">
        <v>3200</v>
      </c>
      <c r="B68" s="31"/>
    </row>
    <row r="69" customFormat="false" ht="15" hidden="false" customHeight="false" outlineLevel="0" collapsed="false">
      <c r="A69" s="31" t="s">
        <v>3247</v>
      </c>
      <c r="B69" s="31"/>
    </row>
    <row r="70" customFormat="false" ht="15" hidden="false" customHeight="false" outlineLevel="0" collapsed="false">
      <c r="A70" s="31" t="s">
        <v>3293</v>
      </c>
      <c r="B70" s="31"/>
    </row>
    <row r="71" customFormat="false" ht="15" hidden="false" customHeight="false" outlineLevel="0" collapsed="false">
      <c r="A71" s="31" t="s">
        <v>3340</v>
      </c>
      <c r="B71" s="31"/>
    </row>
    <row r="72" customFormat="false" ht="15" hidden="false" customHeight="false" outlineLevel="0" collapsed="false">
      <c r="A72" s="31" t="s">
        <v>3386</v>
      </c>
      <c r="B72" s="31"/>
    </row>
    <row r="73" customFormat="false" ht="15" hidden="false" customHeight="false" outlineLevel="0" collapsed="false">
      <c r="A73" s="31" t="s">
        <v>3432</v>
      </c>
      <c r="B73" s="31"/>
    </row>
    <row r="74" customFormat="false" ht="15" hidden="false" customHeight="false" outlineLevel="0" collapsed="false">
      <c r="A74" s="31" t="s">
        <v>3479</v>
      </c>
      <c r="B74" s="31"/>
    </row>
    <row r="75" customFormat="false" ht="15" hidden="false" customHeight="false" outlineLevel="0" collapsed="false">
      <c r="A75" s="31" t="s">
        <v>3526</v>
      </c>
      <c r="B75" s="31"/>
    </row>
    <row r="76" customFormat="false" ht="15" hidden="false" customHeight="false" outlineLevel="0" collapsed="false">
      <c r="A76" s="31" t="s">
        <v>3573</v>
      </c>
      <c r="B76" s="31"/>
    </row>
    <row r="77" customFormat="false" ht="15" hidden="false" customHeight="false" outlineLevel="0" collapsed="false">
      <c r="A77" s="31" t="s">
        <v>3619</v>
      </c>
      <c r="B77" s="31"/>
    </row>
    <row r="78" customFormat="false" ht="15" hidden="false" customHeight="false" outlineLevel="0" collapsed="false">
      <c r="A78" s="31" t="s">
        <v>3665</v>
      </c>
      <c r="B78" s="31"/>
    </row>
    <row r="79" customFormat="false" ht="15" hidden="false" customHeight="false" outlineLevel="0" collapsed="false">
      <c r="A79" s="31" t="s">
        <v>3712</v>
      </c>
      <c r="B79" s="31"/>
    </row>
    <row r="80" customFormat="false" ht="15" hidden="false" customHeight="false" outlineLevel="0" collapsed="false">
      <c r="A80" s="31" t="s">
        <v>3759</v>
      </c>
      <c r="B80" s="31"/>
    </row>
    <row r="81" customFormat="false" ht="15" hidden="false" customHeight="false" outlineLevel="0" collapsed="false">
      <c r="A81" s="31" t="s">
        <v>3805</v>
      </c>
      <c r="B81" s="31"/>
    </row>
    <row r="82" customFormat="false" ht="15" hidden="false" customHeight="false" outlineLevel="0" collapsed="false">
      <c r="A82" s="31" t="s">
        <v>3850</v>
      </c>
      <c r="B82" s="31"/>
    </row>
    <row r="83" customFormat="false" ht="15" hidden="false" customHeight="false" outlineLevel="0" collapsed="false">
      <c r="A83" s="31" t="s">
        <v>3897</v>
      </c>
      <c r="B83" s="31"/>
    </row>
    <row r="84" customFormat="false" ht="15" hidden="false" customHeight="false" outlineLevel="0" collapsed="false">
      <c r="A84" s="31" t="s">
        <v>3944</v>
      </c>
      <c r="B84" s="31"/>
    </row>
    <row r="85" customFormat="false" ht="15" hidden="false" customHeight="false" outlineLevel="0" collapsed="false">
      <c r="A85" s="31" t="s">
        <v>3991</v>
      </c>
      <c r="B85" s="31"/>
    </row>
    <row r="86" customFormat="false" ht="15" hidden="false" customHeight="false" outlineLevel="0" collapsed="false">
      <c r="A86" s="31" t="s">
        <v>4037</v>
      </c>
      <c r="B86" s="31"/>
    </row>
    <row r="87" customFormat="false" ht="15" hidden="false" customHeight="false" outlineLevel="0" collapsed="false">
      <c r="A87" s="31" t="s">
        <v>4083</v>
      </c>
      <c r="B87" s="31"/>
    </row>
    <row r="88" customFormat="false" ht="15" hidden="false" customHeight="false" outlineLevel="0" collapsed="false">
      <c r="A88" s="31" t="s">
        <v>4129</v>
      </c>
      <c r="B88" s="31"/>
    </row>
    <row r="89" customFormat="false" ht="15" hidden="false" customHeight="false" outlineLevel="0" collapsed="false">
      <c r="A89" s="31" t="s">
        <v>4177</v>
      </c>
      <c r="B89" s="31"/>
    </row>
    <row r="90" customFormat="false" ht="15" hidden="false" customHeight="false" outlineLevel="0" collapsed="false">
      <c r="A90" s="31" t="s">
        <v>4223</v>
      </c>
      <c r="B90" s="31"/>
    </row>
    <row r="91" customFormat="false" ht="15" hidden="false" customHeight="false" outlineLevel="0" collapsed="false">
      <c r="A91" s="31" t="s">
        <v>4270</v>
      </c>
      <c r="B91" s="31"/>
    </row>
    <row r="92" customFormat="false" ht="15" hidden="false" customHeight="false" outlineLevel="0" collapsed="false">
      <c r="A92" s="31" t="s">
        <v>4316</v>
      </c>
      <c r="B92" s="31"/>
    </row>
    <row r="93" customFormat="false" ht="15" hidden="false" customHeight="false" outlineLevel="0" collapsed="false">
      <c r="A93" s="31" t="s">
        <v>4363</v>
      </c>
      <c r="B93" s="31"/>
    </row>
    <row r="94" customFormat="false" ht="15" hidden="false" customHeight="false" outlineLevel="0" collapsed="false">
      <c r="A94" s="31" t="s">
        <v>4409</v>
      </c>
      <c r="B94" s="31"/>
    </row>
    <row r="95" customFormat="false" ht="15" hidden="false" customHeight="false" outlineLevel="0" collapsed="false">
      <c r="A95" s="31" t="s">
        <v>4456</v>
      </c>
      <c r="B95" s="31"/>
    </row>
    <row r="96" customFormat="false" ht="15" hidden="false" customHeight="false" outlineLevel="0" collapsed="false">
      <c r="A96" s="31" t="s">
        <v>4503</v>
      </c>
      <c r="B96" s="31"/>
    </row>
    <row r="97" customFormat="false" ht="15" hidden="false" customHeight="false" outlineLevel="0" collapsed="false">
      <c r="A97" s="31" t="s">
        <v>4549</v>
      </c>
      <c r="B97" s="31"/>
    </row>
    <row r="98" customFormat="false" ht="15" hidden="false" customHeight="false" outlineLevel="0" collapsed="false">
      <c r="A98" s="31" t="s">
        <v>4595</v>
      </c>
      <c r="B98" s="31"/>
    </row>
    <row r="99" customFormat="false" ht="15" hidden="false" customHeight="false" outlineLevel="0" collapsed="false">
      <c r="A99" s="31" t="s">
        <v>4642</v>
      </c>
      <c r="B99" s="31"/>
    </row>
    <row r="100" customFormat="false" ht="15" hidden="false" customHeight="false" outlineLevel="0" collapsed="false">
      <c r="A100" s="31" t="s">
        <v>4689</v>
      </c>
      <c r="B100" s="31"/>
    </row>
    <row r="101" customFormat="false" ht="15" hidden="false" customHeight="false" outlineLevel="0" collapsed="false">
      <c r="A101" s="31" t="s">
        <v>4735</v>
      </c>
      <c r="B101" s="31"/>
    </row>
    <row r="102" customFormat="false" ht="15" hidden="false" customHeight="false" outlineLevel="0" collapsed="false">
      <c r="A102" s="31" t="s">
        <v>4782</v>
      </c>
      <c r="B102" s="31"/>
    </row>
    <row r="103" customFormat="false" ht="15" hidden="false" customHeight="false" outlineLevel="0" collapsed="false">
      <c r="A103" s="31" t="s">
        <v>4829</v>
      </c>
      <c r="B103" s="31"/>
    </row>
    <row r="104" customFormat="false" ht="15" hidden="false" customHeight="false" outlineLevel="0" collapsed="false">
      <c r="A104" s="31" t="s">
        <v>4875</v>
      </c>
      <c r="B104" s="31"/>
    </row>
    <row r="105" customFormat="false" ht="15" hidden="false" customHeight="false" outlineLevel="0" collapsed="false">
      <c r="A105" s="31" t="s">
        <v>4922</v>
      </c>
      <c r="B105" s="31"/>
    </row>
    <row r="106" customFormat="false" ht="15" hidden="false" customHeight="false" outlineLevel="0" collapsed="false">
      <c r="A106" s="31" t="s">
        <v>4969</v>
      </c>
      <c r="B106" s="31"/>
    </row>
    <row r="107" customFormat="false" ht="15" hidden="false" customHeight="false" outlineLevel="0" collapsed="false">
      <c r="A107" s="31" t="s">
        <v>5016</v>
      </c>
      <c r="B107" s="31"/>
    </row>
    <row r="108" customFormat="false" ht="15" hidden="false" customHeight="false" outlineLevel="0" collapsed="false">
      <c r="A108" s="31" t="s">
        <v>5063</v>
      </c>
      <c r="B108" s="31"/>
    </row>
    <row r="109" customFormat="false" ht="15" hidden="false" customHeight="false" outlineLevel="0" collapsed="false">
      <c r="A109" s="31" t="s">
        <v>5108</v>
      </c>
      <c r="B109" s="31"/>
    </row>
    <row r="110" customFormat="false" ht="15" hidden="false" customHeight="false" outlineLevel="0" collapsed="false">
      <c r="A110" s="31" t="s">
        <v>5155</v>
      </c>
      <c r="B110" s="31"/>
    </row>
    <row r="111" customFormat="false" ht="15" hidden="false" customHeight="false" outlineLevel="0" collapsed="false">
      <c r="A111" s="31" t="s">
        <v>5202</v>
      </c>
      <c r="B111" s="31"/>
    </row>
    <row r="112" customFormat="false" ht="15" hidden="false" customHeight="false" outlineLevel="0" collapsed="false">
      <c r="A112" s="31" t="s">
        <v>5249</v>
      </c>
      <c r="B112" s="31"/>
    </row>
    <row r="113" customFormat="false" ht="15" hidden="false" customHeight="false" outlineLevel="0" collapsed="false">
      <c r="A113" s="31" t="s">
        <v>5296</v>
      </c>
      <c r="B113" s="31"/>
    </row>
    <row r="114" customFormat="false" ht="15" hidden="false" customHeight="false" outlineLevel="0" collapsed="false">
      <c r="A114" s="31" t="s">
        <v>5342</v>
      </c>
      <c r="B114" s="31"/>
    </row>
    <row r="115" customFormat="false" ht="15" hidden="false" customHeight="false" outlineLevel="0" collapsed="false">
      <c r="A115" s="31" t="s">
        <v>5388</v>
      </c>
      <c r="B115" s="31"/>
    </row>
    <row r="116" customFormat="false" ht="15" hidden="false" customHeight="false" outlineLevel="0" collapsed="false">
      <c r="A116" s="31" t="s">
        <v>5435</v>
      </c>
      <c r="B116" s="31"/>
    </row>
    <row r="117" customFormat="false" ht="15" hidden="false" customHeight="false" outlineLevel="0" collapsed="false">
      <c r="A117" s="31" t="s">
        <v>5482</v>
      </c>
      <c r="B117" s="31"/>
    </row>
    <row r="118" customFormat="false" ht="15" hidden="false" customHeight="false" outlineLevel="0" collapsed="false">
      <c r="A118" s="31" t="s">
        <v>5528</v>
      </c>
      <c r="B118" s="31"/>
    </row>
    <row r="119" customFormat="false" ht="15" hidden="false" customHeight="false" outlineLevel="0" collapsed="false">
      <c r="A119" s="31" t="s">
        <v>5574</v>
      </c>
      <c r="B119" s="31"/>
    </row>
    <row r="120" customFormat="false" ht="15" hidden="false" customHeight="false" outlineLevel="0" collapsed="false">
      <c r="A120" s="31" t="s">
        <v>5620</v>
      </c>
      <c r="B120" s="31"/>
    </row>
    <row r="121" customFormat="false" ht="15" hidden="false" customHeight="false" outlineLevel="0" collapsed="false">
      <c r="A121" s="31" t="s">
        <v>5666</v>
      </c>
      <c r="B121" s="31"/>
    </row>
    <row r="122" customFormat="false" ht="15" hidden="false" customHeight="false" outlineLevel="0" collapsed="false">
      <c r="A122" s="31" t="s">
        <v>5713</v>
      </c>
      <c r="B122" s="31"/>
    </row>
    <row r="123" customFormat="false" ht="15" hidden="false" customHeight="false" outlineLevel="0" collapsed="false">
      <c r="A123" s="31" t="s">
        <v>5760</v>
      </c>
      <c r="B123" s="31"/>
    </row>
    <row r="124" customFormat="false" ht="15" hidden="false" customHeight="false" outlineLevel="0" collapsed="false">
      <c r="A124" s="31" t="s">
        <v>5806</v>
      </c>
      <c r="B124" s="31"/>
    </row>
    <row r="125" customFormat="false" ht="15" hidden="false" customHeight="false" outlineLevel="0" collapsed="false">
      <c r="A125" s="31" t="s">
        <v>5852</v>
      </c>
      <c r="B125" s="31"/>
    </row>
    <row r="126" customFormat="false" ht="15" hidden="false" customHeight="false" outlineLevel="0" collapsed="false">
      <c r="A126" s="31" t="s">
        <v>5898</v>
      </c>
      <c r="B126" s="31"/>
    </row>
    <row r="127" customFormat="false" ht="15" hidden="false" customHeight="false" outlineLevel="0" collapsed="false">
      <c r="A127" s="31" t="s">
        <v>5944</v>
      </c>
      <c r="B127" s="31"/>
    </row>
    <row r="128" customFormat="false" ht="15" hidden="false" customHeight="false" outlineLevel="0" collapsed="false">
      <c r="A128" s="31" t="s">
        <v>5990</v>
      </c>
      <c r="B128" s="31"/>
    </row>
    <row r="129" customFormat="false" ht="15" hidden="false" customHeight="false" outlineLevel="0" collapsed="false">
      <c r="A129" s="31" t="s">
        <v>6036</v>
      </c>
      <c r="B129" s="31"/>
    </row>
    <row r="130" customFormat="false" ht="15" hidden="false" customHeight="false" outlineLevel="0" collapsed="false">
      <c r="A130" s="31" t="s">
        <v>6082</v>
      </c>
      <c r="B130" s="31"/>
    </row>
    <row r="131" customFormat="false" ht="15" hidden="false" customHeight="false" outlineLevel="0" collapsed="false">
      <c r="A131" s="31" t="s">
        <v>6129</v>
      </c>
      <c r="B131" s="31"/>
    </row>
    <row r="132" customFormat="false" ht="15" hidden="false" customHeight="false" outlineLevel="0" collapsed="false">
      <c r="A132" s="31" t="s">
        <v>6175</v>
      </c>
      <c r="B132" s="31"/>
    </row>
    <row r="133" customFormat="false" ht="15" hidden="false" customHeight="false" outlineLevel="0" collapsed="false">
      <c r="A133" s="31" t="s">
        <v>6222</v>
      </c>
      <c r="B133" s="31"/>
    </row>
    <row r="134" customFormat="false" ht="15" hidden="false" customHeight="false" outlineLevel="0" collapsed="false">
      <c r="A134" s="31" t="s">
        <v>6269</v>
      </c>
      <c r="B134" s="31"/>
    </row>
    <row r="135" customFormat="false" ht="15" hidden="false" customHeight="false" outlineLevel="0" collapsed="false">
      <c r="A135" s="31" t="s">
        <v>6316</v>
      </c>
      <c r="B135" s="31"/>
    </row>
    <row r="136" customFormat="false" ht="15" hidden="false" customHeight="false" outlineLevel="0" collapsed="false">
      <c r="A136" s="31" t="s">
        <v>6362</v>
      </c>
      <c r="B136" s="31"/>
    </row>
    <row r="137" customFormat="false" ht="15" hidden="false" customHeight="false" outlineLevel="0" collapsed="false">
      <c r="A137" s="31" t="s">
        <v>6410</v>
      </c>
      <c r="B137" s="31"/>
    </row>
    <row r="138" customFormat="false" ht="15" hidden="false" customHeight="false" outlineLevel="0" collapsed="false">
      <c r="A138" s="31" t="s">
        <v>6456</v>
      </c>
      <c r="B138" s="31"/>
    </row>
    <row r="139" customFormat="false" ht="15" hidden="false" customHeight="false" outlineLevel="0" collapsed="false">
      <c r="A139" s="31" t="s">
        <v>6503</v>
      </c>
      <c r="B139" s="31"/>
    </row>
    <row r="140" customFormat="false" ht="15" hidden="false" customHeight="false" outlineLevel="0" collapsed="false">
      <c r="A140" s="31" t="s">
        <v>6550</v>
      </c>
      <c r="B140" s="31"/>
    </row>
    <row r="141" customFormat="false" ht="15" hidden="false" customHeight="false" outlineLevel="0" collapsed="false">
      <c r="A141" s="31" t="s">
        <v>6596</v>
      </c>
      <c r="B141" s="31"/>
    </row>
    <row r="142" customFormat="false" ht="15" hidden="false" customHeight="false" outlineLevel="0" collapsed="false">
      <c r="A142" s="31" t="s">
        <v>6643</v>
      </c>
      <c r="B142" s="31"/>
    </row>
    <row r="143" customFormat="false" ht="15" hidden="false" customHeight="false" outlineLevel="0" collapsed="false">
      <c r="A143" s="31" t="s">
        <v>6690</v>
      </c>
      <c r="B143" s="31"/>
    </row>
    <row r="144" customFormat="false" ht="15" hidden="false" customHeight="false" outlineLevel="0" collapsed="false">
      <c r="A144" s="31" t="s">
        <v>6737</v>
      </c>
      <c r="B144" s="31"/>
    </row>
    <row r="145" customFormat="false" ht="15" hidden="false" customHeight="false" outlineLevel="0" collapsed="false">
      <c r="A145" s="31" t="s">
        <v>6784</v>
      </c>
      <c r="B145" s="31"/>
    </row>
    <row r="146" customFormat="false" ht="15" hidden="false" customHeight="false" outlineLevel="0" collapsed="false">
      <c r="A146" s="31" t="s">
        <v>6831</v>
      </c>
      <c r="B146" s="31"/>
    </row>
    <row r="147" customFormat="false" ht="15" hidden="false" customHeight="false" outlineLevel="0" collapsed="false">
      <c r="A147" s="31" t="s">
        <v>6876</v>
      </c>
      <c r="B147" s="31"/>
    </row>
    <row r="148" customFormat="false" ht="15" hidden="false" customHeight="false" outlineLevel="0" collapsed="false">
      <c r="A148" s="31" t="s">
        <v>6923</v>
      </c>
      <c r="B148" s="31"/>
    </row>
    <row r="149" customFormat="false" ht="15" hidden="false" customHeight="false" outlineLevel="0" collapsed="false">
      <c r="A149" s="31" t="s">
        <v>6969</v>
      </c>
      <c r="B149" s="31"/>
    </row>
    <row r="150" customFormat="false" ht="15" hidden="false" customHeight="false" outlineLevel="0" collapsed="false">
      <c r="A150" s="31" t="s">
        <v>7016</v>
      </c>
      <c r="B150" s="31"/>
    </row>
    <row r="151" customFormat="false" ht="15" hidden="false" customHeight="false" outlineLevel="0" collapsed="false">
      <c r="A151" s="31" t="s">
        <v>7062</v>
      </c>
      <c r="B151" s="31"/>
    </row>
    <row r="152" customFormat="false" ht="15" hidden="false" customHeight="false" outlineLevel="0" collapsed="false">
      <c r="A152" s="31" t="s">
        <v>7109</v>
      </c>
      <c r="B152" s="31"/>
    </row>
    <row r="153" customFormat="false" ht="15" hidden="false" customHeight="false" outlineLevel="0" collapsed="false">
      <c r="A153" s="31" t="s">
        <v>7155</v>
      </c>
      <c r="B153" s="31"/>
    </row>
    <row r="154" customFormat="false" ht="15" hidden="false" customHeight="false" outlineLevel="0" collapsed="false">
      <c r="A154" s="31" t="s">
        <v>7201</v>
      </c>
      <c r="B154" s="31"/>
    </row>
    <row r="155" customFormat="false" ht="15" hidden="false" customHeight="false" outlineLevel="0" collapsed="false">
      <c r="A155" s="31" t="s">
        <v>7247</v>
      </c>
      <c r="B155" s="31"/>
    </row>
    <row r="156" customFormat="false" ht="15" hidden="false" customHeight="false" outlineLevel="0" collapsed="false">
      <c r="A156" s="31" t="s">
        <v>7293</v>
      </c>
      <c r="B156" s="31"/>
    </row>
    <row r="157" customFormat="false" ht="15" hidden="false" customHeight="false" outlineLevel="0" collapsed="false">
      <c r="A157" s="31" t="s">
        <v>7340</v>
      </c>
      <c r="B157" s="31"/>
    </row>
    <row r="158" customFormat="false" ht="15" hidden="false" customHeight="false" outlineLevel="0" collapsed="false">
      <c r="A158" s="31" t="s">
        <v>7386</v>
      </c>
      <c r="B158" s="31"/>
    </row>
    <row r="159" customFormat="false" ht="15" hidden="false" customHeight="false" outlineLevel="0" collapsed="false">
      <c r="A159" s="31" t="s">
        <v>7433</v>
      </c>
      <c r="B159" s="31"/>
    </row>
    <row r="160" customFormat="false" ht="15" hidden="false" customHeight="false" outlineLevel="0" collapsed="false">
      <c r="A160" s="31" t="s">
        <v>7480</v>
      </c>
      <c r="B160" s="31"/>
    </row>
    <row r="161" customFormat="false" ht="15" hidden="false" customHeight="false" outlineLevel="0" collapsed="false">
      <c r="A161" s="31" t="s">
        <v>7526</v>
      </c>
      <c r="B161" s="31"/>
    </row>
    <row r="162" customFormat="false" ht="15" hidden="false" customHeight="false" outlineLevel="0" collapsed="false">
      <c r="A162" s="31" t="s">
        <v>7573</v>
      </c>
      <c r="B162" s="31"/>
    </row>
    <row r="163" customFormat="false" ht="15" hidden="false" customHeight="false" outlineLevel="0" collapsed="false">
      <c r="A163" s="31" t="s">
        <v>7620</v>
      </c>
      <c r="B163" s="31"/>
    </row>
    <row r="164" customFormat="false" ht="15" hidden="false" customHeight="false" outlineLevel="0" collapsed="false">
      <c r="A164" s="31" t="s">
        <v>7665</v>
      </c>
      <c r="B164" s="31"/>
    </row>
    <row r="165" customFormat="false" ht="15" hidden="false" customHeight="false" outlineLevel="0" collapsed="false">
      <c r="A165" s="31" t="s">
        <v>7712</v>
      </c>
      <c r="B165" s="31"/>
    </row>
    <row r="166" customFormat="false" ht="15" hidden="false" customHeight="false" outlineLevel="0" collapsed="false">
      <c r="A166" s="31" t="s">
        <v>7758</v>
      </c>
      <c r="B166" s="31"/>
    </row>
    <row r="167" customFormat="false" ht="15" hidden="false" customHeight="false" outlineLevel="0" collapsed="false">
      <c r="A167" s="31" t="s">
        <v>7805</v>
      </c>
      <c r="B167" s="31"/>
    </row>
    <row r="168" customFormat="false" ht="15" hidden="false" customHeight="false" outlineLevel="0" collapsed="false">
      <c r="A168" s="31" t="s">
        <v>7852</v>
      </c>
      <c r="B168" s="31"/>
    </row>
    <row r="169" customFormat="false" ht="15" hidden="false" customHeight="false" outlineLevel="0" collapsed="false">
      <c r="A169" s="31" t="s">
        <v>7899</v>
      </c>
      <c r="B169" s="31"/>
    </row>
    <row r="170" customFormat="false" ht="15" hidden="false" customHeight="false" outlineLevel="0" collapsed="false">
      <c r="A170" s="31" t="s">
        <v>7946</v>
      </c>
      <c r="B170" s="31"/>
    </row>
    <row r="171" customFormat="false" ht="15" hidden="false" customHeight="false" outlineLevel="0" collapsed="false">
      <c r="A171" s="31" t="s">
        <v>7992</v>
      </c>
      <c r="B171" s="31"/>
    </row>
    <row r="172" customFormat="false" ht="15" hidden="false" customHeight="false" outlineLevel="0" collapsed="false">
      <c r="A172" s="31" t="s">
        <v>8038</v>
      </c>
      <c r="B172" s="31"/>
    </row>
    <row r="173" customFormat="false" ht="15" hidden="false" customHeight="false" outlineLevel="0" collapsed="false">
      <c r="A173" s="31" t="s">
        <v>8084</v>
      </c>
      <c r="B173" s="31"/>
    </row>
    <row r="174" customFormat="false" ht="15" hidden="false" customHeight="false" outlineLevel="0" collapsed="false">
      <c r="A174" s="31" t="s">
        <v>8130</v>
      </c>
      <c r="B174" s="31"/>
    </row>
    <row r="175" customFormat="false" ht="15" hidden="false" customHeight="false" outlineLevel="0" collapsed="false">
      <c r="A175" s="31" t="s">
        <v>8176</v>
      </c>
      <c r="B175" s="31"/>
    </row>
    <row r="176" customFormat="false" ht="15" hidden="false" customHeight="false" outlineLevel="0" collapsed="false">
      <c r="A176" s="31" t="s">
        <v>8222</v>
      </c>
      <c r="B176" s="31"/>
    </row>
    <row r="177" customFormat="false" ht="15" hidden="false" customHeight="false" outlineLevel="0" collapsed="false">
      <c r="A177" s="31" t="s">
        <v>8269</v>
      </c>
      <c r="B177" s="31"/>
    </row>
    <row r="178" customFormat="false" ht="15" hidden="false" customHeight="false" outlineLevel="0" collapsed="false">
      <c r="A178" s="31" t="s">
        <v>8315</v>
      </c>
      <c r="B178" s="31"/>
    </row>
    <row r="179" customFormat="false" ht="15" hidden="false" customHeight="false" outlineLevel="0" collapsed="false">
      <c r="A179" s="31" t="s">
        <v>8361</v>
      </c>
      <c r="B179" s="31"/>
    </row>
    <row r="180" customFormat="false" ht="15" hidden="false" customHeight="false" outlineLevel="0" collapsed="false">
      <c r="A180" s="31" t="s">
        <v>8407</v>
      </c>
      <c r="B180" s="31"/>
    </row>
    <row r="181" customFormat="false" ht="15" hidden="false" customHeight="false" outlineLevel="0" collapsed="false">
      <c r="A181" s="31" t="s">
        <v>8454</v>
      </c>
      <c r="B181" s="3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2026-10-15T00:10:12Z</dcterms:created>
  <dc:creator>openpyxl</dc:creator>
  <dc:description/>
  <dc:language>en-US</dc:language>
  <cp:lastModifiedBy/>
  <dcterms:modified xsi:type="dcterms:W3CDTF">2026-10-15T00:10:14Z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