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Rules" sheetId="2" state="visible" r:id="rId4"/>
    <sheet name="Simulator" sheetId="3" state="visible" r:id="rId5"/>
  </sheets>
  <definedNames>
    <definedName function="false" hidden="false" localSheetId="1" name="_xlnm.Print_Titles" vbProcedure="false">Rules!$1:$1</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G1" authorId="0">
      <text>
        <r>
          <rPr>
            <sz val="10"/>
            <rFont val="Arial"/>
            <family val="2"/>
          </rPr>
          <t xml:space="preserve">Pick from the list. Leave blank if you have not decided.</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B6" authorId="0">
      <text>
        <r>
          <rPr>
            <sz val="10"/>
            <rFont val="Arial"/>
            <family val="2"/>
          </rPr>
          <t xml:space="preserve">Source: lib/srs.ts, LADDER_DAYS = [3, 7, 15, 30, 60, 120, 180].</t>
        </r>
      </text>
    </comment>
    <comment ref="B26" authorId="0">
      <text>
        <r>
          <rPr>
            <sz val="10"/>
            <rFont val="Arial"/>
            <family val="2"/>
          </rPr>
          <t xml:space="preserve">Example run, already filled. Change any answer, or clear a cell to end the run there.</t>
        </r>
      </text>
    </comment>
  </commentList>
</comments>
</file>

<file path=xl/sharedStrings.xml><?xml version="1.0" encoding="utf-8"?>
<sst xmlns="http://schemas.openxmlformats.org/spreadsheetml/2006/main" count="295" uniqueCount="218">
  <si>
    <t xml:space="preserve">Spaced Repetition · Your Review Plan — rules for review</t>
  </si>
  <si>
    <t xml:space="preserve">Version 2.1 · 30 Oct 2026 · the rules as built in spaced repetition v2, with the fixes from both audits (docs/SRS-V2-PLAN.md). Version 1.0 had the old rules (1 · 3 · 7 · 15 · 30 · 60 days).</t>
  </si>
  <si>
    <t xml:space="preserve">What this file is</t>
  </si>
  <si>
    <t xml:space="preserve">Every rule the app follows for the Review Plan box on side 3 of a flashcard, and for which card comes next, after the v2 changes you approved on 30 Oct. Column B on the Rules sheet says which rules are NEW or CHANGED in v2. To ask for more changes, fill in columns G to I and send it back; nothing changes until you confirm.</t>
  </si>
  <si>
    <t xml:space="preserve">How to use it</t>
  </si>
  <si>
    <t xml:space="preserve">1.  Sheet "Rules": read each rule. In column G pick Keep, Change, Remove or Not sure.</t>
  </si>
  <si>
    <t xml:space="preserve">2.  If you pick Change, write the new rule in column H (Your change) and the reason in column I.</t>
  </si>
  <si>
    <t xml:space="preserve">3.  A rule that is not there yet: use the empty rows N01 to N05 at the bottom of the Rules sheet.</t>
  </si>
  <si>
    <t xml:space="preserve">4.  Sheet "Simulator": type new day gaps or button moves in the yellow Proposed cells. Pick answers in column B. It shows, side by side, when the card comes back today and with your change.</t>
  </si>
  <si>
    <t xml:space="preserve">5.  Send the file back in the chat. I will list exactly what changes in the code, then build it after you say yes.</t>
  </si>
  <si>
    <t xml:space="preserve">Colour legend</t>
  </si>
  <si>
    <t xml:space="preserve">Write here</t>
  </si>
  <si>
    <t xml:space="preserve">Yellow cell = you write here.</t>
  </si>
  <si>
    <t xml:space="preserve">10</t>
  </si>
  <si>
    <t xml:space="preserve">Blue number = a value you can change (Simulator).</t>
  </si>
  <si>
    <t xml:space="preserve">Formula</t>
  </si>
  <si>
    <t xml:space="preserve">Black text = a rule or a formula. Do not type over formulas.</t>
  </si>
  <si>
    <t xml:space="preserve">Today</t>
  </si>
  <si>
    <t xml:space="preserve">Grey cell = today's value from the code, kept for comparison. Do not change it.</t>
  </si>
  <si>
    <t xml:space="preserve">Example of a filled row (example only, not a real request)</t>
  </si>
  <si>
    <t xml:space="preserve">Columns</t>
  </si>
  <si>
    <t xml:space="preserve">ID  |  Rule  |  Keep or change?  |  Your change  |  Why</t>
  </si>
  <si>
    <t xml:space="preserve">Filled in as</t>
  </si>
  <si>
    <t xml:space="preserve">R08  |  First Known on a new card: Hard 3, Medium 7, Easy 15 days  |  Change  |  Medium on a new card should come back in 3 days, like Hard.  |  Most students forget a new word by the next day.</t>
  </si>
  <si>
    <t xml:space="preserve">Moving cards from v1 to v2</t>
  </si>
  <si>
    <t xml:space="preserve">Each card stores its step number and its next review date. v2 dropped the 1-day step, so after the deploy scripts/srs-v2-restage.ts moves every card to the v2 step that matches the gap it was given (1 or 3 days → 3, 7 → 7, … 60 → 60). Dates, remarks, notes and history are not touched, and running it twice does no harm. A card already due tomorrow under v1 stays due tomorrow, once.</t>
  </si>
  <si>
    <t xml:space="preserve">ID</t>
  </si>
  <si>
    <t xml:space="preserve">In v2</t>
  </si>
  <si>
    <t xml:space="preserve">Rule (what the app does now, v2)</t>
  </si>
  <si>
    <t xml:space="preserve">Today's value</t>
  </si>
  <si>
    <t xml:space="preserve">Example</t>
  </si>
  <si>
    <t xml:space="preserve">Code file</t>
  </si>
  <si>
    <t xml:space="preserve">Keep or change?</t>
  </si>
  <si>
    <t xml:space="preserve">Your change</t>
  </si>
  <si>
    <t xml:space="preserve">Why / notes</t>
  </si>
  <si>
    <t xml:space="preserve">Ladder</t>
  </si>
  <si>
    <t xml:space="preserve">R01</t>
  </si>
  <si>
    <t xml:space="preserve">CHANGED</t>
  </si>
  <si>
    <t xml:space="preserve">The ladder has 7 steps. The number on each step is the gap in days until the next review.</t>
  </si>
  <si>
    <t xml:space="preserve">3 · 7 · 15 · 30 · 60 · 120 · 180</t>
  </si>
  <si>
    <t xml:space="preserve">—</t>
  </si>
  <si>
    <t xml:space="preserve">lib/srs.ts (LADDER_DAYS)</t>
  </si>
  <si>
    <t xml:space="preserve">R02</t>
  </si>
  <si>
    <t xml:space="preserve">180 days is the top step. Known on a card already at 180 keeps it at 180. A card never leaves the plan.</t>
  </si>
  <si>
    <t xml:space="preserve">Top = 180 days</t>
  </si>
  <si>
    <t xml:space="preserve">Card at 180, Known + Easy → about 180 days again</t>
  </si>
  <si>
    <t xml:space="preserve">lib/srs.ts</t>
  </si>
  <si>
    <t xml:space="preserve">R03</t>
  </si>
  <si>
    <t xml:space="preserve">A card that was never marked counts as being on Step 1 (Day 3).</t>
  </si>
  <si>
    <t xml:space="preserve">Start = Step 1</t>
  </si>
  <si>
    <t xml:space="preserve">R04</t>
  </si>
  <si>
    <t xml:space="preserve">NEW</t>
  </si>
  <si>
    <t xml:space="preserve">No answer ever brings a card back sooner than 3 days. The first step is 3 days and nothing goes below it.</t>
  </si>
  <si>
    <t xml:space="preserve">Minimum 3 days</t>
  </si>
  <si>
    <t xml:space="preserve">Monday → Thursday at the earliest</t>
  </si>
  <si>
    <t xml:space="preserve">Buttons</t>
  </si>
  <si>
    <t xml:space="preserve">R05</t>
  </si>
  <si>
    <t xml:space="preserve">Unknown: two steps down, never below Step 1 (3 days). Ticks above the new step are removed.</t>
  </si>
  <si>
    <t xml:space="preserve">−2 steps, min 3 days</t>
  </si>
  <si>
    <t xml:space="preserve">On Day 60, Unknown → in 15 days; on Day 7 → in 3 days</t>
  </si>
  <si>
    <t xml:space="preserve">R06</t>
  </si>
  <si>
    <t xml:space="preserve">Same</t>
  </si>
  <si>
    <t xml:space="preserve">Known + Hard: stays on the same step, so the same gap again.</t>
  </si>
  <si>
    <t xml:space="preserve">+0 steps</t>
  </si>
  <si>
    <t xml:space="preserve">On Day 7, Hard → in 7 days again</t>
  </si>
  <si>
    <t xml:space="preserve">R07</t>
  </si>
  <si>
    <t xml:space="preserve">Known + Medium: one step up.</t>
  </si>
  <si>
    <t xml:space="preserve">+1 step</t>
  </si>
  <si>
    <t xml:space="preserve">On Day 7, Medium → in 15 days</t>
  </si>
  <si>
    <t xml:space="preserve">R08</t>
  </si>
  <si>
    <t xml:space="preserve">Known + Easy: two steps up (one step is skipped).</t>
  </si>
  <si>
    <t xml:space="preserve">+2 steps</t>
  </si>
  <si>
    <t xml:space="preserve">On Day 7, Easy → in 30 days</t>
  </si>
  <si>
    <t xml:space="preserve">R09</t>
  </si>
  <si>
    <t xml:space="preserve">A new card's first Known: Hard → 3 days, Medium → 7, Easy → 15. A new card's Unknown → 3 days.</t>
  </si>
  <si>
    <t xml:space="preserve">First gap: Hard 3, Medium 7, Easy 15</t>
  </si>
  <si>
    <t xml:space="preserve">New word, Known + Medium → in 7 days</t>
  </si>
  <si>
    <t xml:space="preserve">R10</t>
  </si>
  <si>
    <t xml:space="preserve">The level (Hard / Medium / Easy) is chosen before pressing Known. If none is chosen it is Medium. The card remembers the level picked last time. Unknown ignores the level.</t>
  </si>
  <si>
    <t xml:space="preserve">Default = Medium</t>
  </si>
  <si>
    <t xml:space="preserve">components/flashcards/CardControls.tsx, FlashcardDeck.tsx</t>
  </si>
  <si>
    <t xml:space="preserve">R11</t>
  </si>
  <si>
    <t xml:space="preserve">Late credit: on Known + Medium or Easy, the next gap is at least as long as the card actually stayed remembered. Not on Hard.</t>
  </si>
  <si>
    <t xml:space="preserve">Gap ≥ days remembered</t>
  </si>
  <si>
    <t xml:space="preserve">Due at 7, back on day 20, Medium → 30 days</t>
  </si>
  <si>
    <t xml:space="preserve">R12</t>
  </si>
  <si>
    <t xml:space="preserve">After Unknown, the card comes round once more in the same session, 3 cards later, with the line 'Practice · not saved. Cards you mark Unknown come round once more like this.' That answer only moves on; nothing is saved and the date does not change. If nothing else is left, it comes at once.</t>
  </si>
  <si>
    <t xml:space="preserve">Once, after 3 cards</t>
  </si>
  <si>
    <t xml:space="preserve">Unknown on A → B, C, D → A again (practice) → E</t>
  </si>
  <si>
    <t xml:space="preserve">lib/cardAgain.ts</t>
  </si>
  <si>
    <t xml:space="preserve">Timing</t>
  </si>
  <si>
    <t xml:space="preserve">R13</t>
  </si>
  <si>
    <t xml:space="preserve">Dates are whole India-time days: a card is due from midnight IST on its day, not a number of hours after the tap.</t>
  </si>
  <si>
    <t xml:space="preserve">Midnight IST</t>
  </si>
  <si>
    <t xml:space="preserve">Marked Mon 9:00 pm, 3 days → due from Thu 00:00</t>
  </si>
  <si>
    <t xml:space="preserve">R14</t>
  </si>
  <si>
    <t xml:space="preserve">Spread: gaps of 15 days move by up to ±1 day, gaps of 30 days and more by up to ±2, so one day's cards do not all come back on one day. Fixed per card and review, not random.</t>
  </si>
  <si>
    <t xml:space="preserve">15: ±1 · 30+: ±2</t>
  </si>
  <si>
    <t xml:space="preserve">A 30-day gap lands on day 28 to 32</t>
  </si>
  <si>
    <t xml:space="preserve">R15</t>
  </si>
  <si>
    <t xml:space="preserve">The 'Next review …' line counts India-time days: already due → 'due now'; next day → 'tomorrow'; more → 'in N days'. ('later today' only for a card scheduled before v2.)</t>
  </si>
  <si>
    <t xml:space="preserve">Calendar days</t>
  </si>
  <si>
    <t xml:space="preserve">Mon 9 pm → Tue 8 pm is 'tomorrow'</t>
  </si>
  <si>
    <t xml:space="preserve">lib/srs.ts (describeDue)</t>
  </si>
  <si>
    <t xml:space="preserve">R16</t>
  </si>
  <si>
    <t xml:space="preserve">Double-tap guard: a second Known / Unknown on the same card within 8 seconds is ignored, so one answer cannot climb two steps.</t>
  </si>
  <si>
    <t xml:space="preserve">8 seconds</t>
  </si>
  <si>
    <t xml:space="preserve">app/api/flashcards/route.ts</t>
  </si>
  <si>
    <t xml:space="preserve">Daily session (built-in cards)</t>
  </si>
  <si>
    <t xml:space="preserve">R17</t>
  </si>
  <si>
    <t xml:space="preserve">Cards whose review is due come first. The one that has waited longest comes first.</t>
  </si>
  <si>
    <t xml:space="preserve">Oldest due first</t>
  </si>
  <si>
    <t xml:space="preserve">lib/flashcards.ts (nextCardId)</t>
  </si>
  <si>
    <t xml:space="preserve">R18</t>
  </si>
  <si>
    <t xml:space="preserve">After the due cards: new cards, in the sheet's learning order.</t>
  </si>
  <si>
    <t xml:space="preserve">Sheet order</t>
  </si>
  <si>
    <t xml:space="preserve">lib/flashcards.ts</t>
  </si>
  <si>
    <t xml:space="preserve">R19</t>
  </si>
  <si>
    <t xml:space="preserve">Reviews per day (Settings): No limit, 50, 100, 150 or 200, per kind (Words, Chunks, Grammar, Support) per India day. Past the limit, due cards wait for tomorrow and new cards are still served. A review is an answer today on a card first answered on an earlier day.</t>
  </si>
  <si>
    <t xml:space="preserve">Default = No limit</t>
  </si>
  <si>
    <t xml:space="preserve">Limit 100, 140 due → 100 today, 40 tomorrow</t>
  </si>
  <si>
    <t xml:space="preserve">lib/flashcards.ts, lib/preferences.ts</t>
  </si>
  <si>
    <t xml:space="preserve">R20</t>
  </si>
  <si>
    <t xml:space="preserve">New cards per day: the student picks 5, 10, 15, 20 or 30 in Settings. The server accepts 5 to 50.</t>
  </si>
  <si>
    <t xml:space="preserve">Default = 10</t>
  </si>
  <si>
    <t xml:space="preserve">lib/preferences.ts</t>
  </si>
  <si>
    <t xml:space="preserve">R21</t>
  </si>
  <si>
    <t xml:space="preserve">For both daily limits, a day starts at midnight India time (IST), and each kind (Words, Chunks, Grammar or Support) is counted on its own. Filtering to one type or section does not give more.</t>
  </si>
  <si>
    <t xml:space="preserve">Per kind, IST day</t>
  </si>
  <si>
    <t xml:space="preserve">10 chunks done → no new idioms today either</t>
  </si>
  <si>
    <t xml:space="preserve">R21b</t>
  </si>
  <si>
    <t xml:space="preserve">New or review is decided by the card's first answer (saved once, firstReviewedAt), not by when a remark was added and not by how many answers it has. A card tagged yesterday and first answered today is new; a new card opened again with ‹ and answered again the same day is still one new card.</t>
  </si>
  <si>
    <t xml:space="preserve">First answer decides</t>
  </si>
  <si>
    <t xml:space="preserve">Tag Mon, first answer Tue → new on Tue</t>
  </si>
  <si>
    <t xml:space="preserve">lib/flashcards.ts, lib/todayReview.ts</t>
  </si>
  <si>
    <t xml:space="preserve">R22</t>
  </si>
  <si>
    <t xml:space="preserve">When the session is finished, a 'Done for today' card shows. If the review limit held cards back it says how many wait for tomorrow; its button 'Keep going anyway' lifts both limits for that visit.</t>
  </si>
  <si>
    <t xml:space="preserve">Button lifts both limits</t>
  </si>
  <si>
    <t xml:space="preserve">'10 more cards are due; they will wait for tomorrow.'</t>
  </si>
  <si>
    <t xml:space="preserve">components/flashcards/DeckMessages.tsx</t>
  </si>
  <si>
    <t xml:space="preserve">R23</t>
  </si>
  <si>
    <t xml:space="preserve">Due counts on the Flashcard tab, Today page, Dashboard and the reminder email stop at the review limit, so they match what today will serve.</t>
  </si>
  <si>
    <t xml:space="preserve">Capped</t>
  </si>
  <si>
    <t xml:space="preserve">140 due, limit 100 → shows 100</t>
  </si>
  <si>
    <t xml:space="preserve">lib/srs.ts (servableDue)</t>
  </si>
  <si>
    <t xml:space="preserve">R24</t>
  </si>
  <si>
    <t xml:space="preserve">Only built-in cards are in this daily session. Cards in a student's own or followed decks are studied on the deck's own page.</t>
  </si>
  <si>
    <t xml:space="preserve">Built-in only</t>
  </si>
  <si>
    <t xml:space="preserve">Student &amp; library decks</t>
  </si>
  <si>
    <t xml:space="preserve">R25</t>
  </si>
  <si>
    <t xml:space="preserve">Own and followed decks use the same ladder, buttons, 3-day minimum and practice-after-Unknown, due cards first then new in deck order, with no daily limits.</t>
  </si>
  <si>
    <t xml:space="preserve">No limits</t>
  </si>
  <si>
    <t xml:space="preserve">lib/decks.ts (nextDeckCardId)</t>
  </si>
  <si>
    <t xml:space="preserve">Does NOT change the schedule</t>
  </si>
  <si>
    <t xml:space="preserve">R26</t>
  </si>
  <si>
    <t xml:space="preserve">Skip (› or swipe): the review date does not change. The skip lasts only for this visit.</t>
  </si>
  <si>
    <t xml:space="preserve">No change</t>
  </si>
  <si>
    <t xml:space="preserve">lib/cardSkip.ts</t>
  </si>
  <si>
    <t xml:space="preserve">R27</t>
  </si>
  <si>
    <t xml:space="preserve">Remarks (💯 ⭐ ❤️ ❓) and the 📝 note: the review date does not change. A remark on a never-marked card keeps it a new card.</t>
  </si>
  <si>
    <t xml:space="preserve">Review Plan box (side 3)</t>
  </si>
  <si>
    <t xml:space="preserve">R28</t>
  </si>
  <si>
    <t xml:space="preserve">Seven boxes, Day 3 to Day 180. Done steps are filled with ✓. The current step has a bold border and '· next'. Later steps are faint. Ink colour only.</t>
  </si>
  <si>
    <t xml:space="preserve">✓ Day 3  ✓ Day 7  [Day 15 · next]  Day 30 …</t>
  </si>
  <si>
    <t xml:space="preserve">components/flashcards/PracticeParts.tsx</t>
  </si>
  <si>
    <t xml:space="preserve">R29</t>
  </si>
  <si>
    <t xml:space="preserve">A never-marked card: no step is marked, and the line says 'Mark Known or Unknown to start the plan.'</t>
  </si>
  <si>
    <t xml:space="preserve">R30</t>
  </si>
  <si>
    <t xml:space="preserve">The same box, with the same rules, on every card: words, chunks, grammar, support, own decks, library decks.</t>
  </si>
  <si>
    <t xml:space="preserve">PracticeParts.tsx (used by all card sides)</t>
  </si>
  <si>
    <t xml:space="preserve">Reminders &amp; history</t>
  </si>
  <si>
    <t xml:space="preserve">R31</t>
  </si>
  <si>
    <t xml:space="preserve">The daily email reminder (if the student turned it on) is sent at their chosen hour, only when built-in cards are due. The number in it stops at the student's review limit; when the limit is used up, no email.</t>
  </si>
  <si>
    <t xml:space="preserve">Only if cards due</t>
  </si>
  <si>
    <t xml:space="preserve">Limit 50, 45 done, 10 due → '5 flashcards are due'</t>
  </si>
  <si>
    <t xml:space="preserve">lib/studyReminders.ts</t>
  </si>
  <si>
    <t xml:space="preserve">R32</t>
  </si>
  <si>
    <t xml:space="preserve">Every Known / Unknown is saved in study history. It is saved after the answer, so a history failure never blocks the answer. Practice answers are not saved.</t>
  </si>
  <si>
    <t xml:space="preserve">New rules you want to add</t>
  </si>
  <si>
    <t xml:space="preserve">N01</t>
  </si>
  <si>
    <t xml:space="preserve">N02</t>
  </si>
  <si>
    <t xml:space="preserve">N03</t>
  </si>
  <si>
    <t xml:space="preserve">N04</t>
  </si>
  <si>
    <t xml:space="preserve">N05</t>
  </si>
  <si>
    <t xml:space="preserve">Simulator — when does the card come back?</t>
  </si>
  <si>
    <t xml:space="preserve">Grey = today's rules (from the code). Yellow = your proposal: change the blue numbers. Pick answers in column B from row 26. Assumes the student reviews the card on the day it is due, so late credit never applies; the ±1–2 day spread on long gaps is left out.</t>
  </si>
  <si>
    <t xml:space="preserve">1. The ladder</t>
  </si>
  <si>
    <t xml:space="preserve">Step</t>
  </si>
  <si>
    <t xml:space="preserve">Today: gap (days)</t>
  </si>
  <si>
    <t xml:space="preserve">Proposed: gap (days)</t>
  </si>
  <si>
    <t xml:space="preserve">← Step 8 is empty: fill it to add a step. Fill from the top, no empty step in between.</t>
  </si>
  <si>
    <t xml:space="preserve">2. What each answer does</t>
  </si>
  <si>
    <t xml:space="preserve">Answer</t>
  </si>
  <si>
    <t xml:space="preserve">Proposed</t>
  </si>
  <si>
    <t xml:space="preserve">Known + Hard</t>
  </si>
  <si>
    <t xml:space="preserve">steps up (0 = same step; -1 = one step down)</t>
  </si>
  <si>
    <t xml:space="preserve">Known + Medium</t>
  </si>
  <si>
    <t xml:space="preserve">steps up</t>
  </si>
  <si>
    <t xml:space="preserve">Known + Easy</t>
  </si>
  <si>
    <t xml:space="preserve">Unknown</t>
  </si>
  <si>
    <t xml:space="preserve">steps down (never below step 1)</t>
  </si>
  <si>
    <t xml:space="preserve">New card starts on step</t>
  </si>
  <si>
    <t xml:space="preserve">step number</t>
  </si>
  <si>
    <t xml:space="preserve">Top step (counted)</t>
  </si>
  <si>
    <t xml:space="preserve">number of steps in the ladder above</t>
  </si>
  <si>
    <t xml:space="preserve">3. Try a run of answers</t>
  </si>
  <si>
    <t xml:space="preserve">Review no.</t>
  </si>
  <si>
    <t xml:space="preserve">Answer (pick)</t>
  </si>
  <si>
    <t xml:space="preserve">Today: step</t>
  </si>
  <si>
    <t xml:space="preserve">Today: gap</t>
  </si>
  <si>
    <t xml:space="preserve">Today: back on day</t>
  </si>
  <si>
    <t xml:space="preserve">Today: the box shows</t>
  </si>
  <si>
    <t xml:space="preserve">Proposed: step</t>
  </si>
  <si>
    <t xml:space="preserve">Proposed: gap</t>
  </si>
  <si>
    <t xml:space="preserve">Proposed: back on day</t>
  </si>
  <si>
    <t xml:space="preserve">Proposed: the box shows</t>
  </si>
  <si>
    <t xml:space="preserve">Reviews in the run</t>
  </si>
  <si>
    <t xml:space="preserve">Days the run covers</t>
  </si>
</sst>
</file>

<file path=xl/styles.xml><?xml version="1.0" encoding="utf-8"?>
<styleSheet xmlns="http://schemas.openxmlformats.org/spreadsheetml/2006/main">
  <numFmts count="2">
    <numFmt numFmtId="164" formatCode="General"/>
    <numFmt numFmtId="165" formatCode="General"/>
  </numFmts>
  <fonts count="17">
    <font>
      <sz val="11"/>
      <color theme="1"/>
      <name val="Calibri"/>
      <family val="2"/>
      <charset val="1"/>
    </font>
    <font>
      <sz val="10"/>
      <name val="Arial"/>
      <family val="0"/>
    </font>
    <font>
      <sz val="10"/>
      <name val="Arial"/>
      <family val="0"/>
    </font>
    <font>
      <sz val="10"/>
      <name val="Arial"/>
      <family val="0"/>
    </font>
    <font>
      <b val="true"/>
      <sz val="14"/>
      <color rgb="FF1F3A5F"/>
      <name val="Arial"/>
      <family val="0"/>
      <charset val="1"/>
    </font>
    <font>
      <i val="true"/>
      <sz val="10"/>
      <color rgb="FF595959"/>
      <name val="Arial"/>
      <family val="0"/>
      <charset val="1"/>
    </font>
    <font>
      <b val="true"/>
      <sz val="11"/>
      <color rgb="FF1F3A5F"/>
      <name val="Arial"/>
      <family val="0"/>
      <charset val="1"/>
    </font>
    <font>
      <sz val="10"/>
      <color rgb="FF000000"/>
      <name val="Arial"/>
      <family val="0"/>
      <charset val="1"/>
    </font>
    <font>
      <sz val="10"/>
      <color rgb="FF0000FF"/>
      <name val="Arial"/>
      <family val="0"/>
      <charset val="1"/>
    </font>
    <font>
      <b val="true"/>
      <sz val="10"/>
      <color rgb="FF000000"/>
      <name val="Arial"/>
      <family val="0"/>
      <charset val="1"/>
    </font>
    <font>
      <i val="true"/>
      <sz val="10"/>
      <color rgb="FF000000"/>
      <name val="Arial"/>
      <family val="0"/>
      <charset val="1"/>
    </font>
    <font>
      <b val="true"/>
      <sz val="10"/>
      <color rgb="FFFFFFFF"/>
      <name val="Arial"/>
      <family val="0"/>
      <charset val="1"/>
    </font>
    <font>
      <b val="true"/>
      <sz val="10"/>
      <color rgb="FF1F3A5F"/>
      <name val="Arial"/>
      <family val="0"/>
      <charset val="1"/>
    </font>
    <font>
      <b val="true"/>
      <sz val="10"/>
      <color rgb="FF006100"/>
      <name val="Arial"/>
      <family val="0"/>
      <charset val="1"/>
    </font>
    <font>
      <sz val="9"/>
      <color rgb="FF595959"/>
      <name val="Arial"/>
      <family val="0"/>
      <charset val="1"/>
    </font>
    <font>
      <sz val="10"/>
      <name val="Arial"/>
      <family val="2"/>
    </font>
    <font>
      <i val="true"/>
      <sz val="9"/>
      <color rgb="FF595959"/>
      <name val="Arial"/>
      <family val="0"/>
      <charset val="1"/>
    </font>
  </fonts>
  <fills count="7">
    <fill>
      <patternFill patternType="none"/>
    </fill>
    <fill>
      <patternFill patternType="gray125"/>
    </fill>
    <fill>
      <patternFill patternType="solid">
        <fgColor rgb="FFFFFF00"/>
        <bgColor rgb="FFFFFF00"/>
      </patternFill>
    </fill>
    <fill>
      <patternFill patternType="solid">
        <fgColor rgb="FFEDEDED"/>
        <bgColor rgb="FFDCE6F1"/>
      </patternFill>
    </fill>
    <fill>
      <patternFill patternType="solid">
        <fgColor rgb="FF1F3A5F"/>
        <bgColor rgb="FF333333"/>
      </patternFill>
    </fill>
    <fill>
      <patternFill patternType="solid">
        <fgColor rgb="FFDCE6F1"/>
        <bgColor rgb="FFEDEDED"/>
      </patternFill>
    </fill>
    <fill>
      <patternFill patternType="solid">
        <fgColor rgb="FFC6EFCE"/>
        <bgColor rgb="FFDCE6F1"/>
      </patternFill>
    </fill>
  </fills>
  <borders count="2">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center" vertical="top" textRotation="0" wrapText="true" indent="0" shrinkToFit="false"/>
      <protection locked="true" hidden="false"/>
    </xf>
    <xf numFmtId="164" fontId="12" fillId="5"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13" fillId="6"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5" fontId="7" fillId="3" borderId="1" xfId="0" applyFont="true" applyBorder="true" applyAlignment="true" applyProtection="false">
      <alignment horizontal="center" vertical="top" textRotation="0" wrapText="false" indent="0" shrinkToFit="false"/>
      <protection locked="true" hidden="false"/>
    </xf>
    <xf numFmtId="164" fontId="7" fillId="3" borderId="1" xfId="0" applyFont="true" applyBorder="true" applyAlignment="true" applyProtection="false">
      <alignment horizontal="left" vertical="top" textRotation="0" wrapText="false" indent="0" shrinkToFit="false"/>
      <protection locked="true" hidden="false"/>
    </xf>
    <xf numFmtId="165"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left"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C0C0C0"/>
      <rgbColor rgb="FF808080"/>
      <rgbColor rgb="FF9999FF"/>
      <rgbColor rgb="FF993366"/>
      <rgbColor rgb="FFEDEDED"/>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595959"/>
      <rgbColor rgb="FFA6A6A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C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3" min="3" style="0" width="95"/>
  </cols>
  <sheetData>
    <row r="1" customFormat="false" ht="17.35" hidden="false" customHeight="false" outlineLevel="0" collapsed="false">
      <c r="B1" s="1" t="s">
        <v>0</v>
      </c>
    </row>
    <row r="2" customFormat="false" ht="15" hidden="false" customHeight="false" outlineLevel="0" collapsed="false">
      <c r="B2" s="2" t="s">
        <v>1</v>
      </c>
    </row>
    <row r="4" customFormat="false" ht="15" hidden="false" customHeight="false" outlineLevel="0" collapsed="false">
      <c r="B4" s="3" t="s">
        <v>2</v>
      </c>
    </row>
    <row r="5" customFormat="false" ht="61.5" hidden="false" customHeight="true" outlineLevel="0" collapsed="false">
      <c r="B5" s="4" t="s">
        <v>3</v>
      </c>
      <c r="C5" s="4"/>
    </row>
    <row r="7" customFormat="false" ht="15" hidden="false" customHeight="false" outlineLevel="0" collapsed="false">
      <c r="B7" s="3" t="s">
        <v>4</v>
      </c>
    </row>
    <row r="8" customFormat="false" ht="16.5" hidden="false" customHeight="true" outlineLevel="0" collapsed="false">
      <c r="B8" s="4" t="s">
        <v>5</v>
      </c>
      <c r="C8" s="4"/>
    </row>
    <row r="9" customFormat="false" ht="16.5" hidden="false" customHeight="true" outlineLevel="0" collapsed="false">
      <c r="B9" s="4" t="s">
        <v>6</v>
      </c>
      <c r="C9" s="4"/>
    </row>
    <row r="10" customFormat="false" ht="16.5" hidden="false" customHeight="true" outlineLevel="0" collapsed="false">
      <c r="B10" s="4" t="s">
        <v>7</v>
      </c>
      <c r="C10" s="4"/>
    </row>
    <row r="11" customFormat="false" ht="31.5" hidden="false" customHeight="true" outlineLevel="0" collapsed="false">
      <c r="B11" s="4" t="s">
        <v>8</v>
      </c>
      <c r="C11" s="4"/>
    </row>
    <row r="12" customFormat="false" ht="31.5" hidden="false" customHeight="true" outlineLevel="0" collapsed="false">
      <c r="B12" s="4" t="s">
        <v>9</v>
      </c>
      <c r="C12" s="4"/>
    </row>
    <row r="14" customFormat="false" ht="15" hidden="false" customHeight="false" outlineLevel="0" collapsed="false">
      <c r="B14" s="3" t="s">
        <v>10</v>
      </c>
    </row>
    <row r="15" customFormat="false" ht="15" hidden="false" customHeight="false" outlineLevel="0" collapsed="false">
      <c r="B15" s="5" t="s">
        <v>11</v>
      </c>
      <c r="C15" s="6" t="s">
        <v>12</v>
      </c>
    </row>
    <row r="16" customFormat="false" ht="15" hidden="false" customHeight="false" outlineLevel="0" collapsed="false">
      <c r="B16" s="7" t="s">
        <v>13</v>
      </c>
      <c r="C16" s="6" t="s">
        <v>14</v>
      </c>
    </row>
    <row r="17" customFormat="false" ht="15" hidden="false" customHeight="false" outlineLevel="0" collapsed="false">
      <c r="B17" s="8" t="s">
        <v>15</v>
      </c>
      <c r="C17" s="6" t="s">
        <v>16</v>
      </c>
    </row>
    <row r="18" customFormat="false" ht="15" hidden="false" customHeight="false" outlineLevel="0" collapsed="false">
      <c r="B18" s="9" t="s">
        <v>17</v>
      </c>
      <c r="C18" s="6" t="s">
        <v>18</v>
      </c>
    </row>
    <row r="20" customFormat="false" ht="15" hidden="false" customHeight="false" outlineLevel="0" collapsed="false">
      <c r="B20" s="3" t="s">
        <v>19</v>
      </c>
    </row>
    <row r="21" customFormat="false" ht="15" hidden="false" customHeight="false" outlineLevel="0" collapsed="false">
      <c r="B21" s="10" t="s">
        <v>20</v>
      </c>
      <c r="C21" s="10" t="s">
        <v>21</v>
      </c>
    </row>
    <row r="22" customFormat="false" ht="30" hidden="false" customHeight="true" outlineLevel="0" collapsed="false">
      <c r="B22" s="10" t="s">
        <v>22</v>
      </c>
      <c r="C22" s="11" t="s">
        <v>23</v>
      </c>
    </row>
    <row r="24" customFormat="false" ht="15" hidden="false" customHeight="false" outlineLevel="0" collapsed="false">
      <c r="B24" s="3" t="s">
        <v>24</v>
      </c>
    </row>
    <row r="25" customFormat="false" ht="61.5" hidden="false" customHeight="true" outlineLevel="0" collapsed="false">
      <c r="B25" s="4" t="s">
        <v>25</v>
      </c>
      <c r="C25" s="4"/>
    </row>
  </sheetData>
  <mergeCells count="7">
    <mergeCell ref="B5:C5"/>
    <mergeCell ref="B8:C8"/>
    <mergeCell ref="B9:C9"/>
    <mergeCell ref="B10:C10"/>
    <mergeCell ref="B11:C11"/>
    <mergeCell ref="B12:C12"/>
    <mergeCell ref="B25:C2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60"/>
    <col collapsed="false" customWidth="true" hidden="false" outlineLevel="0" max="4" min="4" style="0" width="18"/>
    <col collapsed="false" customWidth="true" hidden="false" outlineLevel="0" max="5" min="5" style="0" width="30"/>
    <col collapsed="false" customWidth="true" hidden="false" outlineLevel="0" max="6" min="6" style="0" width="26"/>
    <col collapsed="false" customWidth="true" hidden="false" outlineLevel="0" max="7" min="7" style="0" width="13"/>
    <col collapsed="false" customWidth="true" hidden="false" outlineLevel="0" max="8" min="8" style="0" width="42"/>
    <col collapsed="false" customWidth="true" hidden="false" outlineLevel="0" max="9" min="9" style="0" width="32"/>
  </cols>
  <sheetData>
    <row r="1" customFormat="false" ht="30" hidden="false" customHeight="true" outlineLevel="0" collapsed="false">
      <c r="A1" s="12" t="s">
        <v>26</v>
      </c>
      <c r="B1" s="12" t="s">
        <v>27</v>
      </c>
      <c r="C1" s="12" t="s">
        <v>28</v>
      </c>
      <c r="D1" s="12" t="s">
        <v>29</v>
      </c>
      <c r="E1" s="12" t="s">
        <v>30</v>
      </c>
      <c r="F1" s="12" t="s">
        <v>31</v>
      </c>
      <c r="G1" s="12" t="s">
        <v>32</v>
      </c>
      <c r="H1" s="12" t="s">
        <v>33</v>
      </c>
      <c r="I1" s="12" t="s">
        <v>34</v>
      </c>
    </row>
    <row r="2" customFormat="false" ht="15" hidden="false" customHeight="false" outlineLevel="0" collapsed="false">
      <c r="A2" s="13" t="s">
        <v>35</v>
      </c>
      <c r="B2" s="13"/>
      <c r="C2" s="13"/>
      <c r="D2" s="13"/>
      <c r="E2" s="13"/>
      <c r="F2" s="13"/>
      <c r="G2" s="13"/>
      <c r="H2" s="13"/>
      <c r="I2" s="13"/>
    </row>
    <row r="3" customFormat="false" ht="27.75" hidden="false" customHeight="true" outlineLevel="0" collapsed="false">
      <c r="A3" s="14" t="s">
        <v>36</v>
      </c>
      <c r="B3" s="15" t="s">
        <v>37</v>
      </c>
      <c r="C3" s="16" t="s">
        <v>38</v>
      </c>
      <c r="D3" s="16" t="s">
        <v>39</v>
      </c>
      <c r="E3" s="16" t="s">
        <v>40</v>
      </c>
      <c r="F3" s="17" t="s">
        <v>41</v>
      </c>
      <c r="G3" s="5"/>
      <c r="H3" s="18"/>
      <c r="I3" s="18"/>
    </row>
    <row r="4" customFormat="false" ht="27.75" hidden="false" customHeight="true" outlineLevel="0" collapsed="false">
      <c r="A4" s="14" t="s">
        <v>42</v>
      </c>
      <c r="B4" s="15" t="s">
        <v>37</v>
      </c>
      <c r="C4" s="16" t="s">
        <v>43</v>
      </c>
      <c r="D4" s="16" t="s">
        <v>44</v>
      </c>
      <c r="E4" s="16" t="s">
        <v>45</v>
      </c>
      <c r="F4" s="17" t="s">
        <v>46</v>
      </c>
      <c r="G4" s="5"/>
      <c r="H4" s="18"/>
      <c r="I4" s="18"/>
    </row>
    <row r="5" customFormat="false" ht="27.75" hidden="false" customHeight="true" outlineLevel="0" collapsed="false">
      <c r="A5" s="14" t="s">
        <v>47</v>
      </c>
      <c r="B5" s="15" t="s">
        <v>37</v>
      </c>
      <c r="C5" s="16" t="s">
        <v>48</v>
      </c>
      <c r="D5" s="16" t="s">
        <v>49</v>
      </c>
      <c r="E5" s="16" t="s">
        <v>40</v>
      </c>
      <c r="F5" s="17" t="s">
        <v>46</v>
      </c>
      <c r="G5" s="5"/>
      <c r="H5" s="18"/>
      <c r="I5" s="18"/>
    </row>
    <row r="6" customFormat="false" ht="27.75" hidden="false" customHeight="true" outlineLevel="0" collapsed="false">
      <c r="A6" s="14" t="s">
        <v>50</v>
      </c>
      <c r="B6" s="15" t="s">
        <v>51</v>
      </c>
      <c r="C6" s="16" t="s">
        <v>52</v>
      </c>
      <c r="D6" s="16" t="s">
        <v>53</v>
      </c>
      <c r="E6" s="16" t="s">
        <v>54</v>
      </c>
      <c r="F6" s="17" t="s">
        <v>46</v>
      </c>
      <c r="G6" s="5"/>
      <c r="H6" s="18"/>
      <c r="I6" s="18"/>
    </row>
    <row r="7" customFormat="false" ht="15" hidden="false" customHeight="false" outlineLevel="0" collapsed="false">
      <c r="A7" s="13" t="s">
        <v>55</v>
      </c>
      <c r="B7" s="13"/>
      <c r="C7" s="13"/>
      <c r="D7" s="13"/>
      <c r="E7" s="13"/>
      <c r="F7" s="13"/>
      <c r="G7" s="13"/>
      <c r="H7" s="13"/>
      <c r="I7" s="13"/>
    </row>
    <row r="8" customFormat="false" ht="27.75" hidden="false" customHeight="true" outlineLevel="0" collapsed="false">
      <c r="A8" s="14" t="s">
        <v>56</v>
      </c>
      <c r="B8" s="15" t="s">
        <v>37</v>
      </c>
      <c r="C8" s="16" t="s">
        <v>57</v>
      </c>
      <c r="D8" s="16" t="s">
        <v>58</v>
      </c>
      <c r="E8" s="16" t="s">
        <v>59</v>
      </c>
      <c r="F8" s="17" t="s">
        <v>46</v>
      </c>
      <c r="G8" s="5"/>
      <c r="H8" s="18"/>
      <c r="I8" s="18"/>
    </row>
    <row r="9" customFormat="false" ht="27.75" hidden="false" customHeight="true" outlineLevel="0" collapsed="false">
      <c r="A9" s="14" t="s">
        <v>60</v>
      </c>
      <c r="B9" s="8" t="s">
        <v>61</v>
      </c>
      <c r="C9" s="16" t="s">
        <v>62</v>
      </c>
      <c r="D9" s="16" t="s">
        <v>63</v>
      </c>
      <c r="E9" s="16" t="s">
        <v>64</v>
      </c>
      <c r="F9" s="17" t="s">
        <v>46</v>
      </c>
      <c r="G9" s="5"/>
      <c r="H9" s="18"/>
      <c r="I9" s="18"/>
    </row>
    <row r="10" customFormat="false" ht="27.75" hidden="false" customHeight="true" outlineLevel="0" collapsed="false">
      <c r="A10" s="14" t="s">
        <v>65</v>
      </c>
      <c r="B10" s="8" t="s">
        <v>61</v>
      </c>
      <c r="C10" s="16" t="s">
        <v>66</v>
      </c>
      <c r="D10" s="16" t="s">
        <v>67</v>
      </c>
      <c r="E10" s="16" t="s">
        <v>68</v>
      </c>
      <c r="F10" s="17" t="s">
        <v>46</v>
      </c>
      <c r="G10" s="5"/>
      <c r="H10" s="18"/>
      <c r="I10" s="18"/>
    </row>
    <row r="11" customFormat="false" ht="27.75" hidden="false" customHeight="true" outlineLevel="0" collapsed="false">
      <c r="A11" s="14" t="s">
        <v>69</v>
      </c>
      <c r="B11" s="8" t="s">
        <v>61</v>
      </c>
      <c r="C11" s="16" t="s">
        <v>70</v>
      </c>
      <c r="D11" s="16" t="s">
        <v>71</v>
      </c>
      <c r="E11" s="16" t="s">
        <v>72</v>
      </c>
      <c r="F11" s="17" t="s">
        <v>46</v>
      </c>
      <c r="G11" s="5"/>
      <c r="H11" s="18"/>
      <c r="I11" s="18"/>
    </row>
    <row r="12" customFormat="false" ht="27.75" hidden="false" customHeight="true" outlineLevel="0" collapsed="false">
      <c r="A12" s="14" t="s">
        <v>73</v>
      </c>
      <c r="B12" s="15" t="s">
        <v>37</v>
      </c>
      <c r="C12" s="16" t="s">
        <v>74</v>
      </c>
      <c r="D12" s="16" t="s">
        <v>75</v>
      </c>
      <c r="E12" s="16" t="s">
        <v>76</v>
      </c>
      <c r="F12" s="17" t="s">
        <v>46</v>
      </c>
      <c r="G12" s="5"/>
      <c r="H12" s="18"/>
      <c r="I12" s="18"/>
    </row>
    <row r="13" customFormat="false" ht="42" hidden="false" customHeight="true" outlineLevel="0" collapsed="false">
      <c r="A13" s="14" t="s">
        <v>77</v>
      </c>
      <c r="B13" s="8" t="s">
        <v>61</v>
      </c>
      <c r="C13" s="16" t="s">
        <v>78</v>
      </c>
      <c r="D13" s="16" t="s">
        <v>79</v>
      </c>
      <c r="E13" s="16" t="s">
        <v>40</v>
      </c>
      <c r="F13" s="17" t="s">
        <v>80</v>
      </c>
      <c r="G13" s="5"/>
      <c r="H13" s="18"/>
      <c r="I13" s="18"/>
    </row>
    <row r="14" customFormat="false" ht="42" hidden="false" customHeight="true" outlineLevel="0" collapsed="false">
      <c r="A14" s="14" t="s">
        <v>81</v>
      </c>
      <c r="B14" s="15" t="s">
        <v>51</v>
      </c>
      <c r="C14" s="16" t="s">
        <v>82</v>
      </c>
      <c r="D14" s="16" t="s">
        <v>83</v>
      </c>
      <c r="E14" s="16" t="s">
        <v>84</v>
      </c>
      <c r="F14" s="17" t="s">
        <v>46</v>
      </c>
      <c r="G14" s="5"/>
      <c r="H14" s="18"/>
      <c r="I14" s="18"/>
    </row>
    <row r="15" customFormat="false" ht="84" hidden="false" customHeight="true" outlineLevel="0" collapsed="false">
      <c r="A15" s="14" t="s">
        <v>85</v>
      </c>
      <c r="B15" s="15" t="s">
        <v>51</v>
      </c>
      <c r="C15" s="16" t="s">
        <v>86</v>
      </c>
      <c r="D15" s="16" t="s">
        <v>87</v>
      </c>
      <c r="E15" s="16" t="s">
        <v>88</v>
      </c>
      <c r="F15" s="17" t="s">
        <v>89</v>
      </c>
      <c r="G15" s="5"/>
      <c r="H15" s="18"/>
      <c r="I15" s="18"/>
    </row>
    <row r="16" customFormat="false" ht="15" hidden="false" customHeight="false" outlineLevel="0" collapsed="false">
      <c r="A16" s="13" t="s">
        <v>90</v>
      </c>
      <c r="B16" s="13"/>
      <c r="C16" s="13"/>
      <c r="D16" s="13"/>
      <c r="E16" s="13"/>
      <c r="F16" s="13"/>
      <c r="G16" s="13"/>
      <c r="H16" s="13"/>
      <c r="I16" s="13"/>
    </row>
    <row r="17" customFormat="false" ht="27.75" hidden="false" customHeight="true" outlineLevel="0" collapsed="false">
      <c r="A17" s="14" t="s">
        <v>91</v>
      </c>
      <c r="B17" s="15" t="s">
        <v>37</v>
      </c>
      <c r="C17" s="16" t="s">
        <v>92</v>
      </c>
      <c r="D17" s="16" t="s">
        <v>93</v>
      </c>
      <c r="E17" s="16" t="s">
        <v>94</v>
      </c>
      <c r="F17" s="17" t="s">
        <v>46</v>
      </c>
      <c r="G17" s="5"/>
      <c r="H17" s="18"/>
      <c r="I17" s="18"/>
    </row>
    <row r="18" customFormat="false" ht="55.5" hidden="false" customHeight="true" outlineLevel="0" collapsed="false">
      <c r="A18" s="14" t="s">
        <v>95</v>
      </c>
      <c r="B18" s="15" t="s">
        <v>51</v>
      </c>
      <c r="C18" s="16" t="s">
        <v>96</v>
      </c>
      <c r="D18" s="16" t="s">
        <v>97</v>
      </c>
      <c r="E18" s="16" t="s">
        <v>98</v>
      </c>
      <c r="F18" s="17" t="s">
        <v>46</v>
      </c>
      <c r="G18" s="5"/>
      <c r="H18" s="18"/>
      <c r="I18" s="18"/>
    </row>
    <row r="19" customFormat="false" ht="42" hidden="false" customHeight="true" outlineLevel="0" collapsed="false">
      <c r="A19" s="14" t="s">
        <v>99</v>
      </c>
      <c r="B19" s="15" t="s">
        <v>37</v>
      </c>
      <c r="C19" s="16" t="s">
        <v>100</v>
      </c>
      <c r="D19" s="16" t="s">
        <v>101</v>
      </c>
      <c r="E19" s="16" t="s">
        <v>102</v>
      </c>
      <c r="F19" s="17" t="s">
        <v>103</v>
      </c>
      <c r="G19" s="5"/>
      <c r="H19" s="18"/>
      <c r="I19" s="18"/>
    </row>
    <row r="20" customFormat="false" ht="42" hidden="false" customHeight="true" outlineLevel="0" collapsed="false">
      <c r="A20" s="14" t="s">
        <v>104</v>
      </c>
      <c r="B20" s="8" t="s">
        <v>61</v>
      </c>
      <c r="C20" s="16" t="s">
        <v>105</v>
      </c>
      <c r="D20" s="16" t="s">
        <v>106</v>
      </c>
      <c r="E20" s="16" t="s">
        <v>40</v>
      </c>
      <c r="F20" s="17" t="s">
        <v>107</v>
      </c>
      <c r="G20" s="5"/>
      <c r="H20" s="18"/>
      <c r="I20" s="18"/>
    </row>
    <row r="21" customFormat="false" ht="15" hidden="false" customHeight="false" outlineLevel="0" collapsed="false">
      <c r="A21" s="13" t="s">
        <v>108</v>
      </c>
      <c r="B21" s="13"/>
      <c r="C21" s="13"/>
      <c r="D21" s="13"/>
      <c r="E21" s="13"/>
      <c r="F21" s="13"/>
      <c r="G21" s="13"/>
      <c r="H21" s="13"/>
      <c r="I21" s="13"/>
    </row>
    <row r="22" customFormat="false" ht="27.75" hidden="false" customHeight="true" outlineLevel="0" collapsed="false">
      <c r="A22" s="14" t="s">
        <v>109</v>
      </c>
      <c r="B22" s="8" t="s">
        <v>61</v>
      </c>
      <c r="C22" s="16" t="s">
        <v>110</v>
      </c>
      <c r="D22" s="16" t="s">
        <v>111</v>
      </c>
      <c r="E22" s="16" t="s">
        <v>40</v>
      </c>
      <c r="F22" s="17" t="s">
        <v>112</v>
      </c>
      <c r="G22" s="5"/>
      <c r="H22" s="18"/>
      <c r="I22" s="18"/>
    </row>
    <row r="23" customFormat="false" ht="27.75" hidden="false" customHeight="true" outlineLevel="0" collapsed="false">
      <c r="A23" s="14" t="s">
        <v>113</v>
      </c>
      <c r="B23" s="8" t="s">
        <v>61</v>
      </c>
      <c r="C23" s="16" t="s">
        <v>114</v>
      </c>
      <c r="D23" s="16" t="s">
        <v>115</v>
      </c>
      <c r="E23" s="16" t="s">
        <v>40</v>
      </c>
      <c r="F23" s="17" t="s">
        <v>116</v>
      </c>
      <c r="G23" s="5"/>
      <c r="H23" s="18"/>
      <c r="I23" s="18"/>
    </row>
    <row r="24" customFormat="false" ht="69.75" hidden="false" customHeight="true" outlineLevel="0" collapsed="false">
      <c r="A24" s="14" t="s">
        <v>117</v>
      </c>
      <c r="B24" s="15" t="s">
        <v>51</v>
      </c>
      <c r="C24" s="16" t="s">
        <v>118</v>
      </c>
      <c r="D24" s="16" t="s">
        <v>119</v>
      </c>
      <c r="E24" s="16" t="s">
        <v>120</v>
      </c>
      <c r="F24" s="17" t="s">
        <v>121</v>
      </c>
      <c r="G24" s="5"/>
      <c r="H24" s="18"/>
      <c r="I24" s="18"/>
    </row>
    <row r="25" customFormat="false" ht="27.75" hidden="false" customHeight="true" outlineLevel="0" collapsed="false">
      <c r="A25" s="14" t="s">
        <v>122</v>
      </c>
      <c r="B25" s="8" t="s">
        <v>61</v>
      </c>
      <c r="C25" s="16" t="s">
        <v>123</v>
      </c>
      <c r="D25" s="16" t="s">
        <v>124</v>
      </c>
      <c r="E25" s="16" t="s">
        <v>40</v>
      </c>
      <c r="F25" s="17" t="s">
        <v>125</v>
      </c>
      <c r="G25" s="5"/>
      <c r="H25" s="18"/>
      <c r="I25" s="18"/>
    </row>
    <row r="26" customFormat="false" ht="55.5" hidden="false" customHeight="true" outlineLevel="0" collapsed="false">
      <c r="A26" s="14" t="s">
        <v>126</v>
      </c>
      <c r="B26" s="8" t="s">
        <v>61</v>
      </c>
      <c r="C26" s="16" t="s">
        <v>127</v>
      </c>
      <c r="D26" s="16" t="s">
        <v>128</v>
      </c>
      <c r="E26" s="16" t="s">
        <v>129</v>
      </c>
      <c r="F26" s="17" t="s">
        <v>116</v>
      </c>
      <c r="G26" s="5"/>
      <c r="H26" s="18"/>
      <c r="I26" s="18"/>
    </row>
    <row r="27" customFormat="false" ht="84" hidden="false" customHeight="true" outlineLevel="0" collapsed="false">
      <c r="A27" s="14" t="s">
        <v>130</v>
      </c>
      <c r="B27" s="15" t="s">
        <v>51</v>
      </c>
      <c r="C27" s="16" t="s">
        <v>131</v>
      </c>
      <c r="D27" s="16" t="s">
        <v>132</v>
      </c>
      <c r="E27" s="16" t="s">
        <v>133</v>
      </c>
      <c r="F27" s="17" t="s">
        <v>134</v>
      </c>
      <c r="G27" s="5"/>
      <c r="H27" s="18"/>
      <c r="I27" s="18"/>
    </row>
    <row r="28" customFormat="false" ht="55.5" hidden="false" customHeight="true" outlineLevel="0" collapsed="false">
      <c r="A28" s="14" t="s">
        <v>135</v>
      </c>
      <c r="B28" s="15" t="s">
        <v>37</v>
      </c>
      <c r="C28" s="16" t="s">
        <v>136</v>
      </c>
      <c r="D28" s="16" t="s">
        <v>137</v>
      </c>
      <c r="E28" s="16" t="s">
        <v>138</v>
      </c>
      <c r="F28" s="17" t="s">
        <v>139</v>
      </c>
      <c r="G28" s="5"/>
      <c r="H28" s="18"/>
      <c r="I28" s="18"/>
    </row>
    <row r="29" customFormat="false" ht="42" hidden="false" customHeight="true" outlineLevel="0" collapsed="false">
      <c r="A29" s="14" t="s">
        <v>140</v>
      </c>
      <c r="B29" s="15" t="s">
        <v>51</v>
      </c>
      <c r="C29" s="16" t="s">
        <v>141</v>
      </c>
      <c r="D29" s="16" t="s">
        <v>142</v>
      </c>
      <c r="E29" s="16" t="s">
        <v>143</v>
      </c>
      <c r="F29" s="17" t="s">
        <v>144</v>
      </c>
      <c r="G29" s="5"/>
      <c r="H29" s="18"/>
      <c r="I29" s="18"/>
    </row>
    <row r="30" customFormat="false" ht="42" hidden="false" customHeight="true" outlineLevel="0" collapsed="false">
      <c r="A30" s="14" t="s">
        <v>145</v>
      </c>
      <c r="B30" s="8" t="s">
        <v>61</v>
      </c>
      <c r="C30" s="16" t="s">
        <v>146</v>
      </c>
      <c r="D30" s="16" t="s">
        <v>147</v>
      </c>
      <c r="E30" s="16" t="s">
        <v>40</v>
      </c>
      <c r="F30" s="17" t="s">
        <v>116</v>
      </c>
      <c r="G30" s="5"/>
      <c r="H30" s="18"/>
      <c r="I30" s="18"/>
    </row>
    <row r="31" customFormat="false" ht="15" hidden="false" customHeight="false" outlineLevel="0" collapsed="false">
      <c r="A31" s="13" t="s">
        <v>148</v>
      </c>
      <c r="B31" s="13"/>
      <c r="C31" s="13"/>
      <c r="D31" s="13"/>
      <c r="E31" s="13"/>
      <c r="F31" s="13"/>
      <c r="G31" s="13"/>
      <c r="H31" s="13"/>
      <c r="I31" s="13"/>
    </row>
    <row r="32" customFormat="false" ht="42" hidden="false" customHeight="true" outlineLevel="0" collapsed="false">
      <c r="A32" s="14" t="s">
        <v>149</v>
      </c>
      <c r="B32" s="8" t="s">
        <v>61</v>
      </c>
      <c r="C32" s="16" t="s">
        <v>150</v>
      </c>
      <c r="D32" s="16" t="s">
        <v>151</v>
      </c>
      <c r="E32" s="16" t="s">
        <v>40</v>
      </c>
      <c r="F32" s="17" t="s">
        <v>152</v>
      </c>
      <c r="G32" s="5"/>
      <c r="H32" s="18"/>
      <c r="I32" s="18"/>
    </row>
    <row r="33" customFormat="false" ht="15" hidden="false" customHeight="false" outlineLevel="0" collapsed="false">
      <c r="A33" s="13" t="s">
        <v>153</v>
      </c>
      <c r="B33" s="13"/>
      <c r="C33" s="13"/>
      <c r="D33" s="13"/>
      <c r="E33" s="13"/>
      <c r="F33" s="13"/>
      <c r="G33" s="13"/>
      <c r="H33" s="13"/>
      <c r="I33" s="13"/>
    </row>
    <row r="34" customFormat="false" ht="27.75" hidden="false" customHeight="true" outlineLevel="0" collapsed="false">
      <c r="A34" s="14" t="s">
        <v>154</v>
      </c>
      <c r="B34" s="8" t="s">
        <v>61</v>
      </c>
      <c r="C34" s="16" t="s">
        <v>155</v>
      </c>
      <c r="D34" s="16" t="s">
        <v>156</v>
      </c>
      <c r="E34" s="16" t="s">
        <v>40</v>
      </c>
      <c r="F34" s="17" t="s">
        <v>157</v>
      </c>
      <c r="G34" s="5"/>
      <c r="H34" s="18"/>
      <c r="I34" s="18"/>
    </row>
    <row r="35" customFormat="false" ht="42" hidden="false" customHeight="true" outlineLevel="0" collapsed="false">
      <c r="A35" s="14" t="s">
        <v>158</v>
      </c>
      <c r="B35" s="8" t="s">
        <v>61</v>
      </c>
      <c r="C35" s="16" t="s">
        <v>159</v>
      </c>
      <c r="D35" s="16" t="s">
        <v>156</v>
      </c>
      <c r="E35" s="16" t="s">
        <v>40</v>
      </c>
      <c r="F35" s="17" t="s">
        <v>107</v>
      </c>
      <c r="G35" s="5"/>
      <c r="H35" s="18"/>
      <c r="I35" s="18"/>
    </row>
    <row r="36" customFormat="false" ht="15" hidden="false" customHeight="false" outlineLevel="0" collapsed="false">
      <c r="A36" s="13" t="s">
        <v>160</v>
      </c>
      <c r="B36" s="13"/>
      <c r="C36" s="13"/>
      <c r="D36" s="13"/>
      <c r="E36" s="13"/>
      <c r="F36" s="13"/>
      <c r="G36" s="13"/>
      <c r="H36" s="13"/>
      <c r="I36" s="13"/>
    </row>
    <row r="37" customFormat="false" ht="42" hidden="false" customHeight="true" outlineLevel="0" collapsed="false">
      <c r="A37" s="14" t="s">
        <v>161</v>
      </c>
      <c r="B37" s="15" t="s">
        <v>37</v>
      </c>
      <c r="C37" s="16" t="s">
        <v>162</v>
      </c>
      <c r="D37" s="16" t="s">
        <v>40</v>
      </c>
      <c r="E37" s="16" t="s">
        <v>163</v>
      </c>
      <c r="F37" s="17" t="s">
        <v>164</v>
      </c>
      <c r="G37" s="5"/>
      <c r="H37" s="18"/>
      <c r="I37" s="18"/>
    </row>
    <row r="38" customFormat="false" ht="27.75" hidden="false" customHeight="true" outlineLevel="0" collapsed="false">
      <c r="A38" s="14" t="s">
        <v>165</v>
      </c>
      <c r="B38" s="8" t="s">
        <v>61</v>
      </c>
      <c r="C38" s="16" t="s">
        <v>166</v>
      </c>
      <c r="D38" s="16" t="s">
        <v>40</v>
      </c>
      <c r="E38" s="16" t="s">
        <v>40</v>
      </c>
      <c r="F38" s="17" t="s">
        <v>164</v>
      </c>
      <c r="G38" s="5"/>
      <c r="H38" s="18"/>
      <c r="I38" s="18"/>
    </row>
    <row r="39" customFormat="false" ht="27.75" hidden="false" customHeight="true" outlineLevel="0" collapsed="false">
      <c r="A39" s="14" t="s">
        <v>167</v>
      </c>
      <c r="B39" s="8" t="s">
        <v>61</v>
      </c>
      <c r="C39" s="16" t="s">
        <v>168</v>
      </c>
      <c r="D39" s="16" t="s">
        <v>40</v>
      </c>
      <c r="E39" s="16" t="s">
        <v>40</v>
      </c>
      <c r="F39" s="17" t="s">
        <v>169</v>
      </c>
      <c r="G39" s="5"/>
      <c r="H39" s="18"/>
      <c r="I39" s="18"/>
    </row>
    <row r="40" customFormat="false" ht="15" hidden="false" customHeight="false" outlineLevel="0" collapsed="false">
      <c r="A40" s="13" t="s">
        <v>170</v>
      </c>
      <c r="B40" s="13"/>
      <c r="C40" s="13"/>
      <c r="D40" s="13"/>
      <c r="E40" s="13"/>
      <c r="F40" s="13"/>
      <c r="G40" s="13"/>
      <c r="H40" s="13"/>
      <c r="I40" s="13"/>
    </row>
    <row r="41" customFormat="false" ht="55.5" hidden="false" customHeight="true" outlineLevel="0" collapsed="false">
      <c r="A41" s="14" t="s">
        <v>171</v>
      </c>
      <c r="B41" s="15" t="s">
        <v>37</v>
      </c>
      <c r="C41" s="16" t="s">
        <v>172</v>
      </c>
      <c r="D41" s="16" t="s">
        <v>173</v>
      </c>
      <c r="E41" s="16" t="s">
        <v>174</v>
      </c>
      <c r="F41" s="17" t="s">
        <v>175</v>
      </c>
      <c r="G41" s="5"/>
      <c r="H41" s="18"/>
      <c r="I41" s="18"/>
    </row>
    <row r="42" customFormat="false" ht="42" hidden="false" customHeight="true" outlineLevel="0" collapsed="false">
      <c r="A42" s="14" t="s">
        <v>176</v>
      </c>
      <c r="B42" s="8" t="s">
        <v>61</v>
      </c>
      <c r="C42" s="16" t="s">
        <v>177</v>
      </c>
      <c r="D42" s="16" t="s">
        <v>40</v>
      </c>
      <c r="E42" s="16" t="s">
        <v>40</v>
      </c>
      <c r="F42" s="17" t="s">
        <v>107</v>
      </c>
      <c r="G42" s="5"/>
      <c r="H42" s="18"/>
      <c r="I42" s="18"/>
    </row>
    <row r="43" customFormat="false" ht="15" hidden="false" customHeight="false" outlineLevel="0" collapsed="false">
      <c r="A43" s="13" t="s">
        <v>178</v>
      </c>
      <c r="B43" s="13"/>
      <c r="C43" s="13"/>
      <c r="D43" s="13"/>
      <c r="E43" s="13"/>
      <c r="F43" s="13"/>
      <c r="G43" s="13"/>
      <c r="H43" s="13"/>
      <c r="I43" s="13"/>
    </row>
    <row r="44" customFormat="false" ht="27.75" hidden="false" customHeight="true" outlineLevel="0" collapsed="false">
      <c r="A44" s="14" t="s">
        <v>179</v>
      </c>
      <c r="B44" s="18"/>
      <c r="C44" s="18"/>
      <c r="D44" s="18"/>
      <c r="E44" s="18"/>
      <c r="F44" s="18"/>
      <c r="G44" s="5"/>
      <c r="H44" s="18"/>
      <c r="I44" s="18"/>
    </row>
    <row r="45" customFormat="false" ht="27.75" hidden="false" customHeight="true" outlineLevel="0" collapsed="false">
      <c r="A45" s="14" t="s">
        <v>180</v>
      </c>
      <c r="B45" s="18"/>
      <c r="C45" s="18"/>
      <c r="D45" s="18"/>
      <c r="E45" s="18"/>
      <c r="F45" s="18"/>
      <c r="G45" s="5"/>
      <c r="H45" s="18"/>
      <c r="I45" s="18"/>
    </row>
    <row r="46" customFormat="false" ht="27.75" hidden="false" customHeight="true" outlineLevel="0" collapsed="false">
      <c r="A46" s="14" t="s">
        <v>181</v>
      </c>
      <c r="B46" s="18"/>
      <c r="C46" s="18"/>
      <c r="D46" s="18"/>
      <c r="E46" s="18"/>
      <c r="F46" s="18"/>
      <c r="G46" s="5"/>
      <c r="H46" s="18"/>
      <c r="I46" s="18"/>
    </row>
    <row r="47" customFormat="false" ht="27.75" hidden="false" customHeight="true" outlineLevel="0" collapsed="false">
      <c r="A47" s="14" t="s">
        <v>182</v>
      </c>
      <c r="B47" s="18"/>
      <c r="C47" s="18"/>
      <c r="D47" s="18"/>
      <c r="E47" s="18"/>
      <c r="F47" s="18"/>
      <c r="G47" s="5"/>
      <c r="H47" s="18"/>
      <c r="I47" s="18"/>
    </row>
    <row r="48" customFormat="false" ht="27.75" hidden="false" customHeight="true" outlineLevel="0" collapsed="false">
      <c r="A48" s="14" t="s">
        <v>183</v>
      </c>
      <c r="B48" s="18"/>
      <c r="C48" s="18"/>
      <c r="D48" s="18"/>
      <c r="E48" s="18"/>
      <c r="F48" s="18"/>
      <c r="G48" s="5"/>
      <c r="H48" s="18"/>
      <c r="I48" s="18"/>
    </row>
  </sheetData>
  <mergeCells count="9">
    <mergeCell ref="A2:I2"/>
    <mergeCell ref="A7:I7"/>
    <mergeCell ref="A16:I16"/>
    <mergeCell ref="A21:I21"/>
    <mergeCell ref="A31:I31"/>
    <mergeCell ref="A33:I33"/>
    <mergeCell ref="A36:I36"/>
    <mergeCell ref="A40:I40"/>
    <mergeCell ref="A43:I43"/>
  </mergeCells>
  <dataValidations count="1">
    <dataValidation allowBlank="true" errorStyle="stop" operator="between" prompt="Pick Keep, Change, Remove or Not sure" promptTitle="Keep or change?" showDropDown="false" showErrorMessage="false" showInputMessage="false" sqref="G3:G6 G8:G15 G17:G20 G22:G30 G32 G34:G35 G37:G39 G41:G42 G44:G48" type="list">
      <formula1>"Keep,Change,Remove,Not sure"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5" topLeftCell="A2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8"/>
    <col collapsed="false" customWidth="true" hidden="false" outlineLevel="0" max="3" min="3" style="0" width="16"/>
    <col collapsed="false" customWidth="true" hidden="false" outlineLevel="0" max="4" min="4" style="0" width="12"/>
    <col collapsed="false" customWidth="true" hidden="false" outlineLevel="0" max="5" min="5" style="0" width="14"/>
    <col collapsed="false" customWidth="true" hidden="false" outlineLevel="0" max="6" min="6" style="0" width="30"/>
    <col collapsed="false" customWidth="true" hidden="false" outlineLevel="0" max="7" min="7" style="0" width="2"/>
    <col collapsed="false" customWidth="true" hidden="false" outlineLevel="0" max="9" min="8" style="0" width="12"/>
    <col collapsed="false" customWidth="true" hidden="false" outlineLevel="0" max="10" min="10" style="0" width="14"/>
    <col collapsed="false" customWidth="true" hidden="false" outlineLevel="0" max="11" min="11" style="0" width="30"/>
  </cols>
  <sheetData>
    <row r="1" customFormat="false" ht="17.35" hidden="false" customHeight="false" outlineLevel="0" collapsed="false">
      <c r="A1" s="1" t="s">
        <v>184</v>
      </c>
    </row>
    <row r="2" customFormat="false" ht="27.75" hidden="false" customHeight="true" outlineLevel="0" collapsed="false">
      <c r="A2" s="19" t="s">
        <v>185</v>
      </c>
      <c r="B2" s="19"/>
      <c r="C2" s="19"/>
      <c r="D2" s="19"/>
      <c r="E2" s="19"/>
      <c r="F2" s="19"/>
      <c r="G2" s="19"/>
      <c r="H2" s="19"/>
      <c r="I2" s="19"/>
      <c r="J2" s="19"/>
      <c r="K2" s="19"/>
    </row>
    <row r="4" customFormat="false" ht="15" hidden="false" customHeight="false" outlineLevel="0" collapsed="false">
      <c r="A4" s="3" t="s">
        <v>186</v>
      </c>
    </row>
    <row r="5" customFormat="false" ht="23.85" hidden="false" customHeight="false" outlineLevel="0" collapsed="false">
      <c r="A5" s="12" t="s">
        <v>187</v>
      </c>
      <c r="B5" s="12" t="s">
        <v>188</v>
      </c>
      <c r="C5" s="12" t="s">
        <v>189</v>
      </c>
    </row>
    <row r="6" customFormat="false" ht="15" hidden="false" customHeight="false" outlineLevel="0" collapsed="false">
      <c r="A6" s="14" t="n">
        <v>1</v>
      </c>
      <c r="B6" s="9" t="n">
        <v>3</v>
      </c>
      <c r="C6" s="7" t="n">
        <v>3</v>
      </c>
      <c r="D6" s="20" t="s">
        <v>190</v>
      </c>
    </row>
    <row r="7" customFormat="false" ht="15" hidden="false" customHeight="false" outlineLevel="0" collapsed="false">
      <c r="A7" s="14" t="n">
        <v>2</v>
      </c>
      <c r="B7" s="9" t="n">
        <v>7</v>
      </c>
      <c r="C7" s="7" t="n">
        <v>7</v>
      </c>
    </row>
    <row r="8" customFormat="false" ht="15" hidden="false" customHeight="false" outlineLevel="0" collapsed="false">
      <c r="A8" s="14" t="n">
        <v>3</v>
      </c>
      <c r="B8" s="9" t="n">
        <v>15</v>
      </c>
      <c r="C8" s="7" t="n">
        <v>15</v>
      </c>
    </row>
    <row r="9" customFormat="false" ht="15" hidden="false" customHeight="false" outlineLevel="0" collapsed="false">
      <c r="A9" s="14" t="n">
        <v>4</v>
      </c>
      <c r="B9" s="9" t="n">
        <v>30</v>
      </c>
      <c r="C9" s="7" t="n">
        <v>30</v>
      </c>
    </row>
    <row r="10" customFormat="false" ht="15" hidden="false" customHeight="false" outlineLevel="0" collapsed="false">
      <c r="A10" s="14" t="n">
        <v>5</v>
      </c>
      <c r="B10" s="9" t="n">
        <v>60</v>
      </c>
      <c r="C10" s="7" t="n">
        <v>60</v>
      </c>
    </row>
    <row r="11" customFormat="false" ht="15" hidden="false" customHeight="false" outlineLevel="0" collapsed="false">
      <c r="A11" s="14" t="n">
        <v>6</v>
      </c>
      <c r="B11" s="9" t="n">
        <v>120</v>
      </c>
      <c r="C11" s="7" t="n">
        <v>120</v>
      </c>
    </row>
    <row r="12" customFormat="false" ht="15" hidden="false" customHeight="false" outlineLevel="0" collapsed="false">
      <c r="A12" s="14" t="n">
        <v>7</v>
      </c>
      <c r="B12" s="9" t="n">
        <v>180</v>
      </c>
      <c r="C12" s="7" t="n">
        <v>180</v>
      </c>
    </row>
    <row r="13" customFormat="false" ht="15" hidden="false" customHeight="false" outlineLevel="0" collapsed="false">
      <c r="A13" s="14" t="n">
        <v>8</v>
      </c>
      <c r="B13" s="9"/>
      <c r="C13" s="7"/>
    </row>
    <row r="15" customFormat="false" ht="15" hidden="false" customHeight="false" outlineLevel="0" collapsed="false">
      <c r="A15" s="3" t="s">
        <v>191</v>
      </c>
    </row>
    <row r="16" customFormat="false" ht="15" hidden="false" customHeight="false" outlineLevel="0" collapsed="false">
      <c r="A16" s="12" t="s">
        <v>192</v>
      </c>
      <c r="B16" s="12" t="s">
        <v>17</v>
      </c>
      <c r="C16" s="12" t="s">
        <v>193</v>
      </c>
    </row>
    <row r="17" customFormat="false" ht="15" hidden="false" customHeight="false" outlineLevel="0" collapsed="false">
      <c r="A17" s="21" t="s">
        <v>194</v>
      </c>
      <c r="B17" s="9" t="n">
        <v>0</v>
      </c>
      <c r="C17" s="7" t="n">
        <v>0</v>
      </c>
      <c r="D17" s="20" t="s">
        <v>195</v>
      </c>
    </row>
    <row r="18" customFormat="false" ht="15" hidden="false" customHeight="false" outlineLevel="0" collapsed="false">
      <c r="A18" s="21" t="s">
        <v>196</v>
      </c>
      <c r="B18" s="9" t="n">
        <v>1</v>
      </c>
      <c r="C18" s="7" t="n">
        <v>1</v>
      </c>
      <c r="D18" s="20" t="s">
        <v>197</v>
      </c>
    </row>
    <row r="19" customFormat="false" ht="15" hidden="false" customHeight="false" outlineLevel="0" collapsed="false">
      <c r="A19" s="21" t="s">
        <v>198</v>
      </c>
      <c r="B19" s="9" t="n">
        <v>2</v>
      </c>
      <c r="C19" s="7" t="n">
        <v>2</v>
      </c>
      <c r="D19" s="20" t="s">
        <v>197</v>
      </c>
    </row>
    <row r="20" customFormat="false" ht="15" hidden="false" customHeight="false" outlineLevel="0" collapsed="false">
      <c r="A20" s="21" t="s">
        <v>199</v>
      </c>
      <c r="B20" s="9" t="n">
        <v>2</v>
      </c>
      <c r="C20" s="7" t="n">
        <v>2</v>
      </c>
      <c r="D20" s="20" t="s">
        <v>200</v>
      </c>
    </row>
    <row r="21" customFormat="false" ht="15" hidden="false" customHeight="false" outlineLevel="0" collapsed="false">
      <c r="A21" s="21" t="s">
        <v>201</v>
      </c>
      <c r="B21" s="9" t="n">
        <v>1</v>
      </c>
      <c r="C21" s="7" t="n">
        <v>1</v>
      </c>
      <c r="D21" s="20" t="s">
        <v>202</v>
      </c>
    </row>
    <row r="22" customFormat="false" ht="15" hidden="false" customHeight="false" outlineLevel="0" collapsed="false">
      <c r="A22" s="21" t="s">
        <v>203</v>
      </c>
      <c r="B22" s="8" t="n">
        <f aca="false">COUNT(B6:B13)</f>
        <v>7</v>
      </c>
      <c r="C22" s="8" t="n">
        <f aca="false">COUNT(C6:C13)</f>
        <v>7</v>
      </c>
      <c r="D22" s="20" t="s">
        <v>204</v>
      </c>
    </row>
    <row r="24" customFormat="false" ht="15" hidden="false" customHeight="false" outlineLevel="0" collapsed="false">
      <c r="A24" s="3" t="s">
        <v>205</v>
      </c>
    </row>
    <row r="25" customFormat="false" ht="30" hidden="false" customHeight="true" outlineLevel="0" collapsed="false">
      <c r="A25" s="12" t="s">
        <v>206</v>
      </c>
      <c r="B25" s="12" t="s">
        <v>207</v>
      </c>
      <c r="C25" s="12" t="s">
        <v>208</v>
      </c>
      <c r="D25" s="12" t="s">
        <v>209</v>
      </c>
      <c r="E25" s="12" t="s">
        <v>210</v>
      </c>
      <c r="F25" s="12" t="s">
        <v>211</v>
      </c>
      <c r="H25" s="12" t="s">
        <v>212</v>
      </c>
      <c r="I25" s="12" t="s">
        <v>213</v>
      </c>
      <c r="J25" s="12" t="s">
        <v>214</v>
      </c>
      <c r="K25" s="12" t="s">
        <v>215</v>
      </c>
    </row>
    <row r="26" customFormat="false" ht="15" hidden="false" customHeight="false" outlineLevel="0" collapsed="false">
      <c r="A26" s="8" t="n">
        <v>1</v>
      </c>
      <c r="B26" s="22" t="s">
        <v>196</v>
      </c>
      <c r="C26" s="23" t="n">
        <f aca="false">IF(B26="","",IF(B26=$A$20,MAX(1,$B$21-$B$20),MAX(1,MIN($B$22,$B$21+VLOOKUP(B26,$A$17:$B$19,2,FALSE())))))</f>
        <v>2</v>
      </c>
      <c r="D26" s="23" t="n">
        <f aca="false">IF(C26="","",INDEX($B$6:$B$13,C26))</f>
        <v>7</v>
      </c>
      <c r="E26" s="23" t="n">
        <f aca="false">IF(C26="","",0+D26)</f>
        <v>7</v>
      </c>
      <c r="F26" s="24" t="str">
        <f aca="false">IF(C26="","",IF(C26&gt;1,REPT("✓ ",C26-1),"")&amp;"[Day "&amp;D26&amp;" · next]")</f>
        <v>✓ [Day 7 · next]</v>
      </c>
      <c r="H26" s="25" t="n">
        <f aca="false">IF(B26="","",IF(B26=$A$20,MAX(1,$C$21-$C$20),MAX(1,MIN($C$22,$C$21+VLOOKUP(B26,$A$17:$C$19,3,FALSE())))))</f>
        <v>2</v>
      </c>
      <c r="I26" s="25" t="n">
        <f aca="false">IF(H26="","",INDEX($C$6:$C$13,H26))</f>
        <v>7</v>
      </c>
      <c r="J26" s="25" t="n">
        <f aca="false">IF(H26="","",0+I26)</f>
        <v>7</v>
      </c>
      <c r="K26" s="26" t="str">
        <f aca="false">IF(H26="","",IF(H26&gt;1,REPT("✓ ",H26-1),"")&amp;"[Day "&amp;I26&amp;" · next]")</f>
        <v>✓ [Day 7 · next]</v>
      </c>
    </row>
    <row r="27" customFormat="false" ht="15" hidden="false" customHeight="false" outlineLevel="0" collapsed="false">
      <c r="A27" s="8" t="n">
        <v>2</v>
      </c>
      <c r="B27" s="22" t="s">
        <v>196</v>
      </c>
      <c r="C27" s="23" t="n">
        <f aca="false">IF(OR(B27="",C26=""),"",IF(B27=$A$20,MAX(1,C26-$B$20),MAX(1,MIN($B$22,C26+VLOOKUP(B27,$A$17:$B$19,2,FALSE())))))</f>
        <v>3</v>
      </c>
      <c r="D27" s="23" t="n">
        <f aca="false">IF(C27="","",INDEX($B$6:$B$13,C27))</f>
        <v>15</v>
      </c>
      <c r="E27" s="23" t="n">
        <f aca="false">IF(C27="","",E26+D27)</f>
        <v>22</v>
      </c>
      <c r="F27" s="24" t="str">
        <f aca="false">IF(C27="","",IF(C27&gt;1,REPT("✓ ",C27-1),"")&amp;"[Day "&amp;D27&amp;" · next]")</f>
        <v>✓ ✓ [Day 15 · next]</v>
      </c>
      <c r="H27" s="25" t="n">
        <f aca="false">IF(OR(B27="",H26=""),"",IF(B27=$A$20,MAX(1,H26-$C$20),MAX(1,MIN($C$22,H26+VLOOKUP(B27,$A$17:$C$19,3,FALSE())))))</f>
        <v>3</v>
      </c>
      <c r="I27" s="25" t="n">
        <f aca="false">IF(H27="","",INDEX($C$6:$C$13,H27))</f>
        <v>15</v>
      </c>
      <c r="J27" s="25" t="n">
        <f aca="false">IF(H27="","",J26+I27)</f>
        <v>22</v>
      </c>
      <c r="K27" s="26" t="str">
        <f aca="false">IF(H27="","",IF(H27&gt;1,REPT("✓ ",H27-1),"")&amp;"[Day "&amp;I27&amp;" · next]")</f>
        <v>✓ ✓ [Day 15 · next]</v>
      </c>
    </row>
    <row r="28" customFormat="false" ht="15" hidden="false" customHeight="false" outlineLevel="0" collapsed="false">
      <c r="A28" s="8" t="n">
        <v>3</v>
      </c>
      <c r="B28" s="22" t="s">
        <v>198</v>
      </c>
      <c r="C28" s="23" t="n">
        <f aca="false">IF(OR(B28="",C27=""),"",IF(B28=$A$20,MAX(1,C27-$B$20),MAX(1,MIN($B$22,C27+VLOOKUP(B28,$A$17:$B$19,2,FALSE())))))</f>
        <v>5</v>
      </c>
      <c r="D28" s="23" t="n">
        <f aca="false">IF(C28="","",INDEX($B$6:$B$13,C28))</f>
        <v>60</v>
      </c>
      <c r="E28" s="23" t="n">
        <f aca="false">IF(C28="","",E27+D28)</f>
        <v>82</v>
      </c>
      <c r="F28" s="24" t="str">
        <f aca="false">IF(C28="","",IF(C28&gt;1,REPT("✓ ",C28-1),"")&amp;"[Day "&amp;D28&amp;" · next]")</f>
        <v>✓ ✓ ✓ ✓ [Day 60 · next]</v>
      </c>
      <c r="H28" s="25" t="n">
        <f aca="false">IF(OR(B28="",H27=""),"",IF(B28=$A$20,MAX(1,H27-$C$20),MAX(1,MIN($C$22,H27+VLOOKUP(B28,$A$17:$C$19,3,FALSE())))))</f>
        <v>5</v>
      </c>
      <c r="I28" s="25" t="n">
        <f aca="false">IF(H28="","",INDEX($C$6:$C$13,H28))</f>
        <v>60</v>
      </c>
      <c r="J28" s="25" t="n">
        <f aca="false">IF(H28="","",J27+I28)</f>
        <v>82</v>
      </c>
      <c r="K28" s="26" t="str">
        <f aca="false">IF(H28="","",IF(H28&gt;1,REPT("✓ ",H28-1),"")&amp;"[Day "&amp;I28&amp;" · next]")</f>
        <v>✓ ✓ ✓ ✓ [Day 60 · next]</v>
      </c>
    </row>
    <row r="29" customFormat="false" ht="15" hidden="false" customHeight="false" outlineLevel="0" collapsed="false">
      <c r="A29" s="8" t="n">
        <v>4</v>
      </c>
      <c r="B29" s="22" t="s">
        <v>194</v>
      </c>
      <c r="C29" s="23" t="n">
        <f aca="false">IF(OR(B29="",C28=""),"",IF(B29=$A$20,MAX(1,C28-$B$20),MAX(1,MIN($B$22,C28+VLOOKUP(B29,$A$17:$B$19,2,FALSE())))))</f>
        <v>5</v>
      </c>
      <c r="D29" s="23" t="n">
        <f aca="false">IF(C29="","",INDEX($B$6:$B$13,C29))</f>
        <v>60</v>
      </c>
      <c r="E29" s="23" t="n">
        <f aca="false">IF(C29="","",E28+D29)</f>
        <v>142</v>
      </c>
      <c r="F29" s="24" t="str">
        <f aca="false">IF(C29="","",IF(C29&gt;1,REPT("✓ ",C29-1),"")&amp;"[Day "&amp;D29&amp;" · next]")</f>
        <v>✓ ✓ ✓ ✓ [Day 60 · next]</v>
      </c>
      <c r="H29" s="25" t="n">
        <f aca="false">IF(OR(B29="",H28=""),"",IF(B29=$A$20,MAX(1,H28-$C$20),MAX(1,MIN($C$22,H28+VLOOKUP(B29,$A$17:$C$19,3,FALSE())))))</f>
        <v>5</v>
      </c>
      <c r="I29" s="25" t="n">
        <f aca="false">IF(H29="","",INDEX($C$6:$C$13,H29))</f>
        <v>60</v>
      </c>
      <c r="J29" s="25" t="n">
        <f aca="false">IF(H29="","",J28+I29)</f>
        <v>142</v>
      </c>
      <c r="K29" s="26" t="str">
        <f aca="false">IF(H29="","",IF(H29&gt;1,REPT("✓ ",H29-1),"")&amp;"[Day "&amp;I29&amp;" · next]")</f>
        <v>✓ ✓ ✓ ✓ [Day 60 · next]</v>
      </c>
    </row>
    <row r="30" customFormat="false" ht="15" hidden="false" customHeight="false" outlineLevel="0" collapsed="false">
      <c r="A30" s="8" t="n">
        <v>5</v>
      </c>
      <c r="B30" s="22" t="s">
        <v>199</v>
      </c>
      <c r="C30" s="23" t="n">
        <f aca="false">IF(OR(B30="",C29=""),"",IF(B30=$A$20,MAX(1,C29-$B$20),MAX(1,MIN($B$22,C29+VLOOKUP(B30,$A$17:$B$19,2,FALSE())))))</f>
        <v>3</v>
      </c>
      <c r="D30" s="23" t="n">
        <f aca="false">IF(C30="","",INDEX($B$6:$B$13,C30))</f>
        <v>15</v>
      </c>
      <c r="E30" s="23" t="n">
        <f aca="false">IF(C30="","",E29+D30)</f>
        <v>157</v>
      </c>
      <c r="F30" s="24" t="str">
        <f aca="false">IF(C30="","",IF(C30&gt;1,REPT("✓ ",C30-1),"")&amp;"[Day "&amp;D30&amp;" · next]")</f>
        <v>✓ ✓ [Day 15 · next]</v>
      </c>
      <c r="H30" s="25" t="n">
        <f aca="false">IF(OR(B30="",H29=""),"",IF(B30=$A$20,MAX(1,H29-$C$20),MAX(1,MIN($C$22,H29+VLOOKUP(B30,$A$17:$C$19,3,FALSE())))))</f>
        <v>3</v>
      </c>
      <c r="I30" s="25" t="n">
        <f aca="false">IF(H30="","",INDEX($C$6:$C$13,H30))</f>
        <v>15</v>
      </c>
      <c r="J30" s="25" t="n">
        <f aca="false">IF(H30="","",J29+I30)</f>
        <v>157</v>
      </c>
      <c r="K30" s="26" t="str">
        <f aca="false">IF(H30="","",IF(H30&gt;1,REPT("✓ ",H30-1),"")&amp;"[Day "&amp;I30&amp;" · next]")</f>
        <v>✓ ✓ [Day 15 · next]</v>
      </c>
    </row>
    <row r="31" customFormat="false" ht="15" hidden="false" customHeight="false" outlineLevel="0" collapsed="false">
      <c r="A31" s="8" t="n">
        <v>6</v>
      </c>
      <c r="B31" s="22" t="s">
        <v>196</v>
      </c>
      <c r="C31" s="23" t="n">
        <f aca="false">IF(OR(B31="",C30=""),"",IF(B31=$A$20,MAX(1,C30-$B$20),MAX(1,MIN($B$22,C30+VLOOKUP(B31,$A$17:$B$19,2,FALSE())))))</f>
        <v>4</v>
      </c>
      <c r="D31" s="23" t="n">
        <f aca="false">IF(C31="","",INDEX($B$6:$B$13,C31))</f>
        <v>30</v>
      </c>
      <c r="E31" s="23" t="n">
        <f aca="false">IF(C31="","",E30+D31)</f>
        <v>187</v>
      </c>
      <c r="F31" s="24" t="str">
        <f aca="false">IF(C31="","",IF(C31&gt;1,REPT("✓ ",C31-1),"")&amp;"[Day "&amp;D31&amp;" · next]")</f>
        <v>✓ ✓ ✓ [Day 30 · next]</v>
      </c>
      <c r="H31" s="25" t="n">
        <f aca="false">IF(OR(B31="",H30=""),"",IF(B31=$A$20,MAX(1,H30-$C$20),MAX(1,MIN($C$22,H30+VLOOKUP(B31,$A$17:$C$19,3,FALSE())))))</f>
        <v>4</v>
      </c>
      <c r="I31" s="25" t="n">
        <f aca="false">IF(H31="","",INDEX($C$6:$C$13,H31))</f>
        <v>30</v>
      </c>
      <c r="J31" s="25" t="n">
        <f aca="false">IF(H31="","",J30+I31)</f>
        <v>187</v>
      </c>
      <c r="K31" s="26" t="str">
        <f aca="false">IF(H31="","",IF(H31&gt;1,REPT("✓ ",H31-1),"")&amp;"[Day "&amp;I31&amp;" · next]")</f>
        <v>✓ ✓ ✓ [Day 30 · next]</v>
      </c>
    </row>
    <row r="32" customFormat="false" ht="15" hidden="false" customHeight="false" outlineLevel="0" collapsed="false">
      <c r="A32" s="8" t="n">
        <v>7</v>
      </c>
      <c r="B32" s="22" t="s">
        <v>196</v>
      </c>
      <c r="C32" s="23" t="n">
        <f aca="false">IF(OR(B32="",C31=""),"",IF(B32=$A$20,MAX(1,C31-$B$20),MAX(1,MIN($B$22,C31+VLOOKUP(B32,$A$17:$B$19,2,FALSE())))))</f>
        <v>5</v>
      </c>
      <c r="D32" s="23" t="n">
        <f aca="false">IF(C32="","",INDEX($B$6:$B$13,C32))</f>
        <v>60</v>
      </c>
      <c r="E32" s="23" t="n">
        <f aca="false">IF(C32="","",E31+D32)</f>
        <v>247</v>
      </c>
      <c r="F32" s="24" t="str">
        <f aca="false">IF(C32="","",IF(C32&gt;1,REPT("✓ ",C32-1),"")&amp;"[Day "&amp;D32&amp;" · next]")</f>
        <v>✓ ✓ ✓ ✓ [Day 60 · next]</v>
      </c>
      <c r="H32" s="25" t="n">
        <f aca="false">IF(OR(B32="",H31=""),"",IF(B32=$A$20,MAX(1,H31-$C$20),MAX(1,MIN($C$22,H31+VLOOKUP(B32,$A$17:$C$19,3,FALSE())))))</f>
        <v>5</v>
      </c>
      <c r="I32" s="25" t="n">
        <f aca="false">IF(H32="","",INDEX($C$6:$C$13,H32))</f>
        <v>60</v>
      </c>
      <c r="J32" s="25" t="n">
        <f aca="false">IF(H32="","",J31+I32)</f>
        <v>247</v>
      </c>
      <c r="K32" s="26" t="str">
        <f aca="false">IF(H32="","",IF(H32&gt;1,REPT("✓ ",H32-1),"")&amp;"[Day "&amp;I32&amp;" · next]")</f>
        <v>✓ ✓ ✓ ✓ [Day 60 · next]</v>
      </c>
    </row>
    <row r="33" customFormat="false" ht="15" hidden="false" customHeight="false" outlineLevel="0" collapsed="false">
      <c r="A33" s="8" t="n">
        <v>8</v>
      </c>
      <c r="B33" s="22" t="s">
        <v>196</v>
      </c>
      <c r="C33" s="23" t="n">
        <f aca="false">IF(OR(B33="",C32=""),"",IF(B33=$A$20,MAX(1,C32-$B$20),MAX(1,MIN($B$22,C32+VLOOKUP(B33,$A$17:$B$19,2,FALSE())))))</f>
        <v>6</v>
      </c>
      <c r="D33" s="23" t="n">
        <f aca="false">IF(C33="","",INDEX($B$6:$B$13,C33))</f>
        <v>120</v>
      </c>
      <c r="E33" s="23" t="n">
        <f aca="false">IF(C33="","",E32+D33)</f>
        <v>367</v>
      </c>
      <c r="F33" s="24" t="str">
        <f aca="false">IF(C33="","",IF(C33&gt;1,REPT("✓ ",C33-1),"")&amp;"[Day "&amp;D33&amp;" · next]")</f>
        <v>✓ ✓ ✓ ✓ ✓ [Day 120 · next]</v>
      </c>
      <c r="H33" s="25" t="n">
        <f aca="false">IF(OR(B33="",H32=""),"",IF(B33=$A$20,MAX(1,H32-$C$20),MAX(1,MIN($C$22,H32+VLOOKUP(B33,$A$17:$C$19,3,FALSE())))))</f>
        <v>6</v>
      </c>
      <c r="I33" s="25" t="n">
        <f aca="false">IF(H33="","",INDEX($C$6:$C$13,H33))</f>
        <v>120</v>
      </c>
      <c r="J33" s="25" t="n">
        <f aca="false">IF(H33="","",J32+I33)</f>
        <v>367</v>
      </c>
      <c r="K33" s="26" t="str">
        <f aca="false">IF(H33="","",IF(H33&gt;1,REPT("✓ ",H33-1),"")&amp;"[Day "&amp;I33&amp;" · next]")</f>
        <v>✓ ✓ ✓ ✓ ✓ [Day 120 · next]</v>
      </c>
    </row>
    <row r="34" customFormat="false" ht="15" hidden="false" customHeight="false" outlineLevel="0" collapsed="false">
      <c r="A34" s="8" t="n">
        <v>9</v>
      </c>
      <c r="B34" s="22" t="s">
        <v>196</v>
      </c>
      <c r="C34" s="23" t="n">
        <f aca="false">IF(OR(B34="",C33=""),"",IF(B34=$A$20,MAX(1,C33-$B$20),MAX(1,MIN($B$22,C33+VLOOKUP(B34,$A$17:$B$19,2,FALSE())))))</f>
        <v>7</v>
      </c>
      <c r="D34" s="23" t="n">
        <f aca="false">IF(C34="","",INDEX($B$6:$B$13,C34))</f>
        <v>180</v>
      </c>
      <c r="E34" s="23" t="n">
        <f aca="false">IF(C34="","",E33+D34)</f>
        <v>547</v>
      </c>
      <c r="F34" s="24" t="str">
        <f aca="false">IF(C34="","",IF(C34&gt;1,REPT("✓ ",C34-1),"")&amp;"[Day "&amp;D34&amp;" · next]")</f>
        <v>✓ ✓ ✓ ✓ ✓ ✓ [Day 180 · next]</v>
      </c>
      <c r="H34" s="25" t="n">
        <f aca="false">IF(OR(B34="",H33=""),"",IF(B34=$A$20,MAX(1,H33-$C$20),MAX(1,MIN($C$22,H33+VLOOKUP(B34,$A$17:$C$19,3,FALSE())))))</f>
        <v>7</v>
      </c>
      <c r="I34" s="25" t="n">
        <f aca="false">IF(H34="","",INDEX($C$6:$C$13,H34))</f>
        <v>180</v>
      </c>
      <c r="J34" s="25" t="n">
        <f aca="false">IF(H34="","",J33+I34)</f>
        <v>547</v>
      </c>
      <c r="K34" s="26" t="str">
        <f aca="false">IF(H34="","",IF(H34&gt;1,REPT("✓ ",H34-1),"")&amp;"[Day "&amp;I34&amp;" · next]")</f>
        <v>✓ ✓ ✓ ✓ ✓ ✓ [Day 180 · next]</v>
      </c>
    </row>
    <row r="35" customFormat="false" ht="15" hidden="false" customHeight="false" outlineLevel="0" collapsed="false">
      <c r="A35" s="8" t="n">
        <v>10</v>
      </c>
      <c r="B35" s="22" t="s">
        <v>196</v>
      </c>
      <c r="C35" s="23" t="n">
        <f aca="false">IF(OR(B35="",C34=""),"",IF(B35=$A$20,MAX(1,C34-$B$20),MAX(1,MIN($B$22,C34+VLOOKUP(B35,$A$17:$B$19,2,FALSE())))))</f>
        <v>7</v>
      </c>
      <c r="D35" s="23" t="n">
        <f aca="false">IF(C35="","",INDEX($B$6:$B$13,C35))</f>
        <v>180</v>
      </c>
      <c r="E35" s="23" t="n">
        <f aca="false">IF(C35="","",E34+D35)</f>
        <v>727</v>
      </c>
      <c r="F35" s="24" t="str">
        <f aca="false">IF(C35="","",IF(C35&gt;1,REPT("✓ ",C35-1),"")&amp;"[Day "&amp;D35&amp;" · next]")</f>
        <v>✓ ✓ ✓ ✓ ✓ ✓ [Day 180 · next]</v>
      </c>
      <c r="H35" s="25" t="n">
        <f aca="false">IF(OR(B35="",H34=""),"",IF(B35=$A$20,MAX(1,H34-$C$20),MAX(1,MIN($C$22,H34+VLOOKUP(B35,$A$17:$C$19,3,FALSE())))))</f>
        <v>7</v>
      </c>
      <c r="I35" s="25" t="n">
        <f aca="false">IF(H35="","",INDEX($C$6:$C$13,H35))</f>
        <v>180</v>
      </c>
      <c r="J35" s="25" t="n">
        <f aca="false">IF(H35="","",J34+I35)</f>
        <v>727</v>
      </c>
      <c r="K35" s="26" t="str">
        <f aca="false">IF(H35="","",IF(H35&gt;1,REPT("✓ ",H35-1),"")&amp;"[Day "&amp;I35&amp;" · next]")</f>
        <v>✓ ✓ ✓ ✓ ✓ ✓ [Day 180 · next]</v>
      </c>
    </row>
    <row r="36" customFormat="false" ht="15" hidden="false" customHeight="false" outlineLevel="0" collapsed="false">
      <c r="A36" s="8" t="n">
        <v>11</v>
      </c>
      <c r="B36" s="22" t="s">
        <v>196</v>
      </c>
      <c r="C36" s="23" t="n">
        <f aca="false">IF(OR(B36="",C35=""),"",IF(B36=$A$20,MAX(1,C35-$B$20),MAX(1,MIN($B$22,C35+VLOOKUP(B36,$A$17:$B$19,2,FALSE())))))</f>
        <v>7</v>
      </c>
      <c r="D36" s="23" t="n">
        <f aca="false">IF(C36="","",INDEX($B$6:$B$13,C36))</f>
        <v>180</v>
      </c>
      <c r="E36" s="23" t="n">
        <f aca="false">IF(C36="","",E35+D36)</f>
        <v>907</v>
      </c>
      <c r="F36" s="24" t="str">
        <f aca="false">IF(C36="","",IF(C36&gt;1,REPT("✓ ",C36-1),"")&amp;"[Day "&amp;D36&amp;" · next]")</f>
        <v>✓ ✓ ✓ ✓ ✓ ✓ [Day 180 · next]</v>
      </c>
      <c r="H36" s="25" t="n">
        <f aca="false">IF(OR(B36="",H35=""),"",IF(B36=$A$20,MAX(1,H35-$C$20),MAX(1,MIN($C$22,H35+VLOOKUP(B36,$A$17:$C$19,3,FALSE())))))</f>
        <v>7</v>
      </c>
      <c r="I36" s="25" t="n">
        <f aca="false">IF(H36="","",INDEX($C$6:$C$13,H36))</f>
        <v>180</v>
      </c>
      <c r="J36" s="25" t="n">
        <f aca="false">IF(H36="","",J35+I36)</f>
        <v>907</v>
      </c>
      <c r="K36" s="26" t="str">
        <f aca="false">IF(H36="","",IF(H36&gt;1,REPT("✓ ",H36-1),"")&amp;"[Day "&amp;I36&amp;" · next]")</f>
        <v>✓ ✓ ✓ ✓ ✓ ✓ [Day 180 · next]</v>
      </c>
    </row>
    <row r="37" customFormat="false" ht="15" hidden="false" customHeight="false" outlineLevel="0" collapsed="false">
      <c r="A37" s="8" t="n">
        <v>12</v>
      </c>
      <c r="B37" s="22" t="s">
        <v>196</v>
      </c>
      <c r="C37" s="23" t="n">
        <f aca="false">IF(OR(B37="",C36=""),"",IF(B37=$A$20,MAX(1,C36-$B$20),MAX(1,MIN($B$22,C36+VLOOKUP(B37,$A$17:$B$19,2,FALSE())))))</f>
        <v>7</v>
      </c>
      <c r="D37" s="23" t="n">
        <f aca="false">IF(C37="","",INDEX($B$6:$B$13,C37))</f>
        <v>180</v>
      </c>
      <c r="E37" s="23" t="n">
        <f aca="false">IF(C37="","",E36+D37)</f>
        <v>1087</v>
      </c>
      <c r="F37" s="24" t="str">
        <f aca="false">IF(C37="","",IF(C37&gt;1,REPT("✓ ",C37-1),"")&amp;"[Day "&amp;D37&amp;" · next]")</f>
        <v>✓ ✓ ✓ ✓ ✓ ✓ [Day 180 · next]</v>
      </c>
      <c r="H37" s="25" t="n">
        <f aca="false">IF(OR(B37="",H36=""),"",IF(B37=$A$20,MAX(1,H36-$C$20),MAX(1,MIN($C$22,H36+VLOOKUP(B37,$A$17:$C$19,3,FALSE())))))</f>
        <v>7</v>
      </c>
      <c r="I37" s="25" t="n">
        <f aca="false">IF(H37="","",INDEX($C$6:$C$13,H37))</f>
        <v>180</v>
      </c>
      <c r="J37" s="25" t="n">
        <f aca="false">IF(H37="","",J36+I37)</f>
        <v>1087</v>
      </c>
      <c r="K37" s="26" t="str">
        <f aca="false">IF(H37="","",IF(H37&gt;1,REPT("✓ ",H37-1),"")&amp;"[Day "&amp;I37&amp;" · next]")</f>
        <v>✓ ✓ ✓ ✓ ✓ ✓ [Day 180 · next]</v>
      </c>
    </row>
    <row r="38" customFormat="false" ht="15" hidden="false" customHeight="false" outlineLevel="0" collapsed="false">
      <c r="A38" s="8" t="n">
        <v>13</v>
      </c>
      <c r="B38" s="22"/>
      <c r="C38" s="23" t="str">
        <f aca="false">IF(OR(B38="",C37=""),"",IF(B38=$A$20,MAX(1,C37-$B$20),MAX(1,MIN($B$22,C37+VLOOKUP(B38,$A$17:$B$19,2,FALSE())))))</f>
        <v/>
      </c>
      <c r="D38" s="23" t="str">
        <f aca="false">IF(C38="","",INDEX($B$6:$B$13,C38))</f>
        <v/>
      </c>
      <c r="E38" s="23" t="str">
        <f aca="false">IF(C38="","",E37+D38)</f>
        <v/>
      </c>
      <c r="F38" s="24" t="str">
        <f aca="false">IF(C38="","",IF(C38&gt;1,REPT("✓ ",C38-1),"")&amp;"[Day "&amp;D38&amp;" · next]")</f>
        <v/>
      </c>
      <c r="H38" s="25" t="str">
        <f aca="false">IF(OR(B38="",H37=""),"",IF(B38=$A$20,MAX(1,H37-$C$20),MAX(1,MIN($C$22,H37+VLOOKUP(B38,$A$17:$C$19,3,FALSE())))))</f>
        <v/>
      </c>
      <c r="I38" s="25" t="str">
        <f aca="false">IF(H38="","",INDEX($C$6:$C$13,H38))</f>
        <v/>
      </c>
      <c r="J38" s="25" t="str">
        <f aca="false">IF(H38="","",J37+I38)</f>
        <v/>
      </c>
      <c r="K38" s="26" t="str">
        <f aca="false">IF(H38="","",IF(H38&gt;1,REPT("✓ ",H38-1),"")&amp;"[Day "&amp;I38&amp;" · next]")</f>
        <v/>
      </c>
    </row>
    <row r="39" customFormat="false" ht="15" hidden="false" customHeight="false" outlineLevel="0" collapsed="false">
      <c r="A39" s="8" t="n">
        <v>14</v>
      </c>
      <c r="B39" s="22"/>
      <c r="C39" s="23" t="str">
        <f aca="false">IF(OR(B39="",C38=""),"",IF(B39=$A$20,MAX(1,C38-$B$20),MAX(1,MIN($B$22,C38+VLOOKUP(B39,$A$17:$B$19,2,FALSE())))))</f>
        <v/>
      </c>
      <c r="D39" s="23" t="str">
        <f aca="false">IF(C39="","",INDEX($B$6:$B$13,C39))</f>
        <v/>
      </c>
      <c r="E39" s="23" t="str">
        <f aca="false">IF(C39="","",E38+D39)</f>
        <v/>
      </c>
      <c r="F39" s="24" t="str">
        <f aca="false">IF(C39="","",IF(C39&gt;1,REPT("✓ ",C39-1),"")&amp;"[Day "&amp;D39&amp;" · next]")</f>
        <v/>
      </c>
      <c r="H39" s="25" t="str">
        <f aca="false">IF(OR(B39="",H38=""),"",IF(B39=$A$20,MAX(1,H38-$C$20),MAX(1,MIN($C$22,H38+VLOOKUP(B39,$A$17:$C$19,3,FALSE())))))</f>
        <v/>
      </c>
      <c r="I39" s="25" t="str">
        <f aca="false">IF(H39="","",INDEX($C$6:$C$13,H39))</f>
        <v/>
      </c>
      <c r="J39" s="25" t="str">
        <f aca="false">IF(H39="","",J38+I39)</f>
        <v/>
      </c>
      <c r="K39" s="26" t="str">
        <f aca="false">IF(H39="","",IF(H39&gt;1,REPT("✓ ",H39-1),"")&amp;"[Day "&amp;I39&amp;" · next]")</f>
        <v/>
      </c>
    </row>
    <row r="40" customFormat="false" ht="15" hidden="false" customHeight="false" outlineLevel="0" collapsed="false">
      <c r="A40" s="8" t="n">
        <v>15</v>
      </c>
      <c r="B40" s="22"/>
      <c r="C40" s="23" t="str">
        <f aca="false">IF(OR(B40="",C39=""),"",IF(B40=$A$20,MAX(1,C39-$B$20),MAX(1,MIN($B$22,C39+VLOOKUP(B40,$A$17:$B$19,2,FALSE())))))</f>
        <v/>
      </c>
      <c r="D40" s="23" t="str">
        <f aca="false">IF(C40="","",INDEX($B$6:$B$13,C40))</f>
        <v/>
      </c>
      <c r="E40" s="23" t="str">
        <f aca="false">IF(C40="","",E39+D40)</f>
        <v/>
      </c>
      <c r="F40" s="24" t="str">
        <f aca="false">IF(C40="","",IF(C40&gt;1,REPT("✓ ",C40-1),"")&amp;"[Day "&amp;D40&amp;" · next]")</f>
        <v/>
      </c>
      <c r="H40" s="25" t="str">
        <f aca="false">IF(OR(B40="",H39=""),"",IF(B40=$A$20,MAX(1,H39-$C$20),MAX(1,MIN($C$22,H39+VLOOKUP(B40,$A$17:$C$19,3,FALSE())))))</f>
        <v/>
      </c>
      <c r="I40" s="25" t="str">
        <f aca="false">IF(H40="","",INDEX($C$6:$C$13,H40))</f>
        <v/>
      </c>
      <c r="J40" s="25" t="str">
        <f aca="false">IF(H40="","",J39+I40)</f>
        <v/>
      </c>
      <c r="K40" s="26" t="str">
        <f aca="false">IF(H40="","",IF(H40&gt;1,REPT("✓ ",H40-1),"")&amp;"[Day "&amp;I40&amp;" · next]")</f>
        <v/>
      </c>
    </row>
    <row r="41" customFormat="false" ht="15" hidden="false" customHeight="false" outlineLevel="0" collapsed="false">
      <c r="A41" s="8" t="n">
        <v>16</v>
      </c>
      <c r="B41" s="22"/>
      <c r="C41" s="23" t="str">
        <f aca="false">IF(OR(B41="",C40=""),"",IF(B41=$A$20,MAX(1,C40-$B$20),MAX(1,MIN($B$22,C40+VLOOKUP(B41,$A$17:$B$19,2,FALSE())))))</f>
        <v/>
      </c>
      <c r="D41" s="23" t="str">
        <f aca="false">IF(C41="","",INDEX($B$6:$B$13,C41))</f>
        <v/>
      </c>
      <c r="E41" s="23" t="str">
        <f aca="false">IF(C41="","",E40+D41)</f>
        <v/>
      </c>
      <c r="F41" s="24" t="str">
        <f aca="false">IF(C41="","",IF(C41&gt;1,REPT("✓ ",C41-1),"")&amp;"[Day "&amp;D41&amp;" · next]")</f>
        <v/>
      </c>
      <c r="H41" s="25" t="str">
        <f aca="false">IF(OR(B41="",H40=""),"",IF(B41=$A$20,MAX(1,H40-$C$20),MAX(1,MIN($C$22,H40+VLOOKUP(B41,$A$17:$C$19,3,FALSE())))))</f>
        <v/>
      </c>
      <c r="I41" s="25" t="str">
        <f aca="false">IF(H41="","",INDEX($C$6:$C$13,H41))</f>
        <v/>
      </c>
      <c r="J41" s="25" t="str">
        <f aca="false">IF(H41="","",J40+I41)</f>
        <v/>
      </c>
      <c r="K41" s="26" t="str">
        <f aca="false">IF(H41="","",IF(H41&gt;1,REPT("✓ ",H41-1),"")&amp;"[Day "&amp;I41&amp;" · next]")</f>
        <v/>
      </c>
    </row>
    <row r="42" customFormat="false" ht="15" hidden="false" customHeight="false" outlineLevel="0" collapsed="false">
      <c r="A42" s="8" t="n">
        <v>17</v>
      </c>
      <c r="B42" s="22"/>
      <c r="C42" s="23" t="str">
        <f aca="false">IF(OR(B42="",C41=""),"",IF(B42=$A$20,MAX(1,C41-$B$20),MAX(1,MIN($B$22,C41+VLOOKUP(B42,$A$17:$B$19,2,FALSE())))))</f>
        <v/>
      </c>
      <c r="D42" s="23" t="str">
        <f aca="false">IF(C42="","",INDEX($B$6:$B$13,C42))</f>
        <v/>
      </c>
      <c r="E42" s="23" t="str">
        <f aca="false">IF(C42="","",E41+D42)</f>
        <v/>
      </c>
      <c r="F42" s="24" t="str">
        <f aca="false">IF(C42="","",IF(C42&gt;1,REPT("✓ ",C42-1),"")&amp;"[Day "&amp;D42&amp;" · next]")</f>
        <v/>
      </c>
      <c r="H42" s="25" t="str">
        <f aca="false">IF(OR(B42="",H41=""),"",IF(B42=$A$20,MAX(1,H41-$C$20),MAX(1,MIN($C$22,H41+VLOOKUP(B42,$A$17:$C$19,3,FALSE())))))</f>
        <v/>
      </c>
      <c r="I42" s="25" t="str">
        <f aca="false">IF(H42="","",INDEX($C$6:$C$13,H42))</f>
        <v/>
      </c>
      <c r="J42" s="25" t="str">
        <f aca="false">IF(H42="","",J41+I42)</f>
        <v/>
      </c>
      <c r="K42" s="26" t="str">
        <f aca="false">IF(H42="","",IF(H42&gt;1,REPT("✓ ",H42-1),"")&amp;"[Day "&amp;I42&amp;" · next]")</f>
        <v/>
      </c>
    </row>
    <row r="43" customFormat="false" ht="15" hidden="false" customHeight="false" outlineLevel="0" collapsed="false">
      <c r="A43" s="8" t="n">
        <v>18</v>
      </c>
      <c r="B43" s="22"/>
      <c r="C43" s="23" t="str">
        <f aca="false">IF(OR(B43="",C42=""),"",IF(B43=$A$20,MAX(1,C42-$B$20),MAX(1,MIN($B$22,C42+VLOOKUP(B43,$A$17:$B$19,2,FALSE())))))</f>
        <v/>
      </c>
      <c r="D43" s="23" t="str">
        <f aca="false">IF(C43="","",INDEX($B$6:$B$13,C43))</f>
        <v/>
      </c>
      <c r="E43" s="23" t="str">
        <f aca="false">IF(C43="","",E42+D43)</f>
        <v/>
      </c>
      <c r="F43" s="24" t="str">
        <f aca="false">IF(C43="","",IF(C43&gt;1,REPT("✓ ",C43-1),"")&amp;"[Day "&amp;D43&amp;" · next]")</f>
        <v/>
      </c>
      <c r="H43" s="25" t="str">
        <f aca="false">IF(OR(B43="",H42=""),"",IF(B43=$A$20,MAX(1,H42-$C$20),MAX(1,MIN($C$22,H42+VLOOKUP(B43,$A$17:$C$19,3,FALSE())))))</f>
        <v/>
      </c>
      <c r="I43" s="25" t="str">
        <f aca="false">IF(H43="","",INDEX($C$6:$C$13,H43))</f>
        <v/>
      </c>
      <c r="J43" s="25" t="str">
        <f aca="false">IF(H43="","",J42+I43)</f>
        <v/>
      </c>
      <c r="K43" s="26" t="str">
        <f aca="false">IF(H43="","",IF(H43&gt;1,REPT("✓ ",H43-1),"")&amp;"[Day "&amp;I43&amp;" · next]")</f>
        <v/>
      </c>
    </row>
    <row r="44" customFormat="false" ht="15" hidden="false" customHeight="false" outlineLevel="0" collapsed="false">
      <c r="A44" s="8" t="n">
        <v>19</v>
      </c>
      <c r="B44" s="22"/>
      <c r="C44" s="23" t="str">
        <f aca="false">IF(OR(B44="",C43=""),"",IF(B44=$A$20,MAX(1,C43-$B$20),MAX(1,MIN($B$22,C43+VLOOKUP(B44,$A$17:$B$19,2,FALSE())))))</f>
        <v/>
      </c>
      <c r="D44" s="23" t="str">
        <f aca="false">IF(C44="","",INDEX($B$6:$B$13,C44))</f>
        <v/>
      </c>
      <c r="E44" s="23" t="str">
        <f aca="false">IF(C44="","",E43+D44)</f>
        <v/>
      </c>
      <c r="F44" s="24" t="str">
        <f aca="false">IF(C44="","",IF(C44&gt;1,REPT("✓ ",C44-1),"")&amp;"[Day "&amp;D44&amp;" · next]")</f>
        <v/>
      </c>
      <c r="H44" s="25" t="str">
        <f aca="false">IF(OR(B44="",H43=""),"",IF(B44=$A$20,MAX(1,H43-$C$20),MAX(1,MIN($C$22,H43+VLOOKUP(B44,$A$17:$C$19,3,FALSE())))))</f>
        <v/>
      </c>
      <c r="I44" s="25" t="str">
        <f aca="false">IF(H44="","",INDEX($C$6:$C$13,H44))</f>
        <v/>
      </c>
      <c r="J44" s="25" t="str">
        <f aca="false">IF(H44="","",J43+I44)</f>
        <v/>
      </c>
      <c r="K44" s="26" t="str">
        <f aca="false">IF(H44="","",IF(H44&gt;1,REPT("✓ ",H44-1),"")&amp;"[Day "&amp;I44&amp;" · next]")</f>
        <v/>
      </c>
    </row>
    <row r="45" customFormat="false" ht="15" hidden="false" customHeight="false" outlineLevel="0" collapsed="false">
      <c r="A45" s="8" t="n">
        <v>20</v>
      </c>
      <c r="B45" s="22"/>
      <c r="C45" s="23" t="str">
        <f aca="false">IF(OR(B45="",C44=""),"",IF(B45=$A$20,MAX(1,C44-$B$20),MAX(1,MIN($B$22,C44+VLOOKUP(B45,$A$17:$B$19,2,FALSE())))))</f>
        <v/>
      </c>
      <c r="D45" s="23" t="str">
        <f aca="false">IF(C45="","",INDEX($B$6:$B$13,C45))</f>
        <v/>
      </c>
      <c r="E45" s="23" t="str">
        <f aca="false">IF(C45="","",E44+D45)</f>
        <v/>
      </c>
      <c r="F45" s="24" t="str">
        <f aca="false">IF(C45="","",IF(C45&gt;1,REPT("✓ ",C45-1),"")&amp;"[Day "&amp;D45&amp;" · next]")</f>
        <v/>
      </c>
      <c r="H45" s="25" t="str">
        <f aca="false">IF(OR(B45="",H44=""),"",IF(B45=$A$20,MAX(1,H44-$C$20),MAX(1,MIN($C$22,H44+VLOOKUP(B45,$A$17:$C$19,3,FALSE())))))</f>
        <v/>
      </c>
      <c r="I45" s="25" t="str">
        <f aca="false">IF(H45="","",INDEX($C$6:$C$13,H45))</f>
        <v/>
      </c>
      <c r="J45" s="25" t="str">
        <f aca="false">IF(H45="","",J44+I45)</f>
        <v/>
      </c>
      <c r="K45" s="26" t="str">
        <f aca="false">IF(H45="","",IF(H45&gt;1,REPT("✓ ",H45-1),"")&amp;"[Day "&amp;I45&amp;" · next]")</f>
        <v/>
      </c>
    </row>
    <row r="47" customFormat="false" ht="15" hidden="false" customHeight="false" outlineLevel="0" collapsed="false">
      <c r="A47" s="10" t="s">
        <v>216</v>
      </c>
      <c r="E47" s="14" t="n">
        <f aca="false">COUNT(C26:C45)</f>
        <v>12</v>
      </c>
      <c r="J47" s="14" t="n">
        <f aca="false">COUNT(H26:H45)</f>
        <v>12</v>
      </c>
    </row>
    <row r="48" customFormat="false" ht="15" hidden="false" customHeight="false" outlineLevel="0" collapsed="false">
      <c r="A48" s="10" t="s">
        <v>217</v>
      </c>
      <c r="E48" s="14" t="n">
        <f aca="false">MAX(E26:E45)</f>
        <v>1087</v>
      </c>
      <c r="J48" s="14" t="n">
        <f aca="false">MAX(J26:J45)</f>
        <v>1087</v>
      </c>
    </row>
  </sheetData>
  <mergeCells count="1">
    <mergeCell ref="A2:K2"/>
  </mergeCells>
  <dataValidations count="1">
    <dataValidation allowBlank="true" errorStyle="stop" operator="between" prompt="What the student pressed on this review" promptTitle="Answer" showDropDown="false" showErrorMessage="false" showInputMessage="false" sqref="B26:B45" type="list">
      <formula1>"Known + Hard,Known + Medium,Known + Easy,Unknown"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2026-10-30T09:00:54Z</dcterms:created>
  <dc:creator>openpyxl</dc:creator>
  <dc:description/>
  <dc:language>en-US</dc:language>
  <cp:lastModifiedBy/>
  <dcterms:modified xsi:type="dcterms:W3CDTF">2026-10-30T09:00:54Z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